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lava\Documents\career\coffee-project\"/>
    </mc:Choice>
  </mc:AlternateContent>
  <xr:revisionPtr revIDLastSave="0" documentId="13_ncr:1_{740611F6-9A3C-4CCB-AE89-8B1B76E8803F}" xr6:coauthVersionLast="47" xr6:coauthVersionMax="47" xr10:uidLastSave="{00000000-0000-0000-0000-000000000000}"/>
  <bookViews>
    <workbookView xWindow="-6804" yWindow="2352" windowWidth="17280" windowHeight="8964" activeTab="2" xr2:uid="{00000000-000D-0000-FFFF-FFFF00000000}"/>
  </bookViews>
  <sheets>
    <sheet name="branches" sheetId="2" r:id="rId1"/>
    <sheet name="spravochnik" sheetId="1" r:id="rId2"/>
    <sheet name="planfact" sheetId="3" r:id="rId3"/>
    <sheet name="Dashboard" sheetId="4" r:id="rId4"/>
  </sheets>
  <definedNames>
    <definedName name="ExternalData_1" localSheetId="0" hidden="1">branches!$B$1:$I$3265</definedName>
    <definedName name="Slicer_Город">#N/A</definedName>
    <definedName name="Slicer_Категория">#N/A</definedName>
    <definedName name="Slicer_Месяц_Год">#N/A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2B1849-54AB-4183-95CB-1B1E530FF776}" keepAlive="1" name="Query - branches" description="Connection to the 'branches' query in the workbook." type="5" refreshedVersion="7" background="1" saveData="1">
    <dbPr connection="Provider=Microsoft.Mashup.OleDb.1;Data Source=$Workbook$;Location=branches;Extended Properties=&quot;&quot;" command="SELECT * FROM [branches]"/>
  </connection>
  <connection id="2" xr16:uid="{172D4570-96A9-4286-9C5F-14F967D3E7F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C5555B8A-B330-4CE3-922D-FB28F22DA33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D732EEE0-46FA-4F44-9E4C-B95E1B3D6D5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3768156-EED8-44E4-9CD7-30E91C22EB9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<sst xmlns="http://schemas.openxmlformats.org/spreadsheetml/2006/main" count="13280" uniqueCount="69">
  <si>
    <t>Филиал</t>
  </si>
  <si>
    <t>Дата</t>
  </si>
  <si>
    <t>Товар</t>
  </si>
  <si>
    <t>Категория</t>
  </si>
  <si>
    <t>Кол-во</t>
  </si>
  <si>
    <t>Сумма</t>
  </si>
  <si>
    <t>Кассир</t>
  </si>
  <si>
    <t>Екатеринбург</t>
  </si>
  <si>
    <t>Чизкейк</t>
  </si>
  <si>
    <t>Выпечка</t>
  </si>
  <si>
    <t>Елена В.</t>
  </si>
  <si>
    <t>Американо</t>
  </si>
  <si>
    <t>Напитки</t>
  </si>
  <si>
    <t>Виктор Л.</t>
  </si>
  <si>
    <t>Раф</t>
  </si>
  <si>
    <t>Игорь С.</t>
  </si>
  <si>
    <t>Сэндвич</t>
  </si>
  <si>
    <t>Еда</t>
  </si>
  <si>
    <t>Эспрессо</t>
  </si>
  <si>
    <t>Наталья Р.</t>
  </si>
  <si>
    <t>Матча латте</t>
  </si>
  <si>
    <t>Максим П.</t>
  </si>
  <si>
    <t>Круассан</t>
  </si>
  <si>
    <t>Анна К.</t>
  </si>
  <si>
    <t>Салат Цезарь</t>
  </si>
  <si>
    <t>Какао</t>
  </si>
  <si>
    <t>Синнабон</t>
  </si>
  <si>
    <t>Капучино</t>
  </si>
  <si>
    <t>Латте</t>
  </si>
  <si>
    <t>Не указан</t>
  </si>
  <si>
    <t>Казань</t>
  </si>
  <si>
    <t>Краснодар</t>
  </si>
  <si>
    <t>Светлана М.</t>
  </si>
  <si>
    <t>Артём Б.</t>
  </si>
  <si>
    <t>Юлия Д.</t>
  </si>
  <si>
    <t>Роман Ф.</t>
  </si>
  <si>
    <t>Москва</t>
  </si>
  <si>
    <t>Новосибирск</t>
  </si>
  <si>
    <t>Санкт-Петербург</t>
  </si>
  <si>
    <t>Город</t>
  </si>
  <si>
    <t>Менеджер</t>
  </si>
  <si>
    <t>Дата открытия</t>
  </si>
  <si>
    <t>Площадь, кв.м</t>
  </si>
  <si>
    <t>Ирина Соколова</t>
  </si>
  <si>
    <t>Дмитрий Волков</t>
  </si>
  <si>
    <t>Алия Гайнутдинова</t>
  </si>
  <si>
    <t>Сергей Мельников</t>
  </si>
  <si>
    <t>Ольга Кузнецова</t>
  </si>
  <si>
    <t>Павел Ткаченко</t>
  </si>
  <si>
    <t>Месяц</t>
  </si>
  <si>
    <t>План продаж, руб</t>
  </si>
  <si>
    <t>Январь 2025</t>
  </si>
  <si>
    <t>Февраль 2025</t>
  </si>
  <si>
    <t>Март 2025</t>
  </si>
  <si>
    <t>Апрель 2025</t>
  </si>
  <si>
    <t>Май 2025</t>
  </si>
  <si>
    <t>Июнь 2025</t>
  </si>
  <si>
    <t>Июль 2025</t>
  </si>
  <si>
    <t>Август 2025</t>
  </si>
  <si>
    <t>Сентябрь 2025</t>
  </si>
  <si>
    <t>Октябрь 2025</t>
  </si>
  <si>
    <t>Ноябрь 2025</t>
  </si>
  <si>
    <t>Декабрь 2025</t>
  </si>
  <si>
    <t>Месяц/Год</t>
  </si>
  <si>
    <t>Факт, руб</t>
  </si>
  <si>
    <t>% выполнения</t>
  </si>
  <si>
    <t>Grand Total</t>
  </si>
  <si>
    <t>Выручка, руб</t>
  </si>
  <si>
    <t>Город / Категория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</si>
</sst>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1" fillId="0" borderId="0" xfId="0" applyFont="1"/>
    <xf numFmtId="164" fontId="0" fillId="0" borderId="0" xfId="0" applyNumberFormat="1"/>
    <xf numFmtId="10" fontId="1" fillId="0" borderId="0" xfId="0" applyNumberFormat="1" applyFont="1"/>
    <xf numFmtId="10" fontId="0" fillId="0" borderId="0" xfId="0" applyNumberFormat="1"/>
    <xf numFmtId="0" fontId="0" fillId="0" borderId="0" xfId="0"/>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0">
    <dxf>
      <numFmt numFmtId="14" formatCode="0.00%"/>
    </dxf>
    <dxf>
      <numFmt numFmtId="0" formatCode="General"/>
    </dxf>
    <dxf>
      <font>
        <b/>
        <i val="0"/>
        <strike val="0"/>
        <condense val="0"/>
        <extend val="0"/>
        <outline val="0"/>
        <shadow val="0"/>
        <u val="none"/>
        <vertAlign val="baseline"/>
        <sz val="11"/>
        <color auto="1"/>
        <name val="Calibri"/>
        <scheme val="none"/>
      </font>
    </dxf>
    <dxf>
      <numFmt numFmtId="164" formatCode="yyyy\-mm\-dd"/>
    </dxf>
    <dxf>
      <font>
        <b/>
        <i val="0"/>
        <strike val="0"/>
        <condense val="0"/>
        <extend val="0"/>
        <outline val="0"/>
        <shadow val="0"/>
        <u val="none"/>
        <vertAlign val="baseline"/>
        <sz val="11"/>
        <color auto="1"/>
        <name val="Calibri"/>
        <scheme val="none"/>
      </font>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[coffee_analysis.xlsx]Dashboard!PivotTable1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Продажи</a:t>
            </a:r>
            <a:r>
              <a:rPr lang="ru-RU" baseline="0"/>
              <a:t> по городам</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multiLvlStrRef>
              <c:f>Dashboard!$A$4:$A$28</c:f>
              <c:multiLvlStrCache>
                <c:ptCount val="18"/>
                <c:lvl>
                  <c:pt idx="0">
                    <c:v>Выпечка</c:v>
                  </c:pt>
                  <c:pt idx="1">
                    <c:v>Еда</c:v>
                  </c:pt>
                  <c:pt idx="2">
                    <c:v>Напитки</c:v>
                  </c:pt>
                  <c:pt idx="3">
                    <c:v>Выпечка</c:v>
                  </c:pt>
                  <c:pt idx="4">
                    <c:v>Еда</c:v>
                  </c:pt>
                  <c:pt idx="5">
                    <c:v>Напитки</c:v>
                  </c:pt>
                  <c:pt idx="6">
                    <c:v>Выпечка</c:v>
                  </c:pt>
                  <c:pt idx="7">
                    <c:v>Еда</c:v>
                  </c:pt>
                  <c:pt idx="8">
                    <c:v>Напитки</c:v>
                  </c:pt>
                  <c:pt idx="9">
                    <c:v>Выпечка</c:v>
                  </c:pt>
                  <c:pt idx="10">
                    <c:v>Еда</c:v>
                  </c:pt>
                  <c:pt idx="11">
                    <c:v>Напитки</c:v>
                  </c:pt>
                  <c:pt idx="12">
                    <c:v>Выпечка</c:v>
                  </c:pt>
                  <c:pt idx="13">
                    <c:v>Еда</c:v>
                  </c:pt>
                  <c:pt idx="14">
                    <c:v>Напитки</c:v>
                  </c:pt>
                  <c:pt idx="15">
                    <c:v>Выпечка</c:v>
                  </c:pt>
                  <c:pt idx="16">
                    <c:v>Еда</c:v>
                  </c:pt>
                  <c:pt idx="17">
                    <c:v>Напитки</c:v>
                  </c:pt>
                </c:lvl>
                <c:lvl>
                  <c:pt idx="0">
                    <c:v>Екатеринбург</c:v>
                  </c:pt>
                  <c:pt idx="3">
                    <c:v>Казань</c:v>
                  </c:pt>
                  <c:pt idx="6">
                    <c:v>Краснодар</c:v>
                  </c:pt>
                  <c:pt idx="9">
                    <c:v>Москва</c:v>
                  </c:pt>
                  <c:pt idx="12">
                    <c:v>Новосибирск</c:v>
                  </c:pt>
                  <c:pt idx="15">
                    <c:v>Санкт-Петербург</c:v>
                  </c:pt>
                </c:lvl>
              </c:multiLvlStrCache>
            </c:multiLvlStrRef>
          </c:cat>
          <c:val>
            <c:numRef>
              <c:f>Dashboard!$B$4:$B$28</c:f>
              <c:numCache>
                <c:formatCode>General</c:formatCode>
                <c:ptCount val="18"/>
                <c:pt idx="0">
                  <c:v>39424</c:v>
                </c:pt>
                <c:pt idx="1">
                  <c:v>55560</c:v>
                </c:pt>
                <c:pt idx="2">
                  <c:v>123480</c:v>
                </c:pt>
                <c:pt idx="3">
                  <c:v>51836</c:v>
                </c:pt>
                <c:pt idx="4">
                  <c:v>56701</c:v>
                </c:pt>
                <c:pt idx="5">
                  <c:v>110786</c:v>
                </c:pt>
                <c:pt idx="6">
                  <c:v>48972</c:v>
                </c:pt>
                <c:pt idx="7">
                  <c:v>49627</c:v>
                </c:pt>
                <c:pt idx="8">
                  <c:v>113700</c:v>
                </c:pt>
                <c:pt idx="9">
                  <c:v>55799</c:v>
                </c:pt>
                <c:pt idx="10">
                  <c:v>50068</c:v>
                </c:pt>
                <c:pt idx="11">
                  <c:v>119512</c:v>
                </c:pt>
                <c:pt idx="12">
                  <c:v>51628</c:v>
                </c:pt>
                <c:pt idx="13">
                  <c:v>48729</c:v>
                </c:pt>
                <c:pt idx="14">
                  <c:v>107137</c:v>
                </c:pt>
                <c:pt idx="15">
                  <c:v>45854</c:v>
                </c:pt>
                <c:pt idx="16">
                  <c:v>58078</c:v>
                </c:pt>
                <c:pt idx="17">
                  <c:v>111136</c:v>
                </c:pt>
              </c:numCache>
            </c:numRef>
          </c:val>
          <c:extLst>
            <c:ext xmlns:c16="http://schemas.microsoft.com/office/drawing/2014/chart" uri="{C3380CC4-5D6E-409C-BE32-E72D297353CC}">
              <c16:uniqueId val="{00000000-5313-46E4-BC2A-5C5F085D769E}"/>
            </c:ext>
          </c:extLst>
        </c:ser>
        <c:dLbls>
          <c:showLegendKey val="0"/>
          <c:showVal val="0"/>
          <c:showCatName val="0"/>
          <c:showSerName val="0"/>
          <c:showPercent val="0"/>
          <c:showBubbleSize val="0"/>
        </c:dLbls>
        <c:gapWidth val="219"/>
        <c:overlap val="-27"/>
        <c:axId val="562711872"/>
        <c:axId val="562706048"/>
      </c:barChart>
      <c:catAx>
        <c:axId val="56271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06048"/>
        <c:crosses val="autoZero"/>
        <c:auto val="1"/>
        <c:lblAlgn val="ctr"/>
        <c:lblOffset val="100"/>
        <c:noMultiLvlLbl val="0"/>
      </c:catAx>
      <c:valAx>
        <c:axId val="56270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1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[coffee_analysis.xlsx]Dashboard!PivotTable2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 продаж</a:t>
            </a:r>
            <a:r>
              <a:rPr lang="ru-RU" baseline="0"/>
              <a:t> по месяцам</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Dashboard!$O$3</c:f>
              <c:strCache>
                <c:ptCount val="1"/>
                <c:pt idx="0">
                  <c:v>Total</c:v>
                </c:pt>
              </c:strCache>
            </c:strRef>
          </c:tx>
          <c:spPr>
            <a:ln w="28575" cap="rnd">
              <a:solidFill>
                <a:schemeClr val="accent1"/>
              </a:solidFill>
              <a:round/>
            </a:ln>
            <a:effectLst/>
          </c:spPr>
          <c:marker>
            <c:symbol val="none"/>
          </c:marker>
          <c:cat>
            <c:strRef>
              <c:f>Dashboard!$N$4:$N$16</c:f>
              <c:strCache>
                <c:ptCount val="12"/>
                <c:pt idx="0">
                  <c:v>Август 2025</c:v>
                </c:pt>
                <c:pt idx="1">
                  <c:v>Апрель 2025</c:v>
                </c:pt>
                <c:pt idx="2">
                  <c:v>Декабрь 2025</c:v>
                </c:pt>
                <c:pt idx="3">
                  <c:v>Июль 2025</c:v>
                </c:pt>
                <c:pt idx="4">
                  <c:v>Июнь 2025</c:v>
                </c:pt>
                <c:pt idx="5">
                  <c:v>Май 2025</c:v>
                </c:pt>
                <c:pt idx="6">
                  <c:v>Март 2025</c:v>
                </c:pt>
                <c:pt idx="7">
                  <c:v>Ноябрь 2025</c:v>
                </c:pt>
                <c:pt idx="8">
                  <c:v>Октябрь 2025</c:v>
                </c:pt>
                <c:pt idx="9">
                  <c:v>Сентябрь 2025</c:v>
                </c:pt>
                <c:pt idx="10">
                  <c:v>Февраль 2025</c:v>
                </c:pt>
                <c:pt idx="11">
                  <c:v>Январь 2025</c:v>
                </c:pt>
              </c:strCache>
            </c:strRef>
          </c:cat>
          <c:val>
            <c:numRef>
              <c:f>Dashboard!$O$4:$O$16</c:f>
              <c:numCache>
                <c:formatCode>General</c:formatCode>
                <c:ptCount val="12"/>
                <c:pt idx="0">
                  <c:v>79998</c:v>
                </c:pt>
                <c:pt idx="1">
                  <c:v>103538</c:v>
                </c:pt>
                <c:pt idx="2">
                  <c:v>134181</c:v>
                </c:pt>
                <c:pt idx="3">
                  <c:v>86507</c:v>
                </c:pt>
                <c:pt idx="4">
                  <c:v>89058</c:v>
                </c:pt>
                <c:pt idx="5">
                  <c:v>110275</c:v>
                </c:pt>
                <c:pt idx="6">
                  <c:v>113047</c:v>
                </c:pt>
                <c:pt idx="7">
                  <c:v>108158</c:v>
                </c:pt>
                <c:pt idx="8">
                  <c:v>103955</c:v>
                </c:pt>
                <c:pt idx="9">
                  <c:v>122477</c:v>
                </c:pt>
                <c:pt idx="10">
                  <c:v>112300</c:v>
                </c:pt>
                <c:pt idx="11">
                  <c:v>134533</c:v>
                </c:pt>
              </c:numCache>
            </c:numRef>
          </c:val>
          <c:smooth val="0"/>
          <c:extLst>
            <c:ext xmlns:c16="http://schemas.microsoft.com/office/drawing/2014/chart" uri="{C3380CC4-5D6E-409C-BE32-E72D297353CC}">
              <c16:uniqueId val="{00000000-D103-4405-9AA7-EA864C76B415}"/>
            </c:ext>
          </c:extLst>
        </c:ser>
        <c:dLbls>
          <c:showLegendKey val="0"/>
          <c:showVal val="0"/>
          <c:showCatName val="0"/>
          <c:showSerName val="0"/>
          <c:showPercent val="0"/>
          <c:showBubbleSize val="0"/>
        </c:dLbls>
        <c:smooth val="0"/>
        <c:axId val="563810208"/>
        <c:axId val="563807712"/>
      </c:lineChart>
      <c:catAx>
        <c:axId val="5638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07712"/>
        <c:crosses val="autoZero"/>
        <c:auto val="1"/>
        <c:lblAlgn val="ctr"/>
        <c:lblOffset val="100"/>
        <c:noMultiLvlLbl val="0"/>
      </c:catAx>
      <c:valAx>
        <c:axId val="56380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1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297180</xdr:colOff>
      <xdr:row>2</xdr:row>
      <xdr:rowOff>15240</xdr:rowOff>
    </xdr:from>
    <xdr:to>
      <xdr:col>5</xdr:col>
      <xdr:colOff>297180</xdr:colOff>
      <xdr:row>15</xdr:row>
      <xdr:rowOff>104775</xdr:rowOff>
    </xdr:to>
    <mc:AlternateContent xmlns:mc="http://schemas.openxmlformats.org/markup-compatibility/2006">
      <mc:Choice xmlns:a14="http://schemas.microsoft.com/office/drawing/2010/main" Requires="a14">
        <xdr:graphicFrame macro="">
          <xdr:nvGraphicFramePr>
            <xdr:cNvPr id="2" name="Город">
              <a:extLst>
                <a:ext uri="{FF2B5EF4-FFF2-40B4-BE49-F238E27FC236}">
                  <a16:creationId xmlns:a16="http://schemas.microsoft.com/office/drawing/2014/main" id="{4E68F354-AA59-4CF3-A5F7-E32900B51FAD}"/>
                </a:ext>
              </a:extLst>
            </xdr:cNvPr>
            <xdr:cNvGraphicFramePr/>
          </xdr:nvGraphicFramePr>
          <xdr:xfrm>
            <a:off x="0" y="0"/>
            <a:ext cx="0" cy="0"/>
          </xdr:xfrm>
          <a:graphic>
            <a:graphicData uri="http://schemas.microsoft.com/office/drawing/2010/slicer">
              <sle:slicer xmlns:sle="http://schemas.microsoft.com/office/drawing/2010/slicer" name="Город"/>
            </a:graphicData>
          </a:graphic>
        </xdr:graphicFrame>
      </mc:Choice>
      <mc:Fallback>
        <xdr:sp macro="" textlink="">
          <xdr:nvSpPr>
            <xdr:cNvPr id="0" name=""/>
            <xdr:cNvSpPr>
              <a:spLocks noTextEdit="1"/>
            </xdr:cNvSpPr>
          </xdr:nvSpPr>
          <xdr:spPr>
            <a:xfrm>
              <a:off x="2636968" y="373828"/>
              <a:ext cx="1828800" cy="242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350520</xdr:colOff>
      <xdr:row>2</xdr:row>
      <xdr:rowOff>0</xdr:rowOff>
    </xdr:from>
    <xdr:to>
      <xdr:col>8</xdr:col>
      <xdr:colOff>350520</xdr:colOff>
      <xdr:row>15</xdr:row>
      <xdr:rowOff>89535</xdr:rowOff>
    </xdr:to>
    <mc:AlternateContent xmlns:mc="http://schemas.openxmlformats.org/markup-compatibility/2006">
      <mc:Choice xmlns:a14="http://schemas.microsoft.com/office/drawing/2010/main" Requires="a14">
        <xdr:graphicFrame macro="">
          <xdr:nvGraphicFramePr>
            <xdr:cNvPr id="3" name="Месяц/Год">
              <a:extLst>
                <a:ext uri="{FF2B5EF4-FFF2-40B4-BE49-F238E27FC236}">
                  <a16:creationId xmlns:a16="http://schemas.microsoft.com/office/drawing/2014/main" id="{23128744-C770-46DC-A6D3-E4CE5A016E52}"/>
                </a:ext>
              </a:extLst>
            </xdr:cNvPr>
            <xdr:cNvGraphicFramePr/>
          </xdr:nvGraphicFramePr>
          <xdr:xfrm>
            <a:off x="0" y="0"/>
            <a:ext cx="0" cy="0"/>
          </xdr:xfrm>
          <a:graphic>
            <a:graphicData uri="http://schemas.microsoft.com/office/drawing/2010/slicer">
              <sle:slicer xmlns:sle="http://schemas.microsoft.com/office/drawing/2010/slicer" name="Месяц/Год"/>
            </a:graphicData>
          </a:graphic>
        </xdr:graphicFrame>
      </mc:Choice>
      <mc:Fallback>
        <xdr:sp macro="" textlink="">
          <xdr:nvSpPr>
            <xdr:cNvPr id="0" name=""/>
            <xdr:cNvSpPr>
              <a:spLocks noTextEdit="1"/>
            </xdr:cNvSpPr>
          </xdr:nvSpPr>
          <xdr:spPr>
            <a:xfrm>
              <a:off x="4519108" y="358588"/>
              <a:ext cx="1828800" cy="242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403860</xdr:colOff>
      <xdr:row>1</xdr:row>
      <xdr:rowOff>175260</xdr:rowOff>
    </xdr:from>
    <xdr:to>
      <xdr:col>11</xdr:col>
      <xdr:colOff>403860</xdr:colOff>
      <xdr:row>15</xdr:row>
      <xdr:rowOff>81915</xdr:rowOff>
    </xdr:to>
    <mc:AlternateContent xmlns:mc="http://schemas.openxmlformats.org/markup-compatibility/2006">
      <mc:Choice xmlns:a14="http://schemas.microsoft.com/office/drawing/2010/main" Requires="a14">
        <xdr:graphicFrame macro="">
          <xdr:nvGraphicFramePr>
            <xdr:cNvPr id="4" name="Категория">
              <a:extLst>
                <a:ext uri="{FF2B5EF4-FFF2-40B4-BE49-F238E27FC236}">
                  <a16:creationId xmlns:a16="http://schemas.microsoft.com/office/drawing/2014/main" id="{66CB25AE-BEE0-46B0-BCDA-AD8D2077CC95}"/>
                </a:ext>
              </a:extLst>
            </xdr:cNvPr>
            <xdr:cNvGraphicFramePr/>
          </xdr:nvGraphicFramePr>
          <xdr:xfrm>
            <a:off x="0" y="0"/>
            <a:ext cx="0" cy="0"/>
          </xdr:xfrm>
          <a:graphic>
            <a:graphicData uri="http://schemas.microsoft.com/office/drawing/2010/slicer">
              <sle:slicer xmlns:sle="http://schemas.microsoft.com/office/drawing/2010/slicer" name="Категория"/>
            </a:graphicData>
          </a:graphic>
        </xdr:graphicFrame>
      </mc:Choice>
      <mc:Fallback>
        <xdr:sp macro="" textlink="">
          <xdr:nvSpPr>
            <xdr:cNvPr id="0" name=""/>
            <xdr:cNvSpPr>
              <a:spLocks noTextEdit="1"/>
            </xdr:cNvSpPr>
          </xdr:nvSpPr>
          <xdr:spPr>
            <a:xfrm>
              <a:off x="6401248" y="354554"/>
              <a:ext cx="1828800" cy="2416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286870</xdr:colOff>
      <xdr:row>16</xdr:row>
      <xdr:rowOff>43031</xdr:rowOff>
    </xdr:from>
    <xdr:to>
      <xdr:col>12</xdr:col>
      <xdr:colOff>138498</xdr:colOff>
      <xdr:row>33</xdr:row>
      <xdr:rowOff>176605</xdr:rowOff>
    </xdr:to>
    <xdr:graphicFrame macro="">
      <xdr:nvGraphicFramePr>
        <xdr:cNvPr id="5" name="Chart 4">
          <a:extLst>
            <a:ext uri="{FF2B5EF4-FFF2-40B4-BE49-F238E27FC236}">
              <a16:creationId xmlns:a16="http://schemas.microsoft.com/office/drawing/2014/main" id="{6429F999-9E00-4FE4-9199-867E64AB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233083</xdr:colOff>
      <xdr:row>16</xdr:row>
      <xdr:rowOff>166966</xdr:rowOff>
    </xdr:from>
    <xdr:to>
      <xdr:col>18</xdr:col>
      <xdr:colOff>593918</xdr:colOff>
      <xdr:row>33</xdr:row>
      <xdr:rowOff>152400</xdr:rowOff>
    </xdr:to>
    <xdr:graphicFrame macro="">
      <xdr:nvGraphicFramePr>
        <xdr:cNvPr id="6" name="Chart 5">
          <a:extLst>
            <a:ext uri="{FF2B5EF4-FFF2-40B4-BE49-F238E27FC236}">
              <a16:creationId xmlns:a16="http://schemas.microsoft.com/office/drawing/2014/main" id="{7AC51D41-9875-47BE-85D3-CABD4EC51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mozq" refreshedDate="46282.765170601851" createdVersion="7" refreshedVersion="7" minRefreshableVersion="3" recordCount="3264" xr:uid="{87743D25-93A6-43B6-84BF-5F02B375624B}">
  <cacheSource type="worksheet">
    <worksheetSource name="branches"/>
  </cacheSource>
  <cacheFields count="10">
    <cacheField name="Город" numFmtId="0">
      <sharedItems count="6">
        <s v="Екатеринбург"/>
        <s v="Казань"/>
        <s v="Краснодар"/>
        <s v="Москва"/>
        <s v="Новосибирск"/>
        <s v="Санкт-Петербург"/>
      </sharedItems>
    </cacheField>
    <cacheField name="Филиал" numFmtId="0">
      <sharedItems/>
    </cacheField>
    <cacheField name="Дата" numFmtId="14">
      <sharedItems containsSemiMixedTypes="0" containsNonDate="0" containsDate="1" containsString="0" minDate="2025-01-01T00:00:00" maxDate="2025-12-29T00:00:00"/>
    </cacheField>
    <cacheField name="Месяц/Год" numFmtId="14">
      <sharedItems count="12">
        <s v="Декабрь 2025"/>
        <s v="Сентябрь 2025"/>
        <s v="Февраль 2025"/>
        <s v="Октябрь 2025"/>
        <s v="Январь 2025"/>
        <s v="Июль 2025"/>
        <s v="Март 2025"/>
        <s v="Июнь 2025"/>
        <s v="Ноябрь 2025"/>
        <s v="Август 2025"/>
        <s v="Май 2025"/>
        <s v="Апрель 2025"/>
      </sharedItems>
    </cacheField>
    <cacheField name="Товар" numFmtId="0">
      <sharedItems/>
    </cacheField>
    <cacheField name="Категория" numFmtId="0">
      <sharedItems count="3">
        <s v="Выпечка"/>
        <s v="Напитки"/>
        <s v="Еда"/>
      </sharedItems>
    </cacheField>
    <cacheField name="Кол-во" numFmtId="0">
      <sharedItems containsSemiMixedTypes="0" containsString="0" containsNumber="1" containsInteger="1" minValue="1" maxValue="3"/>
    </cacheField>
    <cacheField name="Сумма" numFmtId="0">
      <sharedItems containsSemiMixedTypes="0" containsString="0" containsNumber="1" containsInteger="1" minValue="120" maxValue="1269"/>
    </cacheField>
    <cacheField name="Кассир" numFmtId="0">
      <sharedItems/>
    </cacheField>
    <cacheField name="Менеджер" numFmtId="0">
      <sharedItems/>
    </cacheField>
  </cacheFields>
  <extLst>
    <ext xmlns:x14="http://schemas.microsoft.com/office/spreadsheetml/2009/9/main" uri="{725AE2AE-9491-48be-B2B4-4EB974FC3084}">
      <x14:pivotCacheDefinition pivotCacheId="588893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4">
  <r>
    <x v="0"/>
    <s v="Екатеринбург"/>
    <d v="2025-12-23T00:00:00"/>
    <x v="0"/>
    <s v="Чизкейк"/>
    <x v="0"/>
    <n v="1"/>
    <n v="225"/>
    <s v="Елена В."/>
    <s v="Сергей Мельников"/>
  </r>
  <r>
    <x v="0"/>
    <s v="Екатеринбург"/>
    <d v="2025-09-04T00:00:00"/>
    <x v="1"/>
    <s v="Американо"/>
    <x v="1"/>
    <n v="2"/>
    <n v="330"/>
    <s v="Виктор Л."/>
    <s v="Сергей Мельников"/>
  </r>
  <r>
    <x v="0"/>
    <s v="Екатеринбург"/>
    <d v="2025-09-01T00:00:00"/>
    <x v="1"/>
    <s v="Раф"/>
    <x v="1"/>
    <n v="2"/>
    <n v="552"/>
    <s v="Игорь С."/>
    <s v="Сергей Мельников"/>
  </r>
  <r>
    <x v="0"/>
    <s v="Екатеринбург"/>
    <d v="2025-02-03T00:00:00"/>
    <x v="2"/>
    <s v="Сэндвич"/>
    <x v="2"/>
    <n v="3"/>
    <n v="1026"/>
    <s v="Виктор Л."/>
    <s v="Сергей Мельников"/>
  </r>
  <r>
    <x v="0"/>
    <s v="Екатеринбург"/>
    <d v="2025-10-04T00:00:00"/>
    <x v="3"/>
    <s v="Эспрессо"/>
    <x v="1"/>
    <n v="2"/>
    <n v="266"/>
    <s v="Наталья Р."/>
    <s v="Сергей Мельников"/>
  </r>
  <r>
    <x v="0"/>
    <s v="Екатеринбург"/>
    <d v="2025-01-23T00:00:00"/>
    <x v="4"/>
    <s v="Матча латте"/>
    <x v="1"/>
    <n v="3"/>
    <n v="744"/>
    <s v="Виктор Л."/>
    <s v="Сергей Мельников"/>
  </r>
  <r>
    <x v="0"/>
    <s v="Екатеринбург"/>
    <d v="2025-07-09T00:00:00"/>
    <x v="5"/>
    <s v="Чизкейк"/>
    <x v="0"/>
    <n v="3"/>
    <n v="819"/>
    <s v="Наталья Р."/>
    <s v="Сергей Мельников"/>
  </r>
  <r>
    <x v="0"/>
    <s v="Екатеринбург"/>
    <d v="2025-09-14T00:00:00"/>
    <x v="1"/>
    <s v="Матча латте"/>
    <x v="1"/>
    <n v="2"/>
    <n v="530"/>
    <s v="Максим П."/>
    <s v="Сергей Мельников"/>
  </r>
  <r>
    <x v="0"/>
    <s v="Екатеринбург"/>
    <d v="2025-03-03T00:00:00"/>
    <x v="6"/>
    <s v="Американо"/>
    <x v="1"/>
    <n v="2"/>
    <n v="316"/>
    <s v="Виктор Л."/>
    <s v="Сергей Мельников"/>
  </r>
  <r>
    <x v="0"/>
    <s v="Екатеринбург"/>
    <d v="2025-02-25T00:00:00"/>
    <x v="2"/>
    <s v="Сэндвич"/>
    <x v="2"/>
    <n v="2"/>
    <n v="648"/>
    <s v="Игорь С."/>
    <s v="Сергей Мельников"/>
  </r>
  <r>
    <x v="0"/>
    <s v="Екатеринбург"/>
    <d v="2025-03-04T00:00:00"/>
    <x v="6"/>
    <s v="Круассан"/>
    <x v="0"/>
    <n v="1"/>
    <n v="160"/>
    <s v="Анна К."/>
    <s v="Сергей Мельников"/>
  </r>
  <r>
    <x v="0"/>
    <s v="Екатеринбург"/>
    <d v="2025-01-19T00:00:00"/>
    <x v="4"/>
    <s v="Раф"/>
    <x v="1"/>
    <n v="1"/>
    <n v="268"/>
    <s v="Виктор Л."/>
    <s v="Сергей Мельников"/>
  </r>
  <r>
    <x v="0"/>
    <s v="Екатеринбург"/>
    <d v="2025-12-19T00:00:00"/>
    <x v="0"/>
    <s v="Салат Цезарь"/>
    <x v="2"/>
    <n v="1"/>
    <n v="390"/>
    <s v="Анна К."/>
    <s v="Сергей Мельников"/>
  </r>
  <r>
    <x v="0"/>
    <s v="Екатеринбург"/>
    <d v="2025-06-19T00:00:00"/>
    <x v="7"/>
    <s v="Эспрессо"/>
    <x v="1"/>
    <n v="2"/>
    <n v="250"/>
    <s v="Виктор Л."/>
    <s v="Сергей Мельников"/>
  </r>
  <r>
    <x v="0"/>
    <s v="Екатеринбург"/>
    <d v="2025-02-27T00:00:00"/>
    <x v="2"/>
    <s v="Круассан"/>
    <x v="0"/>
    <n v="1"/>
    <n v="169"/>
    <s v="Елена В."/>
    <s v="Сергей Мельников"/>
  </r>
  <r>
    <x v="0"/>
    <s v="Екатеринбург"/>
    <d v="2025-03-27T00:00:00"/>
    <x v="6"/>
    <s v="Чизкейк"/>
    <x v="0"/>
    <n v="1"/>
    <n v="245"/>
    <s v="Виктор Л."/>
    <s v="Сергей Мельников"/>
  </r>
  <r>
    <x v="0"/>
    <s v="Екатеринбург"/>
    <d v="2025-12-04T00:00:00"/>
    <x v="0"/>
    <s v="Круассан"/>
    <x v="0"/>
    <n v="3"/>
    <n v="597"/>
    <s v="Игорь С."/>
    <s v="Сергей Мельников"/>
  </r>
  <r>
    <x v="0"/>
    <s v="Екатеринбург"/>
    <d v="2025-01-01T00:00:00"/>
    <x v="4"/>
    <s v="Американо"/>
    <x v="1"/>
    <n v="1"/>
    <n v="145"/>
    <s v="Наталья Р."/>
    <s v="Сергей Мельников"/>
  </r>
  <r>
    <x v="0"/>
    <s v="Екатеринбург"/>
    <d v="2025-01-23T00:00:00"/>
    <x v="4"/>
    <s v="Эспрессо"/>
    <x v="1"/>
    <n v="2"/>
    <n v="314"/>
    <s v="Анна К."/>
    <s v="Сергей Мельников"/>
  </r>
  <r>
    <x v="0"/>
    <s v="Екатеринбург"/>
    <d v="2025-09-23T00:00:00"/>
    <x v="1"/>
    <s v="Салат Цезарь"/>
    <x v="2"/>
    <n v="1"/>
    <n v="388"/>
    <s v="Наталья Р."/>
    <s v="Сергей Мельников"/>
  </r>
  <r>
    <x v="0"/>
    <s v="Екатеринбург"/>
    <d v="2025-11-01T00:00:00"/>
    <x v="8"/>
    <s v="Матча латте"/>
    <x v="1"/>
    <n v="2"/>
    <n v="526"/>
    <s v="Виктор Л."/>
    <s v="Сергей Мельников"/>
  </r>
  <r>
    <x v="0"/>
    <s v="Екатеринбург"/>
    <d v="2025-01-03T00:00:00"/>
    <x v="4"/>
    <s v="Какао"/>
    <x v="1"/>
    <n v="1"/>
    <n v="212"/>
    <s v="Елена В."/>
    <s v="Сергей Мельников"/>
  </r>
  <r>
    <x v="0"/>
    <s v="Екатеринбург"/>
    <d v="2025-11-14T00:00:00"/>
    <x v="8"/>
    <s v="Американо"/>
    <x v="1"/>
    <n v="2"/>
    <n v="354"/>
    <s v="Наталья Р."/>
    <s v="Сергей Мельников"/>
  </r>
  <r>
    <x v="0"/>
    <s v="Екатеринбург"/>
    <d v="2025-07-11T00:00:00"/>
    <x v="5"/>
    <s v="Матча латте"/>
    <x v="1"/>
    <n v="1"/>
    <n v="257"/>
    <s v="Игорь С."/>
    <s v="Сергей Мельников"/>
  </r>
  <r>
    <x v="0"/>
    <s v="Екатеринбург"/>
    <d v="2025-08-03T00:00:00"/>
    <x v="9"/>
    <s v="Эспрессо"/>
    <x v="1"/>
    <n v="2"/>
    <n v="282"/>
    <s v="Елена В."/>
    <s v="Сергей Мельников"/>
  </r>
  <r>
    <x v="0"/>
    <s v="Екатеринбург"/>
    <d v="2025-07-23T00:00:00"/>
    <x v="5"/>
    <s v="Салат Цезарь"/>
    <x v="2"/>
    <n v="1"/>
    <n v="350"/>
    <s v="Виктор Л."/>
    <s v="Сергей Мельников"/>
  </r>
  <r>
    <x v="0"/>
    <s v="Екатеринбург"/>
    <d v="2025-05-21T00:00:00"/>
    <x v="10"/>
    <s v="Раф"/>
    <x v="1"/>
    <n v="1"/>
    <n v="233"/>
    <s v="Анна К."/>
    <s v="Сергей Мельников"/>
  </r>
  <r>
    <x v="0"/>
    <s v="Екатеринбург"/>
    <d v="2025-05-17T00:00:00"/>
    <x v="10"/>
    <s v="Американо"/>
    <x v="1"/>
    <n v="2"/>
    <n v="386"/>
    <s v="Игорь С."/>
    <s v="Сергей Мельников"/>
  </r>
  <r>
    <x v="0"/>
    <s v="Екатеринбург"/>
    <d v="2025-01-17T00:00:00"/>
    <x v="4"/>
    <s v="Синнабон"/>
    <x v="0"/>
    <n v="2"/>
    <n v="418"/>
    <s v="Виктор Л."/>
    <s v="Сергей Мельников"/>
  </r>
  <r>
    <x v="0"/>
    <s v="Екатеринбург"/>
    <d v="2025-01-27T00:00:00"/>
    <x v="4"/>
    <s v="Сэндвич"/>
    <x v="2"/>
    <n v="1"/>
    <n v="320"/>
    <s v="Максим П."/>
    <s v="Сергей Мельников"/>
  </r>
  <r>
    <x v="0"/>
    <s v="Екатеринбург"/>
    <d v="2025-09-12T00:00:00"/>
    <x v="1"/>
    <s v="Американо"/>
    <x v="1"/>
    <n v="3"/>
    <n v="516"/>
    <s v="Виктор Л."/>
    <s v="Сергей Мельников"/>
  </r>
  <r>
    <x v="0"/>
    <s v="Екатеринбург"/>
    <d v="2025-06-03T00:00:00"/>
    <x v="7"/>
    <s v="Раф"/>
    <x v="1"/>
    <n v="3"/>
    <n v="843"/>
    <s v="Анна К."/>
    <s v="Сергей Мельников"/>
  </r>
  <r>
    <x v="0"/>
    <s v="Екатеринбург"/>
    <d v="2025-04-05T00:00:00"/>
    <x v="11"/>
    <s v="Салат Цезарь"/>
    <x v="2"/>
    <n v="3"/>
    <n v="1152"/>
    <s v="Анна К."/>
    <s v="Сергей Мельников"/>
  </r>
  <r>
    <x v="0"/>
    <s v="Екатеринбург"/>
    <d v="2025-05-11T00:00:00"/>
    <x v="10"/>
    <s v="Матча латте"/>
    <x v="1"/>
    <n v="3"/>
    <n v="876"/>
    <s v="Анна К."/>
    <s v="Сергей Мельников"/>
  </r>
  <r>
    <x v="0"/>
    <s v="Екатеринбург"/>
    <d v="2025-12-03T00:00:00"/>
    <x v="0"/>
    <s v="Сэндвич"/>
    <x v="2"/>
    <n v="1"/>
    <n v="330"/>
    <s v="Виктор Л."/>
    <s v="Сергей Мельников"/>
  </r>
  <r>
    <x v="0"/>
    <s v="Екатеринбург"/>
    <d v="2025-04-16T00:00:00"/>
    <x v="11"/>
    <s v="Сэндвич"/>
    <x v="2"/>
    <n v="2"/>
    <n v="610"/>
    <s v="Виктор Л."/>
    <s v="Сергей Мельников"/>
  </r>
  <r>
    <x v="0"/>
    <s v="Екатеринбург"/>
    <d v="2025-12-26T00:00:00"/>
    <x v="0"/>
    <s v="Какао"/>
    <x v="1"/>
    <n v="2"/>
    <n v="478"/>
    <s v="Анна К."/>
    <s v="Сергей Мельников"/>
  </r>
  <r>
    <x v="0"/>
    <s v="Екатеринбург"/>
    <d v="2025-04-25T00:00:00"/>
    <x v="11"/>
    <s v="Салат Цезарь"/>
    <x v="2"/>
    <n v="1"/>
    <n v="376"/>
    <s v="Игорь С."/>
    <s v="Сергей Мельников"/>
  </r>
  <r>
    <x v="0"/>
    <s v="Екатеринбург"/>
    <d v="2025-09-03T00:00:00"/>
    <x v="1"/>
    <s v="Синнабон"/>
    <x v="0"/>
    <n v="3"/>
    <n v="657"/>
    <s v="Наталья Р."/>
    <s v="Сергей Мельников"/>
  </r>
  <r>
    <x v="0"/>
    <s v="Екатеринбург"/>
    <d v="2025-08-07T00:00:00"/>
    <x v="9"/>
    <s v="Круассан"/>
    <x v="0"/>
    <n v="1"/>
    <n v="200"/>
    <s v="Елена В."/>
    <s v="Сергей Мельников"/>
  </r>
  <r>
    <x v="0"/>
    <s v="Екатеринбург"/>
    <d v="2025-05-25T00:00:00"/>
    <x v="10"/>
    <s v="Сэндвич"/>
    <x v="2"/>
    <n v="1"/>
    <n v="350"/>
    <s v="Максим П."/>
    <s v="Сергей Мельников"/>
  </r>
  <r>
    <x v="0"/>
    <s v="Екатеринбург"/>
    <d v="2025-06-09T00:00:00"/>
    <x v="7"/>
    <s v="Капучино"/>
    <x v="1"/>
    <n v="2"/>
    <n v="448"/>
    <s v="Виктор Л."/>
    <s v="Сергей Мельников"/>
  </r>
  <r>
    <x v="0"/>
    <s v="Екатеринбург"/>
    <d v="2025-04-08T00:00:00"/>
    <x v="11"/>
    <s v="Американо"/>
    <x v="1"/>
    <n v="3"/>
    <n v="483"/>
    <s v="Игорь С."/>
    <s v="Сергей Мельников"/>
  </r>
  <r>
    <x v="0"/>
    <s v="Екатеринбург"/>
    <d v="2025-05-07T00:00:00"/>
    <x v="10"/>
    <s v="Эспрессо"/>
    <x v="1"/>
    <n v="1"/>
    <n v="137"/>
    <s v="Наталья Р."/>
    <s v="Сергей Мельников"/>
  </r>
  <r>
    <x v="0"/>
    <s v="Екатеринбург"/>
    <d v="2025-11-12T00:00:00"/>
    <x v="8"/>
    <s v="Латте"/>
    <x v="1"/>
    <n v="2"/>
    <n v="410"/>
    <s v="Игорь С."/>
    <s v="Сергей Мельников"/>
  </r>
  <r>
    <x v="0"/>
    <s v="Екатеринбург"/>
    <d v="2025-03-06T00:00:00"/>
    <x v="6"/>
    <s v="Раф"/>
    <x v="1"/>
    <n v="3"/>
    <n v="804"/>
    <s v="Виктор Л."/>
    <s v="Сергей Мельников"/>
  </r>
  <r>
    <x v="0"/>
    <s v="Екатеринбург"/>
    <d v="2025-02-28T00:00:00"/>
    <x v="2"/>
    <s v="Сэндвич"/>
    <x v="2"/>
    <n v="3"/>
    <n v="1053"/>
    <s v="Игорь С."/>
    <s v="Сергей Мельников"/>
  </r>
  <r>
    <x v="0"/>
    <s v="Екатеринбург"/>
    <d v="2025-09-04T00:00:00"/>
    <x v="1"/>
    <s v="Салат Цезарь"/>
    <x v="2"/>
    <n v="2"/>
    <n v="808"/>
    <s v="Виктор Л."/>
    <s v="Сергей Мельников"/>
  </r>
  <r>
    <x v="0"/>
    <s v="Екатеринбург"/>
    <d v="2025-07-18T00:00:00"/>
    <x v="5"/>
    <s v="Капучино"/>
    <x v="1"/>
    <n v="1"/>
    <n v="192"/>
    <s v="Максим П."/>
    <s v="Сергей Мельников"/>
  </r>
  <r>
    <x v="0"/>
    <s v="Екатеринбург"/>
    <d v="2025-03-20T00:00:00"/>
    <x v="6"/>
    <s v="Матча латте"/>
    <x v="1"/>
    <n v="2"/>
    <n v="620"/>
    <s v="Максим П."/>
    <s v="Сергей Мельников"/>
  </r>
  <r>
    <x v="0"/>
    <s v="Екатеринбург"/>
    <d v="2025-01-15T00:00:00"/>
    <x v="4"/>
    <s v="Эспрессо"/>
    <x v="1"/>
    <n v="1"/>
    <n v="146"/>
    <s v="Виктор Л."/>
    <s v="Сергей Мельников"/>
  </r>
  <r>
    <x v="0"/>
    <s v="Екатеринбург"/>
    <d v="2025-12-12T00:00:00"/>
    <x v="0"/>
    <s v="Эспрессо"/>
    <x v="1"/>
    <n v="1"/>
    <n v="150"/>
    <s v="Максим П."/>
    <s v="Сергей Мельников"/>
  </r>
  <r>
    <x v="0"/>
    <s v="Екатеринбург"/>
    <d v="2025-04-18T00:00:00"/>
    <x v="11"/>
    <s v="Салат Цезарь"/>
    <x v="2"/>
    <n v="2"/>
    <n v="848"/>
    <s v="Виктор Л."/>
    <s v="Сергей Мельников"/>
  </r>
  <r>
    <x v="0"/>
    <s v="Екатеринбург"/>
    <d v="2025-01-28T00:00:00"/>
    <x v="4"/>
    <s v="Раф"/>
    <x v="1"/>
    <n v="1"/>
    <n v="244"/>
    <s v="Виктор Л."/>
    <s v="Сергей Мельников"/>
  </r>
  <r>
    <x v="0"/>
    <s v="Екатеринбург"/>
    <d v="2025-05-02T00:00:00"/>
    <x v="10"/>
    <s v="Салат Цезарь"/>
    <x v="2"/>
    <n v="2"/>
    <n v="700"/>
    <s v="Наталья Р."/>
    <s v="Сергей Мельников"/>
  </r>
  <r>
    <x v="0"/>
    <s v="Екатеринбург"/>
    <d v="2025-03-10T00:00:00"/>
    <x v="6"/>
    <s v="Латте"/>
    <x v="1"/>
    <n v="1"/>
    <n v="232"/>
    <s v="Елена В."/>
    <s v="Сергей Мельников"/>
  </r>
  <r>
    <x v="0"/>
    <s v="Екатеринбург"/>
    <d v="2025-07-05T00:00:00"/>
    <x v="5"/>
    <s v="Латте"/>
    <x v="1"/>
    <n v="2"/>
    <n v="448"/>
    <s v="Виктор Л."/>
    <s v="Сергей Мельников"/>
  </r>
  <r>
    <x v="0"/>
    <s v="Екатеринбург"/>
    <d v="2025-06-16T00:00:00"/>
    <x v="7"/>
    <s v="Американо"/>
    <x v="1"/>
    <n v="1"/>
    <n v="166"/>
    <s v="Максим П."/>
    <s v="Сергей Мельников"/>
  </r>
  <r>
    <x v="0"/>
    <s v="Екатеринбург"/>
    <d v="2025-10-16T00:00:00"/>
    <x v="3"/>
    <s v="Американо"/>
    <x v="1"/>
    <n v="1"/>
    <n v="191"/>
    <s v="Игорь С."/>
    <s v="Сергей Мельников"/>
  </r>
  <r>
    <x v="0"/>
    <s v="Екатеринбург"/>
    <d v="2025-01-03T00:00:00"/>
    <x v="4"/>
    <s v="Латте"/>
    <x v="1"/>
    <n v="3"/>
    <n v="630"/>
    <s v="Елена В."/>
    <s v="Сергей Мельников"/>
  </r>
  <r>
    <x v="0"/>
    <s v="Екатеринбург"/>
    <d v="2025-03-14T00:00:00"/>
    <x v="6"/>
    <s v="Латте"/>
    <x v="1"/>
    <n v="3"/>
    <n v="705"/>
    <s v="Анна К."/>
    <s v="Сергей Мельников"/>
  </r>
  <r>
    <x v="0"/>
    <s v="Екатеринбург"/>
    <d v="2025-08-17T00:00:00"/>
    <x v="9"/>
    <s v="Американо"/>
    <x v="1"/>
    <n v="3"/>
    <n v="465"/>
    <s v="Наталья Р."/>
    <s v="Сергей Мельников"/>
  </r>
  <r>
    <x v="0"/>
    <s v="Екатеринбург"/>
    <d v="2025-03-19T00:00:00"/>
    <x v="6"/>
    <s v="Синнабон"/>
    <x v="0"/>
    <n v="2"/>
    <n v="396"/>
    <s v="Елена В."/>
    <s v="Сергей Мельников"/>
  </r>
  <r>
    <x v="0"/>
    <s v="Екатеринбург"/>
    <d v="2025-02-15T00:00:00"/>
    <x v="2"/>
    <s v="Салат Цезарь"/>
    <x v="2"/>
    <n v="1"/>
    <n v="382"/>
    <s v="Наталья Р."/>
    <s v="Сергей Мельников"/>
  </r>
  <r>
    <x v="0"/>
    <s v="Екатеринбург"/>
    <d v="2025-02-05T00:00:00"/>
    <x v="2"/>
    <s v="Салат Цезарь"/>
    <x v="2"/>
    <n v="2"/>
    <n v="678"/>
    <s v="Игорь С."/>
    <s v="Сергей Мельников"/>
  </r>
  <r>
    <x v="0"/>
    <s v="Екатеринбург"/>
    <d v="2025-07-14T00:00:00"/>
    <x v="5"/>
    <s v="Капучино"/>
    <x v="1"/>
    <n v="2"/>
    <n v="466"/>
    <s v="Виктор Л."/>
    <s v="Сергей Мельников"/>
  </r>
  <r>
    <x v="0"/>
    <s v="Екатеринбург"/>
    <d v="2025-11-17T00:00:00"/>
    <x v="8"/>
    <s v="Раф"/>
    <x v="1"/>
    <n v="1"/>
    <n v="263"/>
    <s v="Максим П."/>
    <s v="Сергей Мельников"/>
  </r>
  <r>
    <x v="0"/>
    <s v="Екатеринбург"/>
    <d v="2025-05-07T00:00:00"/>
    <x v="10"/>
    <s v="Капучино"/>
    <x v="1"/>
    <n v="1"/>
    <n v="216"/>
    <s v="Наталья Р."/>
    <s v="Сергей Мельников"/>
  </r>
  <r>
    <x v="0"/>
    <s v="Екатеринбург"/>
    <d v="2025-12-02T00:00:00"/>
    <x v="0"/>
    <s v="Круассан"/>
    <x v="0"/>
    <n v="1"/>
    <n v="165"/>
    <s v="Елена В."/>
    <s v="Сергей Мельников"/>
  </r>
  <r>
    <x v="0"/>
    <s v="Екатеринбург"/>
    <d v="2025-11-12T00:00:00"/>
    <x v="8"/>
    <s v="Салат Цезарь"/>
    <x v="2"/>
    <n v="3"/>
    <n v="1170"/>
    <s v="Максим П."/>
    <s v="Сергей Мельников"/>
  </r>
  <r>
    <x v="0"/>
    <s v="Екатеринбург"/>
    <d v="2025-04-22T00:00:00"/>
    <x v="11"/>
    <s v="Синнабон"/>
    <x v="0"/>
    <n v="2"/>
    <n v="390"/>
    <s v="Наталья Р."/>
    <s v="Сергей Мельников"/>
  </r>
  <r>
    <x v="0"/>
    <s v="Екатеринбург"/>
    <d v="2025-10-22T00:00:00"/>
    <x v="3"/>
    <s v="Эспрессо"/>
    <x v="1"/>
    <n v="1"/>
    <n v="133"/>
    <s v="Елена В."/>
    <s v="Сергей Мельников"/>
  </r>
  <r>
    <x v="0"/>
    <s v="Екатеринбург"/>
    <d v="2025-07-03T00:00:00"/>
    <x v="5"/>
    <s v="Американо"/>
    <x v="1"/>
    <n v="2"/>
    <n v="302"/>
    <s v="Максим П."/>
    <s v="Сергей Мельников"/>
  </r>
  <r>
    <x v="0"/>
    <s v="Екатеринбург"/>
    <d v="2025-05-13T00:00:00"/>
    <x v="10"/>
    <s v="Салат Цезарь"/>
    <x v="2"/>
    <n v="3"/>
    <n v="1269"/>
    <s v="Виктор Л."/>
    <s v="Сергей Мельников"/>
  </r>
  <r>
    <x v="0"/>
    <s v="Екатеринбург"/>
    <d v="2025-11-15T00:00:00"/>
    <x v="8"/>
    <s v="Круассан"/>
    <x v="0"/>
    <n v="1"/>
    <n v="183"/>
    <s v="Анна К."/>
    <s v="Сергей Мельников"/>
  </r>
  <r>
    <x v="0"/>
    <s v="Екатеринбург"/>
    <d v="2025-07-07T00:00:00"/>
    <x v="5"/>
    <s v="Чизкейк"/>
    <x v="0"/>
    <n v="2"/>
    <n v="470"/>
    <s v="Максим П."/>
    <s v="Сергей Мельников"/>
  </r>
  <r>
    <x v="0"/>
    <s v="Екатеринбург"/>
    <d v="2025-12-25T00:00:00"/>
    <x v="0"/>
    <s v="Капучино"/>
    <x v="1"/>
    <n v="2"/>
    <n v="370"/>
    <s v="Максим П."/>
    <s v="Сергей Мельников"/>
  </r>
  <r>
    <x v="0"/>
    <s v="Екатеринбург"/>
    <d v="2025-08-21T00:00:00"/>
    <x v="9"/>
    <s v="Круассан"/>
    <x v="0"/>
    <n v="1"/>
    <n v="188"/>
    <s v="Максим П."/>
    <s v="Сергей Мельников"/>
  </r>
  <r>
    <x v="0"/>
    <s v="Екатеринбург"/>
    <d v="2025-06-06T00:00:00"/>
    <x v="7"/>
    <s v="Капучино"/>
    <x v="1"/>
    <n v="2"/>
    <n v="378"/>
    <s v="Игорь С."/>
    <s v="Сергей Мельников"/>
  </r>
  <r>
    <x v="0"/>
    <s v="Екатеринбург"/>
    <d v="2025-01-24T00:00:00"/>
    <x v="4"/>
    <s v="Раф"/>
    <x v="1"/>
    <n v="3"/>
    <n v="729"/>
    <s v="Игорь С."/>
    <s v="Сергей Мельников"/>
  </r>
  <r>
    <x v="0"/>
    <s v="Екатеринбург"/>
    <d v="2025-05-05T00:00:00"/>
    <x v="10"/>
    <s v="Чизкейк"/>
    <x v="0"/>
    <n v="1"/>
    <n v="266"/>
    <s v="Игорь С."/>
    <s v="Сергей Мельников"/>
  </r>
  <r>
    <x v="0"/>
    <s v="Екатеринбург"/>
    <d v="2025-09-13T00:00:00"/>
    <x v="1"/>
    <s v="Эспрессо"/>
    <x v="1"/>
    <n v="3"/>
    <n v="438"/>
    <s v="Не указан"/>
    <s v="Сергей Мельников"/>
  </r>
  <r>
    <x v="0"/>
    <s v="Екатеринбург"/>
    <d v="2025-11-09T00:00:00"/>
    <x v="8"/>
    <s v="Какао"/>
    <x v="1"/>
    <n v="1"/>
    <n v="233"/>
    <s v="Наталья Р."/>
    <s v="Сергей Мельников"/>
  </r>
  <r>
    <x v="0"/>
    <s v="Екатеринбург"/>
    <d v="2025-04-22T00:00:00"/>
    <x v="11"/>
    <s v="Раф"/>
    <x v="1"/>
    <n v="1"/>
    <n v="258"/>
    <s v="Игорь С."/>
    <s v="Сергей Мельников"/>
  </r>
  <r>
    <x v="0"/>
    <s v="Екатеринбург"/>
    <d v="2025-12-15T00:00:00"/>
    <x v="0"/>
    <s v="Круассан"/>
    <x v="0"/>
    <n v="2"/>
    <n v="372"/>
    <s v="Анна К."/>
    <s v="Сергей Мельников"/>
  </r>
  <r>
    <x v="0"/>
    <s v="Екатеринбург"/>
    <d v="2025-08-11T00:00:00"/>
    <x v="9"/>
    <s v="Чизкейк"/>
    <x v="0"/>
    <n v="2"/>
    <n v="560"/>
    <s v="Елена В."/>
    <s v="Сергей Мельников"/>
  </r>
  <r>
    <x v="0"/>
    <s v="Екатеринбург"/>
    <d v="2025-11-12T00:00:00"/>
    <x v="8"/>
    <s v="Американо"/>
    <x v="1"/>
    <n v="1"/>
    <n v="188"/>
    <s v="Елена В."/>
    <s v="Сергей Мельников"/>
  </r>
  <r>
    <x v="0"/>
    <s v="Екатеринбург"/>
    <d v="2025-04-27T00:00:00"/>
    <x v="11"/>
    <s v="Раф"/>
    <x v="1"/>
    <n v="3"/>
    <n v="786"/>
    <s v="Анна К."/>
    <s v="Сергей Мельников"/>
  </r>
  <r>
    <x v="0"/>
    <s v="Екатеринбург"/>
    <d v="2025-03-09T00:00:00"/>
    <x v="6"/>
    <s v="Синнабон"/>
    <x v="0"/>
    <n v="1"/>
    <n v="189"/>
    <s v="Анна К."/>
    <s v="Сергей Мельников"/>
  </r>
  <r>
    <x v="0"/>
    <s v="Екатеринбург"/>
    <d v="2025-08-03T00:00:00"/>
    <x v="9"/>
    <s v="Какао"/>
    <x v="1"/>
    <n v="2"/>
    <n v="474"/>
    <s v="Елена В."/>
    <s v="Сергей Мельников"/>
  </r>
  <r>
    <x v="0"/>
    <s v="Екатеринбург"/>
    <d v="2025-08-06T00:00:00"/>
    <x v="9"/>
    <s v="Эспрессо"/>
    <x v="1"/>
    <n v="3"/>
    <n v="408"/>
    <s v="Анна К."/>
    <s v="Сергей Мельников"/>
  </r>
  <r>
    <x v="0"/>
    <s v="Екатеринбург"/>
    <d v="2025-02-03T00:00:00"/>
    <x v="2"/>
    <s v="Эспрессо"/>
    <x v="1"/>
    <n v="2"/>
    <n v="316"/>
    <s v="Виктор Л."/>
    <s v="Сергей Мельников"/>
  </r>
  <r>
    <x v="0"/>
    <s v="Екатеринбург"/>
    <d v="2025-09-14T00:00:00"/>
    <x v="1"/>
    <s v="Круассан"/>
    <x v="0"/>
    <n v="3"/>
    <n v="567"/>
    <s v="Игорь С."/>
    <s v="Сергей Мельников"/>
  </r>
  <r>
    <x v="0"/>
    <s v="Екатеринбург"/>
    <d v="2025-09-20T00:00:00"/>
    <x v="1"/>
    <s v="Латте"/>
    <x v="1"/>
    <n v="2"/>
    <n v="518"/>
    <s v="Анна К."/>
    <s v="Сергей Мельников"/>
  </r>
  <r>
    <x v="0"/>
    <s v="Екатеринбург"/>
    <d v="2025-11-01T00:00:00"/>
    <x v="8"/>
    <s v="Латте"/>
    <x v="1"/>
    <n v="1"/>
    <n v="252"/>
    <s v="Наталья Р."/>
    <s v="Сергей Мельников"/>
  </r>
  <r>
    <x v="0"/>
    <s v="Екатеринбург"/>
    <d v="2025-01-23T00:00:00"/>
    <x v="4"/>
    <s v="Салат Цезарь"/>
    <x v="2"/>
    <n v="1"/>
    <n v="400"/>
    <s v="Игорь С."/>
    <s v="Сергей Мельников"/>
  </r>
  <r>
    <x v="0"/>
    <s v="Екатеринбург"/>
    <d v="2025-05-27T00:00:00"/>
    <x v="10"/>
    <s v="Американо"/>
    <x v="1"/>
    <n v="2"/>
    <n v="312"/>
    <s v="Максим П."/>
    <s v="Сергей Мельников"/>
  </r>
  <r>
    <x v="0"/>
    <s v="Екатеринбург"/>
    <d v="2025-08-04T00:00:00"/>
    <x v="9"/>
    <s v="Латте"/>
    <x v="1"/>
    <n v="1"/>
    <n v="246"/>
    <s v="Игорь С."/>
    <s v="Сергей Мельников"/>
  </r>
  <r>
    <x v="0"/>
    <s v="Екатеринбург"/>
    <d v="2025-02-23T00:00:00"/>
    <x v="2"/>
    <s v="Салат Цезарь"/>
    <x v="2"/>
    <n v="1"/>
    <n v="363"/>
    <s v="Виктор Л."/>
    <s v="Сергей Мельников"/>
  </r>
  <r>
    <x v="0"/>
    <s v="Екатеринбург"/>
    <d v="2025-06-20T00:00:00"/>
    <x v="7"/>
    <s v="Сэндвич"/>
    <x v="2"/>
    <n v="3"/>
    <n v="954"/>
    <s v="Елена В."/>
    <s v="Сергей Мельников"/>
  </r>
  <r>
    <x v="0"/>
    <s v="Екатеринбург"/>
    <d v="2025-09-26T00:00:00"/>
    <x v="1"/>
    <s v="Сэндвич"/>
    <x v="2"/>
    <n v="2"/>
    <n v="572"/>
    <s v="Наталья Р."/>
    <s v="Сергей Мельников"/>
  </r>
  <r>
    <x v="0"/>
    <s v="Екатеринбург"/>
    <d v="2025-12-22T00:00:00"/>
    <x v="0"/>
    <s v="Американо"/>
    <x v="1"/>
    <n v="1"/>
    <n v="151"/>
    <s v="Анна К."/>
    <s v="Сергей Мельников"/>
  </r>
  <r>
    <x v="0"/>
    <s v="Екатеринбург"/>
    <d v="2025-12-01T00:00:00"/>
    <x v="0"/>
    <s v="Эспрессо"/>
    <x v="1"/>
    <n v="1"/>
    <n v="150"/>
    <s v="Наталья Р."/>
    <s v="Сергей Мельников"/>
  </r>
  <r>
    <x v="0"/>
    <s v="Екатеринбург"/>
    <d v="2025-04-24T00:00:00"/>
    <x v="11"/>
    <s v="Салат Цезарь"/>
    <x v="2"/>
    <n v="1"/>
    <n v="341"/>
    <s v="Виктор Л."/>
    <s v="Сергей Мельников"/>
  </r>
  <r>
    <x v="0"/>
    <s v="Екатеринбург"/>
    <d v="2025-11-13T00:00:00"/>
    <x v="8"/>
    <s v="Латте"/>
    <x v="1"/>
    <n v="1"/>
    <n v="258"/>
    <s v="Виктор Л."/>
    <s v="Сергей Мельников"/>
  </r>
  <r>
    <x v="0"/>
    <s v="Екатеринбург"/>
    <d v="2025-04-24T00:00:00"/>
    <x v="11"/>
    <s v="Американо"/>
    <x v="1"/>
    <n v="2"/>
    <n v="342"/>
    <s v="Елена В."/>
    <s v="Сергей Мельников"/>
  </r>
  <r>
    <x v="0"/>
    <s v="Екатеринбург"/>
    <d v="2025-07-26T00:00:00"/>
    <x v="5"/>
    <s v="Какао"/>
    <x v="1"/>
    <n v="1"/>
    <n v="198"/>
    <s v="Елена В."/>
    <s v="Сергей Мельников"/>
  </r>
  <r>
    <x v="0"/>
    <s v="Екатеринбург"/>
    <d v="2025-08-25T00:00:00"/>
    <x v="9"/>
    <s v="Латте"/>
    <x v="1"/>
    <n v="2"/>
    <n v="502"/>
    <s v="Максим П."/>
    <s v="Сергей Мельников"/>
  </r>
  <r>
    <x v="0"/>
    <s v="Екатеринбург"/>
    <d v="2025-02-10T00:00:00"/>
    <x v="2"/>
    <s v="Латте"/>
    <x v="1"/>
    <n v="2"/>
    <n v="492"/>
    <s v="Елена В."/>
    <s v="Сергей Мельников"/>
  </r>
  <r>
    <x v="0"/>
    <s v="Екатеринбург"/>
    <d v="2025-11-23T00:00:00"/>
    <x v="8"/>
    <s v="Матча латте"/>
    <x v="1"/>
    <n v="3"/>
    <n v="843"/>
    <s v="Наталья Р."/>
    <s v="Сергей Мельников"/>
  </r>
  <r>
    <x v="0"/>
    <s v="Екатеринбург"/>
    <d v="2025-05-06T00:00:00"/>
    <x v="10"/>
    <s v="Эспрессо"/>
    <x v="1"/>
    <n v="3"/>
    <n v="411"/>
    <s v="Елена В."/>
    <s v="Сергей Мельников"/>
  </r>
  <r>
    <x v="0"/>
    <s v="Екатеринбург"/>
    <d v="2025-08-13T00:00:00"/>
    <x v="9"/>
    <s v="Какао"/>
    <x v="1"/>
    <n v="1"/>
    <n v="231"/>
    <s v="Анна К."/>
    <s v="Сергей Мельников"/>
  </r>
  <r>
    <x v="0"/>
    <s v="Екатеринбург"/>
    <d v="2025-02-13T00:00:00"/>
    <x v="2"/>
    <s v="Чизкейк"/>
    <x v="0"/>
    <n v="1"/>
    <n v="274"/>
    <s v="Игорь С."/>
    <s v="Сергей Мельников"/>
  </r>
  <r>
    <x v="0"/>
    <s v="Екатеринбург"/>
    <d v="2025-06-04T00:00:00"/>
    <x v="7"/>
    <s v="Салат Цезарь"/>
    <x v="2"/>
    <n v="2"/>
    <n v="686"/>
    <s v="Наталья Р."/>
    <s v="Сергей Мельников"/>
  </r>
  <r>
    <x v="0"/>
    <s v="Екатеринбург"/>
    <d v="2025-04-16T00:00:00"/>
    <x v="11"/>
    <s v="Матча латте"/>
    <x v="1"/>
    <n v="1"/>
    <n v="299"/>
    <s v="Игорь С."/>
    <s v="Сергей Мельников"/>
  </r>
  <r>
    <x v="0"/>
    <s v="Екатеринбург"/>
    <d v="2025-11-14T00:00:00"/>
    <x v="8"/>
    <s v="Сэндвич"/>
    <x v="2"/>
    <n v="1"/>
    <n v="298"/>
    <s v="Максим П."/>
    <s v="Сергей Мельников"/>
  </r>
  <r>
    <x v="0"/>
    <s v="Екатеринбург"/>
    <d v="2025-01-02T00:00:00"/>
    <x v="4"/>
    <s v="Эспрессо"/>
    <x v="1"/>
    <n v="1"/>
    <n v="132"/>
    <s v="Виктор Л."/>
    <s v="Сергей Мельников"/>
  </r>
  <r>
    <x v="0"/>
    <s v="Екатеринбург"/>
    <d v="2025-12-23T00:00:00"/>
    <x v="0"/>
    <s v="Синнабон"/>
    <x v="0"/>
    <n v="1"/>
    <n v="214"/>
    <s v="Максим П."/>
    <s v="Сергей Мельников"/>
  </r>
  <r>
    <x v="0"/>
    <s v="Екатеринбург"/>
    <d v="2025-12-19T00:00:00"/>
    <x v="0"/>
    <s v="Салат Цезарь"/>
    <x v="2"/>
    <n v="1"/>
    <n v="410"/>
    <s v="Елена В."/>
    <s v="Сергей Мельников"/>
  </r>
  <r>
    <x v="0"/>
    <s v="Екатеринбург"/>
    <d v="2025-08-02T00:00:00"/>
    <x v="9"/>
    <s v="Какао"/>
    <x v="1"/>
    <n v="2"/>
    <n v="416"/>
    <s v="Максим П."/>
    <s v="Сергей Мельников"/>
  </r>
  <r>
    <x v="0"/>
    <s v="Екатеринбург"/>
    <d v="2025-03-14T00:00:00"/>
    <x v="6"/>
    <s v="Американо"/>
    <x v="1"/>
    <n v="3"/>
    <n v="552"/>
    <s v="Анна К."/>
    <s v="Сергей Мельников"/>
  </r>
  <r>
    <x v="0"/>
    <s v="Екатеринбург"/>
    <d v="2025-10-03T00:00:00"/>
    <x v="3"/>
    <s v="Салат Цезарь"/>
    <x v="2"/>
    <n v="2"/>
    <n v="840"/>
    <s v="Наталья Р."/>
    <s v="Сергей Мельников"/>
  </r>
  <r>
    <x v="0"/>
    <s v="Екатеринбург"/>
    <d v="2025-10-26T00:00:00"/>
    <x v="3"/>
    <s v="Какао"/>
    <x v="1"/>
    <n v="1"/>
    <n v="232"/>
    <s v="Наталья Р."/>
    <s v="Сергей Мельников"/>
  </r>
  <r>
    <x v="0"/>
    <s v="Екатеринбург"/>
    <d v="2025-09-27T00:00:00"/>
    <x v="1"/>
    <s v="Какао"/>
    <x v="1"/>
    <n v="3"/>
    <n v="633"/>
    <s v="Наталья Р."/>
    <s v="Сергей Мельников"/>
  </r>
  <r>
    <x v="0"/>
    <s v="Екатеринбург"/>
    <d v="2025-09-13T00:00:00"/>
    <x v="1"/>
    <s v="Круассан"/>
    <x v="0"/>
    <n v="1"/>
    <n v="173"/>
    <s v="Анна К."/>
    <s v="Сергей Мельников"/>
  </r>
  <r>
    <x v="0"/>
    <s v="Екатеринбург"/>
    <d v="2025-11-10T00:00:00"/>
    <x v="8"/>
    <s v="Чизкейк"/>
    <x v="0"/>
    <n v="1"/>
    <n v="268"/>
    <s v="Виктор Л."/>
    <s v="Сергей Мельников"/>
  </r>
  <r>
    <x v="0"/>
    <s v="Екатеринбург"/>
    <d v="2025-05-09T00:00:00"/>
    <x v="10"/>
    <s v="Американо"/>
    <x v="1"/>
    <n v="1"/>
    <n v="153"/>
    <s v="Анна К."/>
    <s v="Сергей Мельников"/>
  </r>
  <r>
    <x v="0"/>
    <s v="Екатеринбург"/>
    <d v="2025-05-02T00:00:00"/>
    <x v="10"/>
    <s v="Матча латте"/>
    <x v="1"/>
    <n v="1"/>
    <n v="268"/>
    <s v="Анна К."/>
    <s v="Сергей Мельников"/>
  </r>
  <r>
    <x v="0"/>
    <s v="Екатеринбург"/>
    <d v="2025-01-07T00:00:00"/>
    <x v="4"/>
    <s v="Синнабон"/>
    <x v="0"/>
    <n v="1"/>
    <n v="191"/>
    <s v="Наталья Р."/>
    <s v="Сергей Мельников"/>
  </r>
  <r>
    <x v="0"/>
    <s v="Екатеринбург"/>
    <d v="2025-10-13T00:00:00"/>
    <x v="3"/>
    <s v="Матча латте"/>
    <x v="1"/>
    <n v="1"/>
    <n v="253"/>
    <s v="Елена В."/>
    <s v="Сергей Мельников"/>
  </r>
  <r>
    <x v="0"/>
    <s v="Екатеринбург"/>
    <d v="2025-09-28T00:00:00"/>
    <x v="1"/>
    <s v="Какао"/>
    <x v="1"/>
    <n v="1"/>
    <n v="207"/>
    <s v="Игорь С."/>
    <s v="Сергей Мельников"/>
  </r>
  <r>
    <x v="0"/>
    <s v="Екатеринбург"/>
    <d v="2025-12-05T00:00:00"/>
    <x v="0"/>
    <s v="Сэндвич"/>
    <x v="2"/>
    <n v="1"/>
    <n v="354"/>
    <s v="Виктор Л."/>
    <s v="Сергей Мельников"/>
  </r>
  <r>
    <x v="0"/>
    <s v="Екатеринбург"/>
    <d v="2025-02-08T00:00:00"/>
    <x v="2"/>
    <s v="Матча латте"/>
    <x v="1"/>
    <n v="2"/>
    <n v="560"/>
    <s v="Виктор Л."/>
    <s v="Сергей Мельников"/>
  </r>
  <r>
    <x v="0"/>
    <s v="Екатеринбург"/>
    <d v="2025-04-27T00:00:00"/>
    <x v="11"/>
    <s v="Американо"/>
    <x v="1"/>
    <n v="1"/>
    <n v="168"/>
    <s v="Не указан"/>
    <s v="Сергей Мельников"/>
  </r>
  <r>
    <x v="0"/>
    <s v="Екатеринбург"/>
    <d v="2025-07-05T00:00:00"/>
    <x v="5"/>
    <s v="Капучино"/>
    <x v="1"/>
    <n v="1"/>
    <n v="187"/>
    <s v="Анна К."/>
    <s v="Сергей Мельников"/>
  </r>
  <r>
    <x v="0"/>
    <s v="Екатеринбург"/>
    <d v="2025-11-22T00:00:00"/>
    <x v="8"/>
    <s v="Матча латте"/>
    <x v="1"/>
    <n v="2"/>
    <n v="552"/>
    <s v="Виктор Л."/>
    <s v="Сергей Мельников"/>
  </r>
  <r>
    <x v="0"/>
    <s v="Екатеринбург"/>
    <d v="2025-12-16T00:00:00"/>
    <x v="0"/>
    <s v="Синнабон"/>
    <x v="0"/>
    <n v="1"/>
    <n v="188"/>
    <s v="Елена В."/>
    <s v="Сергей Мельников"/>
  </r>
  <r>
    <x v="0"/>
    <s v="Екатеринбург"/>
    <d v="2025-10-15T00:00:00"/>
    <x v="3"/>
    <s v="Матча латте"/>
    <x v="1"/>
    <n v="1"/>
    <n v="253"/>
    <s v="Максим П."/>
    <s v="Сергей Мельников"/>
  </r>
  <r>
    <x v="0"/>
    <s v="Екатеринбург"/>
    <d v="2025-12-27T00:00:00"/>
    <x v="0"/>
    <s v="Чизкейк"/>
    <x v="0"/>
    <n v="3"/>
    <n v="723"/>
    <s v="Наталья Р."/>
    <s v="Сергей Мельников"/>
  </r>
  <r>
    <x v="0"/>
    <s v="Екатеринбург"/>
    <d v="2025-04-05T00:00:00"/>
    <x v="11"/>
    <s v="Американо"/>
    <x v="1"/>
    <n v="3"/>
    <n v="459"/>
    <s v="Игорь С."/>
    <s v="Сергей Мельников"/>
  </r>
  <r>
    <x v="0"/>
    <s v="Екатеринбург"/>
    <d v="2025-09-06T00:00:00"/>
    <x v="1"/>
    <s v="Американо"/>
    <x v="1"/>
    <n v="1"/>
    <n v="161"/>
    <s v="Анна К."/>
    <s v="Сергей Мельников"/>
  </r>
  <r>
    <x v="0"/>
    <s v="Екатеринбург"/>
    <d v="2025-02-17T00:00:00"/>
    <x v="2"/>
    <s v="Матча латте"/>
    <x v="1"/>
    <n v="3"/>
    <n v="783"/>
    <s v="Виктор Л."/>
    <s v="Сергей Мельников"/>
  </r>
  <r>
    <x v="0"/>
    <s v="Екатеринбург"/>
    <d v="2025-10-08T00:00:00"/>
    <x v="3"/>
    <s v="Салат Цезарь"/>
    <x v="2"/>
    <n v="3"/>
    <n v="1170"/>
    <s v="Максим П."/>
    <s v="Сергей Мельников"/>
  </r>
  <r>
    <x v="0"/>
    <s v="Екатеринбург"/>
    <d v="2025-04-20T00:00:00"/>
    <x v="11"/>
    <s v="Салат Цезарь"/>
    <x v="2"/>
    <n v="1"/>
    <n v="421"/>
    <s v="Игорь С."/>
    <s v="Сергей Мельников"/>
  </r>
  <r>
    <x v="0"/>
    <s v="Екатеринбург"/>
    <d v="2025-01-11T00:00:00"/>
    <x v="4"/>
    <s v="Синнабон"/>
    <x v="0"/>
    <n v="2"/>
    <n v="464"/>
    <s v="Максим П."/>
    <s v="Сергей Мельников"/>
  </r>
  <r>
    <x v="0"/>
    <s v="Екатеринбург"/>
    <d v="2025-11-04T00:00:00"/>
    <x v="8"/>
    <s v="Сэндвич"/>
    <x v="2"/>
    <n v="1"/>
    <n v="344"/>
    <s v="Максим П."/>
    <s v="Сергей Мельников"/>
  </r>
  <r>
    <x v="0"/>
    <s v="Екатеринбург"/>
    <d v="2025-09-17T00:00:00"/>
    <x v="1"/>
    <s v="Матча латте"/>
    <x v="1"/>
    <n v="2"/>
    <n v="598"/>
    <s v="Елена В."/>
    <s v="Сергей Мельников"/>
  </r>
  <r>
    <x v="0"/>
    <s v="Екатеринбург"/>
    <d v="2025-03-22T00:00:00"/>
    <x v="6"/>
    <s v="Какао"/>
    <x v="1"/>
    <n v="3"/>
    <n v="735"/>
    <s v="Виктор Л."/>
    <s v="Сергей Мельников"/>
  </r>
  <r>
    <x v="0"/>
    <s v="Екатеринбург"/>
    <d v="2025-08-12T00:00:00"/>
    <x v="9"/>
    <s v="Американо"/>
    <x v="1"/>
    <n v="1"/>
    <n v="163"/>
    <s v="Наталья Р."/>
    <s v="Сергей Мельников"/>
  </r>
  <r>
    <x v="0"/>
    <s v="Екатеринбург"/>
    <d v="2025-03-21T00:00:00"/>
    <x v="6"/>
    <s v="Синнабон"/>
    <x v="0"/>
    <n v="2"/>
    <n v="388"/>
    <s v="Виктор Л."/>
    <s v="Сергей Мельников"/>
  </r>
  <r>
    <x v="0"/>
    <s v="Екатеринбург"/>
    <d v="2025-02-13T00:00:00"/>
    <x v="2"/>
    <s v="Американо"/>
    <x v="1"/>
    <n v="1"/>
    <n v="180"/>
    <s v="Елена В."/>
    <s v="Сергей Мельников"/>
  </r>
  <r>
    <x v="0"/>
    <s v="Екатеринбург"/>
    <d v="2025-12-17T00:00:00"/>
    <x v="0"/>
    <s v="Капучино"/>
    <x v="1"/>
    <n v="3"/>
    <n v="579"/>
    <s v="Максим П."/>
    <s v="Сергей Мельников"/>
  </r>
  <r>
    <x v="0"/>
    <s v="Екатеринбург"/>
    <d v="2025-06-16T00:00:00"/>
    <x v="7"/>
    <s v="Латте"/>
    <x v="1"/>
    <n v="1"/>
    <n v="258"/>
    <s v="Виктор Л."/>
    <s v="Сергей Мельников"/>
  </r>
  <r>
    <x v="0"/>
    <s v="Екатеринбург"/>
    <d v="2025-12-17T00:00:00"/>
    <x v="0"/>
    <s v="Американо"/>
    <x v="1"/>
    <n v="2"/>
    <n v="304"/>
    <s v="Анна К."/>
    <s v="Сергей Мельников"/>
  </r>
  <r>
    <x v="0"/>
    <s v="Екатеринбург"/>
    <d v="2025-09-03T00:00:00"/>
    <x v="1"/>
    <s v="Матча латте"/>
    <x v="1"/>
    <n v="1"/>
    <n v="256"/>
    <s v="Анна К."/>
    <s v="Сергей Мельников"/>
  </r>
  <r>
    <x v="0"/>
    <s v="Екатеринбург"/>
    <d v="2025-10-16T00:00:00"/>
    <x v="3"/>
    <s v="Американо"/>
    <x v="1"/>
    <n v="1"/>
    <n v="162"/>
    <s v="Максим П."/>
    <s v="Сергей Мельников"/>
  </r>
  <r>
    <x v="0"/>
    <s v="Екатеринбург"/>
    <d v="2025-12-24T00:00:00"/>
    <x v="0"/>
    <s v="Эспрессо"/>
    <x v="1"/>
    <n v="1"/>
    <n v="152"/>
    <s v="Виктор Л."/>
    <s v="Сергей Мельников"/>
  </r>
  <r>
    <x v="0"/>
    <s v="Екатеринбург"/>
    <d v="2025-10-19T00:00:00"/>
    <x v="3"/>
    <s v="Американо"/>
    <x v="1"/>
    <n v="2"/>
    <n v="330"/>
    <s v="Игорь С."/>
    <s v="Сергей Мельников"/>
  </r>
  <r>
    <x v="0"/>
    <s v="Екатеринбург"/>
    <d v="2025-08-06T00:00:00"/>
    <x v="9"/>
    <s v="Латте"/>
    <x v="1"/>
    <n v="2"/>
    <n v="440"/>
    <s v="Елена В."/>
    <s v="Сергей Мельников"/>
  </r>
  <r>
    <x v="0"/>
    <s v="Екатеринбург"/>
    <d v="2025-09-01T00:00:00"/>
    <x v="1"/>
    <s v="Матча латте"/>
    <x v="1"/>
    <n v="3"/>
    <n v="855"/>
    <s v="Максим П."/>
    <s v="Сергей Мельников"/>
  </r>
  <r>
    <x v="0"/>
    <s v="Екатеринбург"/>
    <d v="2025-01-20T00:00:00"/>
    <x v="4"/>
    <s v="Круассан"/>
    <x v="0"/>
    <n v="2"/>
    <n v="384"/>
    <s v="Виктор Л."/>
    <s v="Сергей Мельников"/>
  </r>
  <r>
    <x v="0"/>
    <s v="Екатеринбург"/>
    <d v="2025-08-27T00:00:00"/>
    <x v="9"/>
    <s v="Круассан"/>
    <x v="0"/>
    <n v="3"/>
    <n v="582"/>
    <s v="Игорь С."/>
    <s v="Сергей Мельников"/>
  </r>
  <r>
    <x v="0"/>
    <s v="Екатеринбург"/>
    <d v="2025-02-28T00:00:00"/>
    <x v="2"/>
    <s v="Американо"/>
    <x v="1"/>
    <n v="3"/>
    <n v="561"/>
    <s v="Виктор Л."/>
    <s v="Сергей Мельников"/>
  </r>
  <r>
    <x v="0"/>
    <s v="Екатеринбург"/>
    <d v="2025-09-20T00:00:00"/>
    <x v="1"/>
    <s v="Сэндвич"/>
    <x v="2"/>
    <n v="2"/>
    <n v="720"/>
    <s v="Анна К."/>
    <s v="Сергей Мельников"/>
  </r>
  <r>
    <x v="0"/>
    <s v="Екатеринбург"/>
    <d v="2025-12-10T00:00:00"/>
    <x v="0"/>
    <s v="Раф"/>
    <x v="1"/>
    <n v="1"/>
    <n v="252"/>
    <s v="Наталья Р."/>
    <s v="Сергей Мельников"/>
  </r>
  <r>
    <x v="0"/>
    <s v="Екатеринбург"/>
    <d v="2025-01-21T00:00:00"/>
    <x v="4"/>
    <s v="Матча латте"/>
    <x v="1"/>
    <n v="1"/>
    <n v="301"/>
    <s v="Анна К."/>
    <s v="Сергей Мельников"/>
  </r>
  <r>
    <x v="0"/>
    <s v="Екатеринбург"/>
    <d v="2025-06-11T00:00:00"/>
    <x v="7"/>
    <s v="Чизкейк"/>
    <x v="0"/>
    <n v="3"/>
    <n v="816"/>
    <s v="Виктор Л."/>
    <s v="Сергей Мельников"/>
  </r>
  <r>
    <x v="0"/>
    <s v="Екатеринбург"/>
    <d v="2025-02-17T00:00:00"/>
    <x v="2"/>
    <s v="Синнабон"/>
    <x v="0"/>
    <n v="1"/>
    <n v="204"/>
    <s v="Виктор Л."/>
    <s v="Сергей Мельников"/>
  </r>
  <r>
    <x v="0"/>
    <s v="Екатеринбург"/>
    <d v="2025-10-20T00:00:00"/>
    <x v="3"/>
    <s v="Сэндвич"/>
    <x v="2"/>
    <n v="1"/>
    <n v="327"/>
    <s v="Анна К."/>
    <s v="Сергей Мельников"/>
  </r>
  <r>
    <x v="0"/>
    <s v="Екатеринбург"/>
    <d v="2025-02-20T00:00:00"/>
    <x v="2"/>
    <s v="Сэндвич"/>
    <x v="2"/>
    <n v="2"/>
    <n v="618"/>
    <s v="Игорь С."/>
    <s v="Сергей Мельников"/>
  </r>
  <r>
    <x v="0"/>
    <s v="Екатеринбург"/>
    <d v="2025-07-06T00:00:00"/>
    <x v="5"/>
    <s v="Капучино"/>
    <x v="1"/>
    <n v="2"/>
    <n v="456"/>
    <s v="Наталья Р."/>
    <s v="Сергей Мельников"/>
  </r>
  <r>
    <x v="0"/>
    <s v="Екатеринбург"/>
    <d v="2025-12-04T00:00:00"/>
    <x v="0"/>
    <s v="Латте"/>
    <x v="1"/>
    <n v="1"/>
    <n v="238"/>
    <s v="Елена В."/>
    <s v="Сергей Мельников"/>
  </r>
  <r>
    <x v="0"/>
    <s v="Екатеринбург"/>
    <d v="2025-04-09T00:00:00"/>
    <x v="11"/>
    <s v="Раф"/>
    <x v="1"/>
    <n v="1"/>
    <n v="285"/>
    <s v="Виктор Л."/>
    <s v="Сергей Мельников"/>
  </r>
  <r>
    <x v="0"/>
    <s v="Екатеринбург"/>
    <d v="2025-05-07T00:00:00"/>
    <x v="10"/>
    <s v="Сэндвич"/>
    <x v="2"/>
    <n v="3"/>
    <n v="963"/>
    <s v="Елена В."/>
    <s v="Сергей Мельников"/>
  </r>
  <r>
    <x v="0"/>
    <s v="Екатеринбург"/>
    <d v="2025-08-19T00:00:00"/>
    <x v="9"/>
    <s v="Синнабон"/>
    <x v="0"/>
    <n v="2"/>
    <n v="430"/>
    <s v="Анна К."/>
    <s v="Сергей Мельников"/>
  </r>
  <r>
    <x v="0"/>
    <s v="Екатеринбург"/>
    <d v="2025-02-19T00:00:00"/>
    <x v="2"/>
    <s v="Латте"/>
    <x v="1"/>
    <n v="1"/>
    <n v="247"/>
    <s v="Максим П."/>
    <s v="Сергей Мельников"/>
  </r>
  <r>
    <x v="0"/>
    <s v="Екатеринбург"/>
    <d v="2025-05-24T00:00:00"/>
    <x v="10"/>
    <s v="Матча латте"/>
    <x v="1"/>
    <n v="3"/>
    <n v="873"/>
    <s v="Наталья Р."/>
    <s v="Сергей Мельников"/>
  </r>
  <r>
    <x v="0"/>
    <s v="Екатеринбург"/>
    <d v="2025-12-10T00:00:00"/>
    <x v="0"/>
    <s v="Синнабон"/>
    <x v="0"/>
    <n v="2"/>
    <n v="442"/>
    <s v="Анна К."/>
    <s v="Сергей Мельников"/>
  </r>
  <r>
    <x v="0"/>
    <s v="Екатеринбург"/>
    <d v="2025-03-22T00:00:00"/>
    <x v="6"/>
    <s v="Эспрессо"/>
    <x v="1"/>
    <n v="3"/>
    <n v="378"/>
    <s v="Анна К."/>
    <s v="Сергей Мельников"/>
  </r>
  <r>
    <x v="0"/>
    <s v="Екатеринбург"/>
    <d v="2025-12-01T00:00:00"/>
    <x v="0"/>
    <s v="Какао"/>
    <x v="1"/>
    <n v="2"/>
    <n v="408"/>
    <s v="Елена В."/>
    <s v="Сергей Мельников"/>
  </r>
  <r>
    <x v="0"/>
    <s v="Екатеринбург"/>
    <d v="2025-09-12T00:00:00"/>
    <x v="1"/>
    <s v="Салат Цезарь"/>
    <x v="2"/>
    <n v="2"/>
    <n v="670"/>
    <s v="Максим П."/>
    <s v="Сергей Мельников"/>
  </r>
  <r>
    <x v="0"/>
    <s v="Екатеринбург"/>
    <d v="2025-04-12T00:00:00"/>
    <x v="11"/>
    <s v="Капучино"/>
    <x v="1"/>
    <n v="1"/>
    <n v="189"/>
    <s v="Наталья Р."/>
    <s v="Сергей Мельников"/>
  </r>
  <r>
    <x v="0"/>
    <s v="Екатеринбург"/>
    <d v="2025-06-13T00:00:00"/>
    <x v="7"/>
    <s v="Американо"/>
    <x v="1"/>
    <n v="3"/>
    <n v="480"/>
    <s v="Игорь С."/>
    <s v="Сергей Мельников"/>
  </r>
  <r>
    <x v="0"/>
    <s v="Екатеринбург"/>
    <d v="2025-09-24T00:00:00"/>
    <x v="1"/>
    <s v="Капучино"/>
    <x v="1"/>
    <n v="1"/>
    <n v="213"/>
    <s v="Елена В."/>
    <s v="Сергей Мельников"/>
  </r>
  <r>
    <x v="0"/>
    <s v="Екатеринбург"/>
    <d v="2025-01-02T00:00:00"/>
    <x v="4"/>
    <s v="Круассан"/>
    <x v="0"/>
    <n v="1"/>
    <n v="172"/>
    <s v="Виктор Л."/>
    <s v="Сергей Мельников"/>
  </r>
  <r>
    <x v="0"/>
    <s v="Екатеринбург"/>
    <d v="2025-05-18T00:00:00"/>
    <x v="10"/>
    <s v="Сэндвич"/>
    <x v="2"/>
    <n v="3"/>
    <n v="1071"/>
    <s v="Максим П."/>
    <s v="Сергей Мельников"/>
  </r>
  <r>
    <x v="0"/>
    <s v="Екатеринбург"/>
    <d v="2025-04-18T00:00:00"/>
    <x v="11"/>
    <s v="Латте"/>
    <x v="1"/>
    <n v="3"/>
    <n v="654"/>
    <s v="Игорь С."/>
    <s v="Сергей Мельников"/>
  </r>
  <r>
    <x v="0"/>
    <s v="Екатеринбург"/>
    <d v="2025-11-07T00:00:00"/>
    <x v="8"/>
    <s v="Сэндвич"/>
    <x v="2"/>
    <n v="2"/>
    <n v="668"/>
    <s v="Елена В."/>
    <s v="Сергей Мельников"/>
  </r>
  <r>
    <x v="0"/>
    <s v="Екатеринбург"/>
    <d v="2025-01-23T00:00:00"/>
    <x v="4"/>
    <s v="Латте"/>
    <x v="1"/>
    <n v="1"/>
    <n v="249"/>
    <s v="Игорь С."/>
    <s v="Сергей Мельников"/>
  </r>
  <r>
    <x v="0"/>
    <s v="Екатеринбург"/>
    <d v="2025-04-27T00:00:00"/>
    <x v="11"/>
    <s v="Капучино"/>
    <x v="1"/>
    <n v="2"/>
    <n v="384"/>
    <s v="Виктор Л."/>
    <s v="Сергей Мельников"/>
  </r>
  <r>
    <x v="0"/>
    <s v="Екатеринбург"/>
    <d v="2025-12-05T00:00:00"/>
    <x v="0"/>
    <s v="Сэндвич"/>
    <x v="2"/>
    <n v="1"/>
    <n v="303"/>
    <s v="Виктор Л."/>
    <s v="Сергей Мельников"/>
  </r>
  <r>
    <x v="0"/>
    <s v="Екатеринбург"/>
    <d v="2025-01-08T00:00:00"/>
    <x v="4"/>
    <s v="Какао"/>
    <x v="1"/>
    <n v="3"/>
    <n v="630"/>
    <s v="Игорь С."/>
    <s v="Сергей Мельников"/>
  </r>
  <r>
    <x v="0"/>
    <s v="Екатеринбург"/>
    <d v="2025-03-26T00:00:00"/>
    <x v="6"/>
    <s v="Капучино"/>
    <x v="1"/>
    <n v="2"/>
    <n v="474"/>
    <s v="Елена В."/>
    <s v="Сергей Мельников"/>
  </r>
  <r>
    <x v="0"/>
    <s v="Екатеринбург"/>
    <d v="2025-11-07T00:00:00"/>
    <x v="8"/>
    <s v="Круассан"/>
    <x v="0"/>
    <n v="1"/>
    <n v="181"/>
    <s v="Наталья Р."/>
    <s v="Сергей Мельников"/>
  </r>
  <r>
    <x v="0"/>
    <s v="Екатеринбург"/>
    <d v="2025-10-27T00:00:00"/>
    <x v="3"/>
    <s v="Эспрессо"/>
    <x v="1"/>
    <n v="3"/>
    <n v="429"/>
    <s v="Наталья Р."/>
    <s v="Сергей Мельников"/>
  </r>
  <r>
    <x v="0"/>
    <s v="Екатеринбург"/>
    <d v="2025-09-04T00:00:00"/>
    <x v="1"/>
    <s v="Салат Цезарь"/>
    <x v="2"/>
    <n v="1"/>
    <n v="399"/>
    <s v="Виктор Л."/>
    <s v="Сергей Мельников"/>
  </r>
  <r>
    <x v="0"/>
    <s v="Екатеринбург"/>
    <d v="2025-09-12T00:00:00"/>
    <x v="1"/>
    <s v="Американо"/>
    <x v="1"/>
    <n v="2"/>
    <n v="344"/>
    <s v="Максим П."/>
    <s v="Сергей Мельников"/>
  </r>
  <r>
    <x v="0"/>
    <s v="Екатеринбург"/>
    <d v="2025-01-23T00:00:00"/>
    <x v="4"/>
    <s v="Американо"/>
    <x v="1"/>
    <n v="1"/>
    <n v="156"/>
    <s v="Максим П."/>
    <s v="Сергей Мельников"/>
  </r>
  <r>
    <x v="0"/>
    <s v="Екатеринбург"/>
    <d v="2025-06-05T00:00:00"/>
    <x v="7"/>
    <s v="Сэндвич"/>
    <x v="2"/>
    <n v="1"/>
    <n v="320"/>
    <s v="Игорь С."/>
    <s v="Сергей Мельников"/>
  </r>
  <r>
    <x v="0"/>
    <s v="Екатеринбург"/>
    <d v="2025-12-17T00:00:00"/>
    <x v="0"/>
    <s v="Салат Цезарь"/>
    <x v="2"/>
    <n v="2"/>
    <n v="838"/>
    <s v="Елена В."/>
    <s v="Сергей Мельников"/>
  </r>
  <r>
    <x v="0"/>
    <s v="Екатеринбург"/>
    <d v="2025-12-26T00:00:00"/>
    <x v="0"/>
    <s v="Чизкейк"/>
    <x v="0"/>
    <n v="1"/>
    <n v="244"/>
    <s v="Игорь С."/>
    <s v="Сергей Мельников"/>
  </r>
  <r>
    <x v="0"/>
    <s v="Екатеринбург"/>
    <d v="2025-12-15T00:00:00"/>
    <x v="0"/>
    <s v="Капучино"/>
    <x v="1"/>
    <n v="1"/>
    <n v="188"/>
    <s v="Виктор Л."/>
    <s v="Сергей Мельников"/>
  </r>
  <r>
    <x v="0"/>
    <s v="Екатеринбург"/>
    <d v="2025-11-10T00:00:00"/>
    <x v="8"/>
    <s v="Синнабон"/>
    <x v="0"/>
    <n v="2"/>
    <n v="464"/>
    <s v="Виктор Л."/>
    <s v="Сергей Мельников"/>
  </r>
  <r>
    <x v="0"/>
    <s v="Екатеринбург"/>
    <d v="2025-05-06T00:00:00"/>
    <x v="10"/>
    <s v="Капучино"/>
    <x v="1"/>
    <n v="1"/>
    <n v="190"/>
    <s v="Игорь С."/>
    <s v="Сергей Мельников"/>
  </r>
  <r>
    <x v="0"/>
    <s v="Екатеринбург"/>
    <d v="2025-01-25T00:00:00"/>
    <x v="4"/>
    <s v="Американо"/>
    <x v="1"/>
    <n v="2"/>
    <n v="292"/>
    <s v="Игорь С."/>
    <s v="Сергей Мельников"/>
  </r>
  <r>
    <x v="0"/>
    <s v="Екатеринбург"/>
    <d v="2025-12-28T00:00:00"/>
    <x v="0"/>
    <s v="Круассан"/>
    <x v="0"/>
    <n v="3"/>
    <n v="543"/>
    <s v="Анна К."/>
    <s v="Сергей Мельников"/>
  </r>
  <r>
    <x v="0"/>
    <s v="Екатеринбург"/>
    <d v="2025-10-22T00:00:00"/>
    <x v="3"/>
    <s v="Раф"/>
    <x v="1"/>
    <n v="1"/>
    <n v="242"/>
    <s v="Виктор Л."/>
    <s v="Сергей Мельников"/>
  </r>
  <r>
    <x v="0"/>
    <s v="Екатеринбург"/>
    <d v="2025-08-05T00:00:00"/>
    <x v="9"/>
    <s v="Какао"/>
    <x v="1"/>
    <n v="2"/>
    <n v="476"/>
    <s v="Игорь С."/>
    <s v="Сергей Мельников"/>
  </r>
  <r>
    <x v="0"/>
    <s v="Екатеринбург"/>
    <d v="2025-06-20T00:00:00"/>
    <x v="7"/>
    <s v="Круассан"/>
    <x v="0"/>
    <n v="3"/>
    <n v="558"/>
    <s v="Виктор Л."/>
    <s v="Сергей Мельников"/>
  </r>
  <r>
    <x v="0"/>
    <s v="Екатеринбург"/>
    <d v="2025-07-01T00:00:00"/>
    <x v="5"/>
    <s v="Матча латте"/>
    <x v="1"/>
    <n v="2"/>
    <n v="574"/>
    <s v="Максим П."/>
    <s v="Сергей Мельников"/>
  </r>
  <r>
    <x v="0"/>
    <s v="Екатеринбург"/>
    <d v="2025-08-02T00:00:00"/>
    <x v="9"/>
    <s v="Латте"/>
    <x v="1"/>
    <n v="1"/>
    <n v="229"/>
    <s v="Наталья Р."/>
    <s v="Сергей Мельников"/>
  </r>
  <r>
    <x v="0"/>
    <s v="Екатеринбург"/>
    <d v="2025-03-05T00:00:00"/>
    <x v="6"/>
    <s v="Матча латте"/>
    <x v="1"/>
    <n v="1"/>
    <n v="250"/>
    <s v="Наталья Р."/>
    <s v="Сергей Мельников"/>
  </r>
  <r>
    <x v="0"/>
    <s v="Екатеринбург"/>
    <d v="2025-02-16T00:00:00"/>
    <x v="2"/>
    <s v="Раф"/>
    <x v="1"/>
    <n v="3"/>
    <n v="798"/>
    <s v="Виктор Л."/>
    <s v="Сергей Мельников"/>
  </r>
  <r>
    <x v="0"/>
    <s v="Екатеринбург"/>
    <d v="2025-06-04T00:00:00"/>
    <x v="7"/>
    <s v="Круассан"/>
    <x v="0"/>
    <n v="3"/>
    <n v="555"/>
    <s v="Виктор Л."/>
    <s v="Сергей Мельников"/>
  </r>
  <r>
    <x v="0"/>
    <s v="Екатеринбург"/>
    <d v="2025-03-19T00:00:00"/>
    <x v="6"/>
    <s v="Латте"/>
    <x v="1"/>
    <n v="2"/>
    <n v="506"/>
    <s v="Наталья Р."/>
    <s v="Сергей Мельников"/>
  </r>
  <r>
    <x v="0"/>
    <s v="Екатеринбург"/>
    <d v="2025-01-04T00:00:00"/>
    <x v="4"/>
    <s v="Капучино"/>
    <x v="1"/>
    <n v="2"/>
    <n v="456"/>
    <s v="Елена В."/>
    <s v="Сергей Мельников"/>
  </r>
  <r>
    <x v="0"/>
    <s v="Екатеринбург"/>
    <d v="2025-11-20T00:00:00"/>
    <x v="8"/>
    <s v="Латте"/>
    <x v="1"/>
    <n v="1"/>
    <n v="214"/>
    <s v="Виктор Л."/>
    <s v="Сергей Мельников"/>
  </r>
  <r>
    <x v="0"/>
    <s v="Екатеринбург"/>
    <d v="2025-01-10T00:00:00"/>
    <x v="4"/>
    <s v="Американо"/>
    <x v="1"/>
    <n v="1"/>
    <n v="176"/>
    <s v="Максим П."/>
    <s v="Сергей Мельников"/>
  </r>
  <r>
    <x v="0"/>
    <s v="Екатеринбург"/>
    <d v="2025-12-10T00:00:00"/>
    <x v="0"/>
    <s v="Сэндвич"/>
    <x v="2"/>
    <n v="1"/>
    <n v="346"/>
    <s v="Наталья Р."/>
    <s v="Сергей Мельников"/>
  </r>
  <r>
    <x v="0"/>
    <s v="Екатеринбург"/>
    <d v="2025-03-19T00:00:00"/>
    <x v="6"/>
    <s v="Капучино"/>
    <x v="1"/>
    <n v="2"/>
    <n v="432"/>
    <s v="Игорь С."/>
    <s v="Сергей Мельников"/>
  </r>
  <r>
    <x v="0"/>
    <s v="Екатеринбург"/>
    <d v="2025-01-24T00:00:00"/>
    <x v="4"/>
    <s v="Какао"/>
    <x v="1"/>
    <n v="3"/>
    <n v="639"/>
    <s v="Игорь С."/>
    <s v="Сергей Мельников"/>
  </r>
  <r>
    <x v="0"/>
    <s v="Екатеринбург"/>
    <d v="2025-05-05T00:00:00"/>
    <x v="10"/>
    <s v="Синнабон"/>
    <x v="0"/>
    <n v="1"/>
    <n v="229"/>
    <s v="Елена В."/>
    <s v="Сергей Мельников"/>
  </r>
  <r>
    <x v="0"/>
    <s v="Екатеринбург"/>
    <d v="2025-05-14T00:00:00"/>
    <x v="10"/>
    <s v="Матча латте"/>
    <x v="1"/>
    <n v="2"/>
    <n v="520"/>
    <s v="Анна К."/>
    <s v="Сергей Мельников"/>
  </r>
  <r>
    <x v="0"/>
    <s v="Екатеринбург"/>
    <d v="2025-02-05T00:00:00"/>
    <x v="2"/>
    <s v="Латте"/>
    <x v="1"/>
    <n v="2"/>
    <n v="446"/>
    <s v="Елена В."/>
    <s v="Сергей Мельников"/>
  </r>
  <r>
    <x v="0"/>
    <s v="Екатеринбург"/>
    <d v="2025-04-19T00:00:00"/>
    <x v="11"/>
    <s v="Эспрессо"/>
    <x v="1"/>
    <n v="1"/>
    <n v="160"/>
    <s v="Игорь С."/>
    <s v="Сергей Мельников"/>
  </r>
  <r>
    <x v="0"/>
    <s v="Екатеринбург"/>
    <d v="2025-03-19T00:00:00"/>
    <x v="6"/>
    <s v="Чизкейк"/>
    <x v="0"/>
    <n v="1"/>
    <n v="264"/>
    <s v="Елена В."/>
    <s v="Сергей Мельников"/>
  </r>
  <r>
    <x v="0"/>
    <s v="Екатеринбург"/>
    <d v="2025-02-24T00:00:00"/>
    <x v="2"/>
    <s v="Какао"/>
    <x v="1"/>
    <n v="3"/>
    <n v="726"/>
    <s v="Виктор Л."/>
    <s v="Сергей Мельников"/>
  </r>
  <r>
    <x v="0"/>
    <s v="Екатеринбург"/>
    <d v="2025-11-08T00:00:00"/>
    <x v="8"/>
    <s v="Сэндвич"/>
    <x v="2"/>
    <n v="1"/>
    <n v="294"/>
    <s v="Анна К."/>
    <s v="Сергей Мельников"/>
  </r>
  <r>
    <x v="0"/>
    <s v="Екатеринбург"/>
    <d v="2025-01-20T00:00:00"/>
    <x v="4"/>
    <s v="Салат Цезарь"/>
    <x v="2"/>
    <n v="2"/>
    <n v="732"/>
    <s v="Анна К."/>
    <s v="Сергей Мельников"/>
  </r>
  <r>
    <x v="0"/>
    <s v="Екатеринбург"/>
    <d v="2025-10-27T00:00:00"/>
    <x v="3"/>
    <s v="Латте"/>
    <x v="1"/>
    <n v="2"/>
    <n v="412"/>
    <s v="Игорь С."/>
    <s v="Сергей Мельников"/>
  </r>
  <r>
    <x v="0"/>
    <s v="Екатеринбург"/>
    <d v="2025-08-02T00:00:00"/>
    <x v="9"/>
    <s v="Капучино"/>
    <x v="1"/>
    <n v="2"/>
    <n v="442"/>
    <s v="Виктор Л."/>
    <s v="Сергей Мельников"/>
  </r>
  <r>
    <x v="0"/>
    <s v="Екатеринбург"/>
    <d v="2025-05-21T00:00:00"/>
    <x v="10"/>
    <s v="Синнабон"/>
    <x v="0"/>
    <n v="1"/>
    <n v="200"/>
    <s v="Елена В."/>
    <s v="Сергей Мельников"/>
  </r>
  <r>
    <x v="0"/>
    <s v="Екатеринбург"/>
    <d v="2025-04-22T00:00:00"/>
    <x v="11"/>
    <s v="Матча латте"/>
    <x v="1"/>
    <n v="1"/>
    <n v="288"/>
    <s v="Максим П."/>
    <s v="Сергей Мельников"/>
  </r>
  <r>
    <x v="0"/>
    <s v="Екатеринбург"/>
    <d v="2025-05-23T00:00:00"/>
    <x v="10"/>
    <s v="Матча латте"/>
    <x v="1"/>
    <n v="1"/>
    <n v="289"/>
    <s v="Игорь С."/>
    <s v="Сергей Мельников"/>
  </r>
  <r>
    <x v="0"/>
    <s v="Екатеринбург"/>
    <d v="2025-09-22T00:00:00"/>
    <x v="1"/>
    <s v="Раф"/>
    <x v="1"/>
    <n v="1"/>
    <n v="286"/>
    <s v="Елена В."/>
    <s v="Сергей Мельников"/>
  </r>
  <r>
    <x v="0"/>
    <s v="Екатеринбург"/>
    <d v="2025-11-07T00:00:00"/>
    <x v="8"/>
    <s v="Салат Цезарь"/>
    <x v="2"/>
    <n v="1"/>
    <n v="398"/>
    <s v="Максим П."/>
    <s v="Сергей Мельников"/>
  </r>
  <r>
    <x v="0"/>
    <s v="Екатеринбург"/>
    <d v="2025-12-22T00:00:00"/>
    <x v="0"/>
    <s v="Капучино"/>
    <x v="1"/>
    <n v="3"/>
    <n v="663"/>
    <s v="Наталья Р."/>
    <s v="Сергей Мельников"/>
  </r>
  <r>
    <x v="0"/>
    <s v="Екатеринбург"/>
    <d v="2025-09-27T00:00:00"/>
    <x v="1"/>
    <s v="Матча латте"/>
    <x v="1"/>
    <n v="2"/>
    <n v="594"/>
    <s v="Виктор Л."/>
    <s v="Сергей Мельников"/>
  </r>
  <r>
    <x v="0"/>
    <s v="Екатеринбург"/>
    <d v="2025-06-02T00:00:00"/>
    <x v="7"/>
    <s v="Латте"/>
    <x v="1"/>
    <n v="1"/>
    <n v="252"/>
    <s v="Анна К."/>
    <s v="Сергей Мельников"/>
  </r>
  <r>
    <x v="0"/>
    <s v="Екатеринбург"/>
    <d v="2025-04-06T00:00:00"/>
    <x v="11"/>
    <s v="Салат Цезарь"/>
    <x v="2"/>
    <n v="1"/>
    <n v="346"/>
    <s v="Наталья Р."/>
    <s v="Сергей Мельников"/>
  </r>
  <r>
    <x v="0"/>
    <s v="Екатеринбург"/>
    <d v="2025-07-21T00:00:00"/>
    <x v="5"/>
    <s v="Круассан"/>
    <x v="0"/>
    <n v="2"/>
    <n v="360"/>
    <s v="Не указан"/>
    <s v="Сергей Мельников"/>
  </r>
  <r>
    <x v="0"/>
    <s v="Екатеринбург"/>
    <d v="2025-02-05T00:00:00"/>
    <x v="2"/>
    <s v="Салат Цезарь"/>
    <x v="2"/>
    <n v="2"/>
    <n v="744"/>
    <s v="Максим П."/>
    <s v="Сергей Мельников"/>
  </r>
  <r>
    <x v="0"/>
    <s v="Екатеринбург"/>
    <d v="2025-03-02T00:00:00"/>
    <x v="6"/>
    <s v="Раф"/>
    <x v="1"/>
    <n v="2"/>
    <n v="472"/>
    <s v="Максим П."/>
    <s v="Сергей Мельников"/>
  </r>
  <r>
    <x v="0"/>
    <s v="Екатеринбург"/>
    <d v="2025-02-13T00:00:00"/>
    <x v="2"/>
    <s v="Синнабон"/>
    <x v="0"/>
    <n v="1"/>
    <n v="191"/>
    <s v="Анна К."/>
    <s v="Сергей Мельников"/>
  </r>
  <r>
    <x v="0"/>
    <s v="Екатеринбург"/>
    <d v="2025-02-22T00:00:00"/>
    <x v="2"/>
    <s v="Сэндвич"/>
    <x v="2"/>
    <n v="2"/>
    <n v="590"/>
    <s v="Максим П."/>
    <s v="Сергей Мельников"/>
  </r>
  <r>
    <x v="0"/>
    <s v="Екатеринбург"/>
    <d v="2025-10-26T00:00:00"/>
    <x v="3"/>
    <s v="Американо"/>
    <x v="1"/>
    <n v="1"/>
    <n v="172"/>
    <s v="Максим П."/>
    <s v="Сергей Мельников"/>
  </r>
  <r>
    <x v="0"/>
    <s v="Екатеринбург"/>
    <d v="2025-05-23T00:00:00"/>
    <x v="10"/>
    <s v="Какао"/>
    <x v="1"/>
    <n v="2"/>
    <n v="428"/>
    <s v="Виктор Л."/>
    <s v="Сергей Мельников"/>
  </r>
  <r>
    <x v="0"/>
    <s v="Екатеринбург"/>
    <d v="2025-02-27T00:00:00"/>
    <x v="2"/>
    <s v="Капучино"/>
    <x v="1"/>
    <n v="3"/>
    <n v="720"/>
    <s v="Елена В."/>
    <s v="Сергей Мельников"/>
  </r>
  <r>
    <x v="0"/>
    <s v="Екатеринбург"/>
    <d v="2025-10-23T00:00:00"/>
    <x v="3"/>
    <s v="Синнабон"/>
    <x v="0"/>
    <n v="2"/>
    <n v="404"/>
    <s v="Максим П."/>
    <s v="Сергей Мельников"/>
  </r>
  <r>
    <x v="0"/>
    <s v="Екатеринбург"/>
    <d v="2025-08-05T00:00:00"/>
    <x v="9"/>
    <s v="Салат Цезарь"/>
    <x v="2"/>
    <n v="2"/>
    <n v="672"/>
    <s v="Анна К."/>
    <s v="Сергей Мельников"/>
  </r>
  <r>
    <x v="0"/>
    <s v="Екатеринбург"/>
    <d v="2025-06-26T00:00:00"/>
    <x v="7"/>
    <s v="Американо"/>
    <x v="1"/>
    <n v="3"/>
    <n v="579"/>
    <s v="Анна К."/>
    <s v="Сергей Мельников"/>
  </r>
  <r>
    <x v="0"/>
    <s v="Екатеринбург"/>
    <d v="2025-06-23T00:00:00"/>
    <x v="7"/>
    <s v="Чизкейк"/>
    <x v="0"/>
    <n v="2"/>
    <n v="538"/>
    <s v="Виктор Л."/>
    <s v="Сергей Мельников"/>
  </r>
  <r>
    <x v="0"/>
    <s v="Екатеринбург"/>
    <d v="2025-12-16T00:00:00"/>
    <x v="0"/>
    <s v="Сэндвич"/>
    <x v="2"/>
    <n v="1"/>
    <n v="318"/>
    <s v="Елена В."/>
    <s v="Сергей Мельников"/>
  </r>
  <r>
    <x v="0"/>
    <s v="Екатеринбург"/>
    <d v="2025-08-15T00:00:00"/>
    <x v="9"/>
    <s v="Сэндвич"/>
    <x v="2"/>
    <n v="2"/>
    <n v="688"/>
    <s v="Елена В."/>
    <s v="Сергей Мельников"/>
  </r>
  <r>
    <x v="0"/>
    <s v="Екатеринбург"/>
    <d v="2025-10-05T00:00:00"/>
    <x v="3"/>
    <s v="Синнабон"/>
    <x v="0"/>
    <n v="2"/>
    <n v="384"/>
    <s v="Елена В."/>
    <s v="Сергей Мельников"/>
  </r>
  <r>
    <x v="0"/>
    <s v="Екатеринбург"/>
    <d v="2025-02-24T00:00:00"/>
    <x v="2"/>
    <s v="Сэндвич"/>
    <x v="2"/>
    <n v="3"/>
    <n v="876"/>
    <s v="Игорь С."/>
    <s v="Сергей Мельников"/>
  </r>
  <r>
    <x v="0"/>
    <s v="Екатеринбург"/>
    <d v="2025-09-02T00:00:00"/>
    <x v="1"/>
    <s v="Какао"/>
    <x v="1"/>
    <n v="1"/>
    <n v="237"/>
    <s v="Елена В."/>
    <s v="Сергей Мельников"/>
  </r>
  <r>
    <x v="0"/>
    <s v="Екатеринбург"/>
    <d v="2025-05-06T00:00:00"/>
    <x v="10"/>
    <s v="Синнабон"/>
    <x v="0"/>
    <n v="2"/>
    <n v="462"/>
    <s v="Виктор Л."/>
    <s v="Сергей Мельников"/>
  </r>
  <r>
    <x v="0"/>
    <s v="Екатеринбург"/>
    <d v="2025-07-27T00:00:00"/>
    <x v="5"/>
    <s v="Салат Цезарь"/>
    <x v="2"/>
    <n v="2"/>
    <n v="824"/>
    <s v="Анна К."/>
    <s v="Сергей Мельников"/>
  </r>
  <r>
    <x v="0"/>
    <s v="Екатеринбург"/>
    <d v="2025-02-10T00:00:00"/>
    <x v="2"/>
    <s v="Синнабон"/>
    <x v="0"/>
    <n v="3"/>
    <n v="555"/>
    <s v="Анна К."/>
    <s v="Сергей Мельников"/>
  </r>
  <r>
    <x v="0"/>
    <s v="Екатеринбург"/>
    <d v="2025-11-26T00:00:00"/>
    <x v="8"/>
    <s v="Латте"/>
    <x v="1"/>
    <n v="1"/>
    <n v="219"/>
    <s v="Виктор Л."/>
    <s v="Сергей Мельников"/>
  </r>
  <r>
    <x v="0"/>
    <s v="Екатеринбург"/>
    <d v="2025-05-23T00:00:00"/>
    <x v="10"/>
    <s v="Синнабон"/>
    <x v="0"/>
    <n v="1"/>
    <n v="235"/>
    <s v="Максим П."/>
    <s v="Сергей Мельников"/>
  </r>
  <r>
    <x v="0"/>
    <s v="Екатеринбург"/>
    <d v="2025-05-16T00:00:00"/>
    <x v="10"/>
    <s v="Какао"/>
    <x v="1"/>
    <n v="1"/>
    <n v="204"/>
    <s v="Анна К."/>
    <s v="Сергей Мельников"/>
  </r>
  <r>
    <x v="0"/>
    <s v="Екатеринбург"/>
    <d v="2025-12-19T00:00:00"/>
    <x v="0"/>
    <s v="Раф"/>
    <x v="1"/>
    <n v="1"/>
    <n v="249"/>
    <s v="Виктор Л."/>
    <s v="Сергей Мельников"/>
  </r>
  <r>
    <x v="0"/>
    <s v="Екатеринбург"/>
    <d v="2025-11-16T00:00:00"/>
    <x v="8"/>
    <s v="Матча латте"/>
    <x v="1"/>
    <n v="2"/>
    <n v="490"/>
    <s v="Максим П."/>
    <s v="Сергей Мельников"/>
  </r>
  <r>
    <x v="0"/>
    <s v="Екатеринбург"/>
    <d v="2025-01-25T00:00:00"/>
    <x v="4"/>
    <s v="Какао"/>
    <x v="1"/>
    <n v="2"/>
    <n v="456"/>
    <s v="Елена В."/>
    <s v="Сергей Мельников"/>
  </r>
  <r>
    <x v="0"/>
    <s v="Екатеринбург"/>
    <d v="2025-12-12T00:00:00"/>
    <x v="0"/>
    <s v="Раф"/>
    <x v="1"/>
    <n v="1"/>
    <n v="240"/>
    <s v="Наталья Р."/>
    <s v="Сергей Мельников"/>
  </r>
  <r>
    <x v="0"/>
    <s v="Екатеринбург"/>
    <d v="2025-10-03T00:00:00"/>
    <x v="3"/>
    <s v="Матча латте"/>
    <x v="1"/>
    <n v="1"/>
    <n v="273"/>
    <s v="Виктор Л."/>
    <s v="Сергей Мельников"/>
  </r>
  <r>
    <x v="0"/>
    <s v="Екатеринбург"/>
    <d v="2025-05-17T00:00:00"/>
    <x v="10"/>
    <s v="Капучино"/>
    <x v="1"/>
    <n v="2"/>
    <n v="418"/>
    <s v="Виктор Л."/>
    <s v="Сергей Мельников"/>
  </r>
  <r>
    <x v="0"/>
    <s v="Екатеринбург"/>
    <d v="2025-04-07T00:00:00"/>
    <x v="11"/>
    <s v="Латте"/>
    <x v="1"/>
    <n v="2"/>
    <n v="462"/>
    <s v="Анна К."/>
    <s v="Сергей Мельников"/>
  </r>
  <r>
    <x v="0"/>
    <s v="Екатеринбург"/>
    <d v="2025-01-03T00:00:00"/>
    <x v="4"/>
    <s v="Эспрессо"/>
    <x v="1"/>
    <n v="1"/>
    <n v="152"/>
    <s v="Игорь С."/>
    <s v="Сергей Мельников"/>
  </r>
  <r>
    <x v="0"/>
    <s v="Екатеринбург"/>
    <d v="2025-03-09T00:00:00"/>
    <x v="6"/>
    <s v="Круассан"/>
    <x v="0"/>
    <n v="3"/>
    <n v="552"/>
    <s v="Виктор Л."/>
    <s v="Сергей Мельников"/>
  </r>
  <r>
    <x v="0"/>
    <s v="Екатеринбург"/>
    <d v="2025-11-01T00:00:00"/>
    <x v="8"/>
    <s v="Американо"/>
    <x v="1"/>
    <n v="1"/>
    <n v="176"/>
    <s v="Максим П."/>
    <s v="Сергей Мельников"/>
  </r>
  <r>
    <x v="0"/>
    <s v="Екатеринбург"/>
    <d v="2025-04-12T00:00:00"/>
    <x v="11"/>
    <s v="Круассан"/>
    <x v="0"/>
    <n v="1"/>
    <n v="179"/>
    <s v="Анна К."/>
    <s v="Сергей Мельников"/>
  </r>
  <r>
    <x v="0"/>
    <s v="Екатеринбург"/>
    <d v="2025-10-04T00:00:00"/>
    <x v="3"/>
    <s v="Капучино"/>
    <x v="1"/>
    <n v="1"/>
    <n v="206"/>
    <s v="Анна К."/>
    <s v="Сергей Мельников"/>
  </r>
  <r>
    <x v="0"/>
    <s v="Екатеринбург"/>
    <d v="2025-08-23T00:00:00"/>
    <x v="9"/>
    <s v="Синнабон"/>
    <x v="0"/>
    <n v="2"/>
    <n v="396"/>
    <s v="Виктор Л."/>
    <s v="Сергей Мельников"/>
  </r>
  <r>
    <x v="0"/>
    <s v="Екатеринбург"/>
    <d v="2025-11-17T00:00:00"/>
    <x v="8"/>
    <s v="Раф"/>
    <x v="1"/>
    <n v="3"/>
    <n v="753"/>
    <s v="Виктор Л."/>
    <s v="Сергей Мельников"/>
  </r>
  <r>
    <x v="0"/>
    <s v="Екатеринбург"/>
    <d v="2025-12-07T00:00:00"/>
    <x v="0"/>
    <s v="Какао"/>
    <x v="1"/>
    <n v="1"/>
    <n v="214"/>
    <s v="Анна К."/>
    <s v="Сергей Мельников"/>
  </r>
  <r>
    <x v="0"/>
    <s v="Екатеринбург"/>
    <d v="2025-10-14T00:00:00"/>
    <x v="3"/>
    <s v="Латте"/>
    <x v="1"/>
    <n v="2"/>
    <n v="448"/>
    <s v="Максим П."/>
    <s v="Сергей Мельников"/>
  </r>
  <r>
    <x v="0"/>
    <s v="Екатеринбург"/>
    <d v="2025-06-12T00:00:00"/>
    <x v="7"/>
    <s v="Салат Цезарь"/>
    <x v="2"/>
    <n v="1"/>
    <n v="365"/>
    <s v="Анна К."/>
    <s v="Сергей Мельников"/>
  </r>
  <r>
    <x v="0"/>
    <s v="Екатеринбург"/>
    <d v="2025-10-21T00:00:00"/>
    <x v="3"/>
    <s v="Матча латте"/>
    <x v="1"/>
    <n v="3"/>
    <n v="945"/>
    <s v="Елена В."/>
    <s v="Сергей Мельников"/>
  </r>
  <r>
    <x v="0"/>
    <s v="Екатеринбург"/>
    <d v="2025-02-13T00:00:00"/>
    <x v="2"/>
    <s v="Американо"/>
    <x v="1"/>
    <n v="2"/>
    <n v="382"/>
    <s v="Елена В."/>
    <s v="Сергей Мельников"/>
  </r>
  <r>
    <x v="0"/>
    <s v="Екатеринбург"/>
    <d v="2025-10-07T00:00:00"/>
    <x v="3"/>
    <s v="Капучино"/>
    <x v="1"/>
    <n v="3"/>
    <n v="603"/>
    <s v="Игорь С."/>
    <s v="Сергей Мельников"/>
  </r>
  <r>
    <x v="0"/>
    <s v="Екатеринбург"/>
    <d v="2025-09-19T00:00:00"/>
    <x v="1"/>
    <s v="Латте"/>
    <x v="1"/>
    <n v="3"/>
    <n v="726"/>
    <s v="Наталья Р."/>
    <s v="Сергей Мельников"/>
  </r>
  <r>
    <x v="0"/>
    <s v="Екатеринбург"/>
    <d v="2025-12-10T00:00:00"/>
    <x v="0"/>
    <s v="Какао"/>
    <x v="1"/>
    <n v="1"/>
    <n v="202"/>
    <s v="Игорь С."/>
    <s v="Сергей Мельников"/>
  </r>
  <r>
    <x v="0"/>
    <s v="Екатеринбург"/>
    <d v="2025-12-17T00:00:00"/>
    <x v="0"/>
    <s v="Раф"/>
    <x v="1"/>
    <n v="1"/>
    <n v="267"/>
    <s v="Не указан"/>
    <s v="Сергей Мельников"/>
  </r>
  <r>
    <x v="0"/>
    <s v="Екатеринбург"/>
    <d v="2025-12-12T00:00:00"/>
    <x v="0"/>
    <s v="Американо"/>
    <x v="1"/>
    <n v="3"/>
    <n v="462"/>
    <s v="Виктор Л."/>
    <s v="Сергей Мельников"/>
  </r>
  <r>
    <x v="0"/>
    <s v="Екатеринбург"/>
    <d v="2025-12-13T00:00:00"/>
    <x v="0"/>
    <s v="Сэндвич"/>
    <x v="2"/>
    <n v="2"/>
    <n v="668"/>
    <s v="Анна К."/>
    <s v="Сергей Мельников"/>
  </r>
  <r>
    <x v="0"/>
    <s v="Екатеринбург"/>
    <d v="2025-04-09T00:00:00"/>
    <x v="11"/>
    <s v="Американо"/>
    <x v="1"/>
    <n v="2"/>
    <n v="294"/>
    <s v="Максим П."/>
    <s v="Сергей Мельников"/>
  </r>
  <r>
    <x v="0"/>
    <s v="Екатеринбург"/>
    <d v="2025-10-13T00:00:00"/>
    <x v="3"/>
    <s v="Сэндвич"/>
    <x v="2"/>
    <n v="2"/>
    <n v="650"/>
    <s v="Анна К."/>
    <s v="Сергей Мельников"/>
  </r>
  <r>
    <x v="0"/>
    <s v="Екатеринбург"/>
    <d v="2025-09-26T00:00:00"/>
    <x v="1"/>
    <s v="Какао"/>
    <x v="1"/>
    <n v="1"/>
    <n v="230"/>
    <s v="Наталья Р."/>
    <s v="Сергей Мельников"/>
  </r>
  <r>
    <x v="0"/>
    <s v="Екатеринбург"/>
    <d v="2025-07-16T00:00:00"/>
    <x v="5"/>
    <s v="Капучино"/>
    <x v="1"/>
    <n v="2"/>
    <n v="460"/>
    <s v="Анна К."/>
    <s v="Сергей Мельников"/>
  </r>
  <r>
    <x v="0"/>
    <s v="Екатеринбург"/>
    <d v="2025-07-01T00:00:00"/>
    <x v="5"/>
    <s v="Матча латте"/>
    <x v="1"/>
    <n v="1"/>
    <n v="284"/>
    <s v="Елена В."/>
    <s v="Сергей Мельников"/>
  </r>
  <r>
    <x v="0"/>
    <s v="Екатеринбург"/>
    <d v="2025-11-06T00:00:00"/>
    <x v="8"/>
    <s v="Какао"/>
    <x v="1"/>
    <n v="1"/>
    <n v="196"/>
    <s v="Елена В."/>
    <s v="Сергей Мельников"/>
  </r>
  <r>
    <x v="0"/>
    <s v="Екатеринбург"/>
    <d v="2025-01-27T00:00:00"/>
    <x v="4"/>
    <s v="Раф"/>
    <x v="1"/>
    <n v="1"/>
    <n v="240"/>
    <s v="Игорь С."/>
    <s v="Сергей Мельников"/>
  </r>
  <r>
    <x v="0"/>
    <s v="Екатеринбург"/>
    <d v="2025-04-12T00:00:00"/>
    <x v="11"/>
    <s v="Круассан"/>
    <x v="0"/>
    <n v="1"/>
    <n v="188"/>
    <s v="Игорь С."/>
    <s v="Сергей Мельников"/>
  </r>
  <r>
    <x v="0"/>
    <s v="Екатеринбург"/>
    <d v="2025-03-04T00:00:00"/>
    <x v="6"/>
    <s v="Эспрессо"/>
    <x v="1"/>
    <n v="1"/>
    <n v="120"/>
    <s v="Игорь С."/>
    <s v="Сергей Мельников"/>
  </r>
  <r>
    <x v="0"/>
    <s v="Екатеринбург"/>
    <d v="2025-10-15T00:00:00"/>
    <x v="3"/>
    <s v="Синнабон"/>
    <x v="0"/>
    <n v="2"/>
    <n v="450"/>
    <s v="Виктор Л."/>
    <s v="Сергей Мельников"/>
  </r>
  <r>
    <x v="0"/>
    <s v="Екатеринбург"/>
    <d v="2025-01-07T00:00:00"/>
    <x v="4"/>
    <s v="Синнабон"/>
    <x v="0"/>
    <n v="2"/>
    <n v="450"/>
    <s v="Елена В."/>
    <s v="Сергей Мельников"/>
  </r>
  <r>
    <x v="0"/>
    <s v="Екатеринбург"/>
    <d v="2025-06-27T00:00:00"/>
    <x v="7"/>
    <s v="Какао"/>
    <x v="1"/>
    <n v="3"/>
    <n v="720"/>
    <s v="Анна К."/>
    <s v="Сергей Мельников"/>
  </r>
  <r>
    <x v="0"/>
    <s v="Екатеринбург"/>
    <d v="2025-10-01T00:00:00"/>
    <x v="3"/>
    <s v="Синнабон"/>
    <x v="0"/>
    <n v="1"/>
    <n v="203"/>
    <s v="Виктор Л."/>
    <s v="Сергей Мельников"/>
  </r>
  <r>
    <x v="0"/>
    <s v="Екатеринбург"/>
    <d v="2025-01-20T00:00:00"/>
    <x v="4"/>
    <s v="Сэндвич"/>
    <x v="2"/>
    <n v="2"/>
    <n v="656"/>
    <s v="Анна К."/>
    <s v="Сергей Мельников"/>
  </r>
  <r>
    <x v="0"/>
    <s v="Екатеринбург"/>
    <d v="2025-05-25T00:00:00"/>
    <x v="10"/>
    <s v="Чизкейк"/>
    <x v="0"/>
    <n v="3"/>
    <n v="825"/>
    <s v="Наталья Р."/>
    <s v="Сергей Мельников"/>
  </r>
  <r>
    <x v="0"/>
    <s v="Екатеринбург"/>
    <d v="2025-05-10T00:00:00"/>
    <x v="10"/>
    <s v="Капучино"/>
    <x v="1"/>
    <n v="2"/>
    <n v="390"/>
    <s v="Анна К."/>
    <s v="Сергей Мельников"/>
  </r>
  <r>
    <x v="0"/>
    <s v="Екатеринбург"/>
    <d v="2025-11-04T00:00:00"/>
    <x v="8"/>
    <s v="Круассан"/>
    <x v="0"/>
    <n v="2"/>
    <n v="374"/>
    <s v="Виктор Л."/>
    <s v="Сергей Мельников"/>
  </r>
  <r>
    <x v="0"/>
    <s v="Екатеринбург"/>
    <d v="2025-11-06T00:00:00"/>
    <x v="8"/>
    <s v="Эспрессо"/>
    <x v="1"/>
    <n v="1"/>
    <n v="149"/>
    <s v="Елена В."/>
    <s v="Сергей Мельников"/>
  </r>
  <r>
    <x v="0"/>
    <s v="Екатеринбург"/>
    <d v="2025-12-12T00:00:00"/>
    <x v="0"/>
    <s v="Латте"/>
    <x v="1"/>
    <n v="2"/>
    <n v="462"/>
    <s v="Виктор Л."/>
    <s v="Сергей Мельников"/>
  </r>
  <r>
    <x v="0"/>
    <s v="Екатеринбург"/>
    <d v="2025-04-17T00:00:00"/>
    <x v="11"/>
    <s v="Синнабон"/>
    <x v="0"/>
    <n v="1"/>
    <n v="231"/>
    <s v="Максим П."/>
    <s v="Сергей Мельников"/>
  </r>
  <r>
    <x v="0"/>
    <s v="Екатеринбург"/>
    <d v="2025-12-02T00:00:00"/>
    <x v="0"/>
    <s v="Синнабон"/>
    <x v="0"/>
    <n v="2"/>
    <n v="378"/>
    <s v="Анна К."/>
    <s v="Сергей Мельников"/>
  </r>
  <r>
    <x v="0"/>
    <s v="Екатеринбург"/>
    <d v="2025-03-08T00:00:00"/>
    <x v="6"/>
    <s v="Эспрессо"/>
    <x v="1"/>
    <n v="1"/>
    <n v="127"/>
    <s v="Игорь С."/>
    <s v="Сергей Мельников"/>
  </r>
  <r>
    <x v="0"/>
    <s v="Екатеринбург"/>
    <d v="2025-07-15T00:00:00"/>
    <x v="5"/>
    <s v="Какао"/>
    <x v="1"/>
    <n v="3"/>
    <n v="648"/>
    <s v="Виктор Л."/>
    <s v="Сергей Мельников"/>
  </r>
  <r>
    <x v="0"/>
    <s v="Екатеринбург"/>
    <d v="2025-04-21T00:00:00"/>
    <x v="11"/>
    <s v="Какао"/>
    <x v="1"/>
    <n v="1"/>
    <n v="200"/>
    <s v="Анна К."/>
    <s v="Сергей Мельников"/>
  </r>
  <r>
    <x v="0"/>
    <s v="Екатеринбург"/>
    <d v="2025-09-27T00:00:00"/>
    <x v="1"/>
    <s v="Раф"/>
    <x v="1"/>
    <n v="1"/>
    <n v="264"/>
    <s v="Максим П."/>
    <s v="Сергей Мельников"/>
  </r>
  <r>
    <x v="0"/>
    <s v="Екатеринбург"/>
    <d v="2025-06-11T00:00:00"/>
    <x v="7"/>
    <s v="Американо"/>
    <x v="1"/>
    <n v="2"/>
    <n v="334"/>
    <s v="Игорь С."/>
    <s v="Сергей Мельников"/>
  </r>
  <r>
    <x v="0"/>
    <s v="Екатеринбург"/>
    <d v="2025-11-04T00:00:00"/>
    <x v="8"/>
    <s v="Латте"/>
    <x v="1"/>
    <n v="1"/>
    <n v="229"/>
    <s v="Виктор Л."/>
    <s v="Сергей Мельников"/>
  </r>
  <r>
    <x v="0"/>
    <s v="Екатеринбург"/>
    <d v="2025-11-03T00:00:00"/>
    <x v="8"/>
    <s v="Американо"/>
    <x v="1"/>
    <n v="1"/>
    <n v="188"/>
    <s v="Максим П."/>
    <s v="Сергей Мельников"/>
  </r>
  <r>
    <x v="0"/>
    <s v="Екатеринбург"/>
    <d v="2025-01-14T00:00:00"/>
    <x v="4"/>
    <s v="Синнабон"/>
    <x v="0"/>
    <n v="1"/>
    <n v="231"/>
    <s v="Виктор Л."/>
    <s v="Сергей Мельников"/>
  </r>
  <r>
    <x v="0"/>
    <s v="Екатеринбург"/>
    <d v="2025-06-25T00:00:00"/>
    <x v="7"/>
    <s v="Эспрессо"/>
    <x v="1"/>
    <n v="1"/>
    <n v="150"/>
    <s v="Наталья Р."/>
    <s v="Сергей Мельников"/>
  </r>
  <r>
    <x v="0"/>
    <s v="Екатеринбург"/>
    <d v="2025-08-12T00:00:00"/>
    <x v="9"/>
    <s v="Синнабон"/>
    <x v="0"/>
    <n v="2"/>
    <n v="374"/>
    <s v="Елена В."/>
    <s v="Сергей Мельников"/>
  </r>
  <r>
    <x v="0"/>
    <s v="Екатеринбург"/>
    <d v="2025-05-04T00:00:00"/>
    <x v="10"/>
    <s v="Эспрессо"/>
    <x v="1"/>
    <n v="1"/>
    <n v="148"/>
    <s v="Анна К."/>
    <s v="Сергей Мельников"/>
  </r>
  <r>
    <x v="0"/>
    <s v="Екатеринбург"/>
    <d v="2025-11-28T00:00:00"/>
    <x v="8"/>
    <s v="Матча латте"/>
    <x v="1"/>
    <n v="2"/>
    <n v="604"/>
    <s v="Наталья Р."/>
    <s v="Сергей Мельников"/>
  </r>
  <r>
    <x v="0"/>
    <s v="Екатеринбург"/>
    <d v="2025-01-16T00:00:00"/>
    <x v="4"/>
    <s v="Салат Цезарь"/>
    <x v="2"/>
    <n v="1"/>
    <n v="384"/>
    <s v="Елена В."/>
    <s v="Сергей Мельников"/>
  </r>
  <r>
    <x v="0"/>
    <s v="Екатеринбург"/>
    <d v="2025-10-09T00:00:00"/>
    <x v="3"/>
    <s v="Капучино"/>
    <x v="1"/>
    <n v="1"/>
    <n v="184"/>
    <s v="Елена В."/>
    <s v="Сергей Мельников"/>
  </r>
  <r>
    <x v="0"/>
    <s v="Екатеринбург"/>
    <d v="2025-06-04T00:00:00"/>
    <x v="7"/>
    <s v="Латте"/>
    <x v="1"/>
    <n v="2"/>
    <n v="442"/>
    <s v="Елена В."/>
    <s v="Сергей Мельников"/>
  </r>
  <r>
    <x v="0"/>
    <s v="Екатеринбург"/>
    <d v="2025-07-23T00:00:00"/>
    <x v="5"/>
    <s v="Какао"/>
    <x v="1"/>
    <n v="3"/>
    <n v="588"/>
    <s v="Игорь С."/>
    <s v="Сергей Мельников"/>
  </r>
  <r>
    <x v="0"/>
    <s v="Екатеринбург"/>
    <d v="2025-04-22T00:00:00"/>
    <x v="11"/>
    <s v="Эспрессо"/>
    <x v="1"/>
    <n v="3"/>
    <n v="459"/>
    <s v="Наталья Р."/>
    <s v="Сергей Мельников"/>
  </r>
  <r>
    <x v="0"/>
    <s v="Екатеринбург"/>
    <d v="2025-03-21T00:00:00"/>
    <x v="6"/>
    <s v="Раф"/>
    <x v="1"/>
    <n v="3"/>
    <n v="822"/>
    <s v="Максим П."/>
    <s v="Сергей Мельников"/>
  </r>
  <r>
    <x v="0"/>
    <s v="Екатеринбург"/>
    <d v="2025-06-16T00:00:00"/>
    <x v="7"/>
    <s v="Круассан"/>
    <x v="0"/>
    <n v="2"/>
    <n v="388"/>
    <s v="Наталья Р."/>
    <s v="Сергей Мельников"/>
  </r>
  <r>
    <x v="0"/>
    <s v="Екатеринбург"/>
    <d v="2025-09-21T00:00:00"/>
    <x v="1"/>
    <s v="Сэндвич"/>
    <x v="2"/>
    <n v="3"/>
    <n v="1005"/>
    <s v="Елена В."/>
    <s v="Сергей Мельников"/>
  </r>
  <r>
    <x v="0"/>
    <s v="Екатеринбург"/>
    <d v="2025-09-14T00:00:00"/>
    <x v="1"/>
    <s v="Синнабон"/>
    <x v="0"/>
    <n v="1"/>
    <n v="219"/>
    <s v="Игорь С."/>
    <s v="Сергей Мельников"/>
  </r>
  <r>
    <x v="0"/>
    <s v="Екатеринбург"/>
    <d v="2025-10-14T00:00:00"/>
    <x v="3"/>
    <s v="Чизкейк"/>
    <x v="0"/>
    <n v="1"/>
    <n v="257"/>
    <s v="Елена В."/>
    <s v="Сергей Мельников"/>
  </r>
  <r>
    <x v="0"/>
    <s v="Екатеринбург"/>
    <d v="2025-04-22T00:00:00"/>
    <x v="11"/>
    <s v="Сэндвич"/>
    <x v="2"/>
    <n v="1"/>
    <n v="286"/>
    <s v="Елена В."/>
    <s v="Сергей Мельников"/>
  </r>
  <r>
    <x v="0"/>
    <s v="Екатеринбург"/>
    <d v="2025-04-14T00:00:00"/>
    <x v="11"/>
    <s v="Раф"/>
    <x v="1"/>
    <n v="1"/>
    <n v="290"/>
    <s v="Наталья Р."/>
    <s v="Сергей Мельников"/>
  </r>
  <r>
    <x v="0"/>
    <s v="Екатеринбург"/>
    <d v="2025-05-04T00:00:00"/>
    <x v="10"/>
    <s v="Эспрессо"/>
    <x v="1"/>
    <n v="1"/>
    <n v="154"/>
    <s v="Анна К."/>
    <s v="Сергей Мельников"/>
  </r>
  <r>
    <x v="0"/>
    <s v="Екатеринбург"/>
    <d v="2025-03-22T00:00:00"/>
    <x v="6"/>
    <s v="Латте"/>
    <x v="1"/>
    <n v="2"/>
    <n v="482"/>
    <s v="Наталья Р."/>
    <s v="Сергей Мельников"/>
  </r>
  <r>
    <x v="0"/>
    <s v="Екатеринбург"/>
    <d v="2025-04-16T00:00:00"/>
    <x v="11"/>
    <s v="Американо"/>
    <x v="1"/>
    <n v="3"/>
    <n v="471"/>
    <s v="Виктор Л."/>
    <s v="Сергей Мельников"/>
  </r>
  <r>
    <x v="0"/>
    <s v="Екатеринбург"/>
    <d v="2025-06-08T00:00:00"/>
    <x v="7"/>
    <s v="Капучино"/>
    <x v="1"/>
    <n v="1"/>
    <n v="181"/>
    <s v="Игорь С."/>
    <s v="Сергей Мельников"/>
  </r>
  <r>
    <x v="0"/>
    <s v="Екатеринбург"/>
    <d v="2025-03-17T00:00:00"/>
    <x v="6"/>
    <s v="Американо"/>
    <x v="1"/>
    <n v="1"/>
    <n v="152"/>
    <s v="Виктор Л."/>
    <s v="Сергей Мельников"/>
  </r>
  <r>
    <x v="0"/>
    <s v="Екатеринбург"/>
    <d v="2025-07-22T00:00:00"/>
    <x v="5"/>
    <s v="Капучино"/>
    <x v="1"/>
    <n v="3"/>
    <n v="558"/>
    <s v="Наталья Р."/>
    <s v="Сергей Мельников"/>
  </r>
  <r>
    <x v="0"/>
    <s v="Екатеринбург"/>
    <d v="2025-12-01T00:00:00"/>
    <x v="0"/>
    <s v="Американо"/>
    <x v="1"/>
    <n v="2"/>
    <n v="374"/>
    <s v="Игорь С."/>
    <s v="Сергей Мельников"/>
  </r>
  <r>
    <x v="0"/>
    <s v="Екатеринбург"/>
    <d v="2025-09-04T00:00:00"/>
    <x v="1"/>
    <s v="Сэндвич"/>
    <x v="2"/>
    <n v="2"/>
    <n v="708"/>
    <s v="Анна К."/>
    <s v="Сергей Мельников"/>
  </r>
  <r>
    <x v="0"/>
    <s v="Екатеринбург"/>
    <d v="2025-09-26T00:00:00"/>
    <x v="1"/>
    <s v="Капучино"/>
    <x v="1"/>
    <n v="1"/>
    <n v="189"/>
    <s v="Елена В."/>
    <s v="Сергей Мельников"/>
  </r>
  <r>
    <x v="0"/>
    <s v="Екатеринбург"/>
    <d v="2025-10-01T00:00:00"/>
    <x v="3"/>
    <s v="Американо"/>
    <x v="1"/>
    <n v="1"/>
    <n v="152"/>
    <s v="Елена В."/>
    <s v="Сергей Мельников"/>
  </r>
  <r>
    <x v="0"/>
    <s v="Екатеринбург"/>
    <d v="2025-02-14T00:00:00"/>
    <x v="2"/>
    <s v="Сэндвич"/>
    <x v="2"/>
    <n v="2"/>
    <n v="690"/>
    <s v="Виктор Л."/>
    <s v="Сергей Мельников"/>
  </r>
  <r>
    <x v="0"/>
    <s v="Екатеринбург"/>
    <d v="2025-08-28T00:00:00"/>
    <x v="9"/>
    <s v="Раф"/>
    <x v="1"/>
    <n v="3"/>
    <n v="774"/>
    <s v="Игорь С."/>
    <s v="Сергей Мельников"/>
  </r>
  <r>
    <x v="0"/>
    <s v="Екатеринбург"/>
    <d v="2025-11-24T00:00:00"/>
    <x v="8"/>
    <s v="Раф"/>
    <x v="1"/>
    <n v="1"/>
    <n v="279"/>
    <s v="Игорь С."/>
    <s v="Сергей Мельников"/>
  </r>
  <r>
    <x v="0"/>
    <s v="Екатеринбург"/>
    <d v="2025-05-14T00:00:00"/>
    <x v="10"/>
    <s v="Раф"/>
    <x v="1"/>
    <n v="2"/>
    <n v="472"/>
    <s v="Максим П."/>
    <s v="Сергей Мельников"/>
  </r>
  <r>
    <x v="0"/>
    <s v="Екатеринбург"/>
    <d v="2025-08-22T00:00:00"/>
    <x v="9"/>
    <s v="Капучино"/>
    <x v="1"/>
    <n v="3"/>
    <n v="687"/>
    <s v="Игорь С."/>
    <s v="Сергей Мельников"/>
  </r>
  <r>
    <x v="0"/>
    <s v="Екатеринбург"/>
    <d v="2025-10-19T00:00:00"/>
    <x v="3"/>
    <s v="Чизкейк"/>
    <x v="0"/>
    <n v="2"/>
    <n v="470"/>
    <s v="Игорь С."/>
    <s v="Сергей Мельников"/>
  </r>
  <r>
    <x v="0"/>
    <s v="Екатеринбург"/>
    <d v="2025-04-22T00:00:00"/>
    <x v="11"/>
    <s v="Американо"/>
    <x v="1"/>
    <n v="1"/>
    <n v="145"/>
    <s v="Наталья Р."/>
    <s v="Сергей Мельников"/>
  </r>
  <r>
    <x v="0"/>
    <s v="Екатеринбург"/>
    <d v="2025-03-01T00:00:00"/>
    <x v="6"/>
    <s v="Американо"/>
    <x v="1"/>
    <n v="2"/>
    <n v="374"/>
    <s v="Максим П."/>
    <s v="Сергей Мельников"/>
  </r>
  <r>
    <x v="0"/>
    <s v="Екатеринбург"/>
    <d v="2025-08-09T00:00:00"/>
    <x v="9"/>
    <s v="Латте"/>
    <x v="1"/>
    <n v="1"/>
    <n v="204"/>
    <s v="Игорь С."/>
    <s v="Сергей Мельников"/>
  </r>
  <r>
    <x v="0"/>
    <s v="Екатеринбург"/>
    <d v="2025-08-25T00:00:00"/>
    <x v="9"/>
    <s v="Синнабон"/>
    <x v="0"/>
    <n v="3"/>
    <n v="654"/>
    <s v="Елена В."/>
    <s v="Сергей Мельников"/>
  </r>
  <r>
    <x v="0"/>
    <s v="Екатеринбург"/>
    <d v="2025-10-23T00:00:00"/>
    <x v="3"/>
    <s v="Капучино"/>
    <x v="1"/>
    <n v="2"/>
    <n v="398"/>
    <s v="Игорь С."/>
    <s v="Сергей Мельников"/>
  </r>
  <r>
    <x v="0"/>
    <s v="Екатеринбург"/>
    <d v="2025-04-23T00:00:00"/>
    <x v="11"/>
    <s v="Круассан"/>
    <x v="0"/>
    <n v="2"/>
    <n v="388"/>
    <s v="Анна К."/>
    <s v="Сергей Мельников"/>
  </r>
  <r>
    <x v="0"/>
    <s v="Екатеринбург"/>
    <d v="2025-01-13T00:00:00"/>
    <x v="4"/>
    <s v="Салат Цезарь"/>
    <x v="2"/>
    <n v="1"/>
    <n v="367"/>
    <s v="Игорь С."/>
    <s v="Сергей Мельников"/>
  </r>
  <r>
    <x v="0"/>
    <s v="Екатеринбург"/>
    <d v="2025-03-27T00:00:00"/>
    <x v="6"/>
    <s v="Салат Цезарь"/>
    <x v="2"/>
    <n v="1"/>
    <n v="410"/>
    <s v="Игорь С."/>
    <s v="Сергей Мельников"/>
  </r>
  <r>
    <x v="0"/>
    <s v="Екатеринбург"/>
    <d v="2025-02-02T00:00:00"/>
    <x v="2"/>
    <s v="Круассан"/>
    <x v="0"/>
    <n v="1"/>
    <n v="184"/>
    <s v="Елена В."/>
    <s v="Сергей Мельников"/>
  </r>
  <r>
    <x v="0"/>
    <s v="Екатеринбург"/>
    <d v="2025-09-20T00:00:00"/>
    <x v="1"/>
    <s v="Матча латте"/>
    <x v="1"/>
    <n v="1"/>
    <n v="306"/>
    <s v="Наталья Р."/>
    <s v="Сергей Мельников"/>
  </r>
  <r>
    <x v="0"/>
    <s v="Екатеринбург"/>
    <d v="2025-11-28T00:00:00"/>
    <x v="8"/>
    <s v="Американо"/>
    <x v="1"/>
    <n v="3"/>
    <n v="492"/>
    <s v="Наталья Р."/>
    <s v="Сергей Мельников"/>
  </r>
  <r>
    <x v="0"/>
    <s v="Екатеринбург"/>
    <d v="2025-09-11T00:00:00"/>
    <x v="1"/>
    <s v="Салат Цезарь"/>
    <x v="2"/>
    <n v="2"/>
    <n v="750"/>
    <s v="Максим П."/>
    <s v="Сергей Мельников"/>
  </r>
  <r>
    <x v="0"/>
    <s v="Екатеринбург"/>
    <d v="2025-01-18T00:00:00"/>
    <x v="4"/>
    <s v="Салат Цезарь"/>
    <x v="2"/>
    <n v="1"/>
    <n v="399"/>
    <s v="Виктор Л."/>
    <s v="Сергей Мельников"/>
  </r>
  <r>
    <x v="0"/>
    <s v="Екатеринбург"/>
    <d v="2025-09-21T00:00:00"/>
    <x v="1"/>
    <s v="Американо"/>
    <x v="1"/>
    <n v="3"/>
    <n v="438"/>
    <s v="Наталья Р."/>
    <s v="Сергей Мельников"/>
  </r>
  <r>
    <x v="0"/>
    <s v="Екатеринбург"/>
    <d v="2025-03-19T00:00:00"/>
    <x v="6"/>
    <s v="Чизкейк"/>
    <x v="0"/>
    <n v="2"/>
    <n v="456"/>
    <s v="Игорь С."/>
    <s v="Сергей Мельников"/>
  </r>
  <r>
    <x v="0"/>
    <s v="Екатеринбург"/>
    <d v="2025-12-24T00:00:00"/>
    <x v="0"/>
    <s v="Эспрессо"/>
    <x v="1"/>
    <n v="1"/>
    <n v="131"/>
    <s v="Игорь С."/>
    <s v="Сергей Мельников"/>
  </r>
  <r>
    <x v="0"/>
    <s v="Екатеринбург"/>
    <d v="2025-01-17T00:00:00"/>
    <x v="4"/>
    <s v="Матча латте"/>
    <x v="1"/>
    <n v="3"/>
    <n v="750"/>
    <s v="Игорь С."/>
    <s v="Сергей Мельников"/>
  </r>
  <r>
    <x v="0"/>
    <s v="Екатеринбург"/>
    <d v="2025-12-10T00:00:00"/>
    <x v="0"/>
    <s v="Американо"/>
    <x v="1"/>
    <n v="1"/>
    <n v="185"/>
    <s v="Виктор Л."/>
    <s v="Сергей Мельников"/>
  </r>
  <r>
    <x v="0"/>
    <s v="Екатеринбург"/>
    <d v="2025-07-08T00:00:00"/>
    <x v="5"/>
    <s v="Какао"/>
    <x v="1"/>
    <n v="2"/>
    <n v="396"/>
    <s v="Игорь С."/>
    <s v="Сергей Мельников"/>
  </r>
  <r>
    <x v="0"/>
    <s v="Екатеринбург"/>
    <d v="2025-07-10T00:00:00"/>
    <x v="5"/>
    <s v="Матча латте"/>
    <x v="1"/>
    <n v="1"/>
    <n v="262"/>
    <s v="Игорь С."/>
    <s v="Сергей Мельников"/>
  </r>
  <r>
    <x v="0"/>
    <s v="Екатеринбург"/>
    <d v="2025-05-24T00:00:00"/>
    <x v="10"/>
    <s v="Синнабон"/>
    <x v="0"/>
    <n v="1"/>
    <n v="204"/>
    <s v="Игорь С."/>
    <s v="Сергей Мельников"/>
  </r>
  <r>
    <x v="0"/>
    <s v="Екатеринбург"/>
    <d v="2025-12-25T00:00:00"/>
    <x v="0"/>
    <s v="Сэндвич"/>
    <x v="2"/>
    <n v="2"/>
    <n v="642"/>
    <s v="Максим П."/>
    <s v="Сергей Мельников"/>
  </r>
  <r>
    <x v="0"/>
    <s v="Екатеринбург"/>
    <d v="2025-12-09T00:00:00"/>
    <x v="0"/>
    <s v="Латте"/>
    <x v="1"/>
    <n v="1"/>
    <n v="239"/>
    <s v="Анна К."/>
    <s v="Сергей Мельников"/>
  </r>
  <r>
    <x v="0"/>
    <s v="Екатеринбург"/>
    <d v="2025-07-11T00:00:00"/>
    <x v="5"/>
    <s v="Какао"/>
    <x v="1"/>
    <n v="2"/>
    <n v="414"/>
    <s v="Игорь С."/>
    <s v="Сергей Мельников"/>
  </r>
  <r>
    <x v="0"/>
    <s v="Екатеринбург"/>
    <d v="2025-01-04T00:00:00"/>
    <x v="4"/>
    <s v="Круассан"/>
    <x v="0"/>
    <n v="1"/>
    <n v="192"/>
    <s v="Игорь С."/>
    <s v="Сергей Мельников"/>
  </r>
  <r>
    <x v="0"/>
    <s v="Екатеринбург"/>
    <d v="2025-03-26T00:00:00"/>
    <x v="6"/>
    <s v="Какао"/>
    <x v="1"/>
    <n v="2"/>
    <n v="458"/>
    <s v="Наталья Р."/>
    <s v="Сергей Мельников"/>
  </r>
  <r>
    <x v="0"/>
    <s v="Екатеринбург"/>
    <d v="2025-03-01T00:00:00"/>
    <x v="6"/>
    <s v="Синнабон"/>
    <x v="0"/>
    <n v="3"/>
    <n v="588"/>
    <s v="Наталья Р."/>
    <s v="Сергей Мельников"/>
  </r>
  <r>
    <x v="0"/>
    <s v="Екатеринбург"/>
    <d v="2025-12-22T00:00:00"/>
    <x v="0"/>
    <s v="Латте"/>
    <x v="1"/>
    <n v="1"/>
    <n v="231"/>
    <s v="Максим П."/>
    <s v="Сергей Мельников"/>
  </r>
  <r>
    <x v="0"/>
    <s v="Екатеринбург"/>
    <d v="2025-05-28T00:00:00"/>
    <x v="10"/>
    <s v="Чизкейк"/>
    <x v="0"/>
    <n v="1"/>
    <n v="239"/>
    <s v="Максим П."/>
    <s v="Сергей Мельников"/>
  </r>
  <r>
    <x v="0"/>
    <s v="Екатеринбург"/>
    <d v="2025-04-04T00:00:00"/>
    <x v="11"/>
    <s v="Чизкейк"/>
    <x v="0"/>
    <n v="1"/>
    <n v="246"/>
    <s v="Игорь С."/>
    <s v="Сергей Мельников"/>
  </r>
  <r>
    <x v="0"/>
    <s v="Екатеринбург"/>
    <d v="2025-02-28T00:00:00"/>
    <x v="2"/>
    <s v="Матча латте"/>
    <x v="1"/>
    <n v="2"/>
    <n v="502"/>
    <s v="Виктор Л."/>
    <s v="Сергей Мельников"/>
  </r>
  <r>
    <x v="0"/>
    <s v="Екатеринбург"/>
    <d v="2025-04-07T00:00:00"/>
    <x v="11"/>
    <s v="Салат Цезарь"/>
    <x v="2"/>
    <n v="1"/>
    <n v="349"/>
    <s v="Елена В."/>
    <s v="Сергей Мельников"/>
  </r>
  <r>
    <x v="0"/>
    <s v="Екатеринбург"/>
    <d v="2025-04-14T00:00:00"/>
    <x v="11"/>
    <s v="Синнабон"/>
    <x v="0"/>
    <n v="3"/>
    <n v="555"/>
    <s v="Игорь С."/>
    <s v="Сергей Мельников"/>
  </r>
  <r>
    <x v="0"/>
    <s v="Екатеринбург"/>
    <d v="2025-08-12T00:00:00"/>
    <x v="9"/>
    <s v="Латте"/>
    <x v="1"/>
    <n v="1"/>
    <n v="236"/>
    <s v="Елена В."/>
    <s v="Сергей Мельников"/>
  </r>
  <r>
    <x v="0"/>
    <s v="Екатеринбург"/>
    <d v="2025-01-20T00:00:00"/>
    <x v="4"/>
    <s v="Салат Цезарь"/>
    <x v="2"/>
    <n v="1"/>
    <n v="338"/>
    <s v="Анна К."/>
    <s v="Сергей Мельников"/>
  </r>
  <r>
    <x v="0"/>
    <s v="Екатеринбург"/>
    <d v="2025-05-04T00:00:00"/>
    <x v="10"/>
    <s v="Салат Цезарь"/>
    <x v="2"/>
    <n v="1"/>
    <n v="405"/>
    <s v="Максим П."/>
    <s v="Сергей Мельников"/>
  </r>
  <r>
    <x v="0"/>
    <s v="Екатеринбург"/>
    <d v="2025-01-15T00:00:00"/>
    <x v="4"/>
    <s v="Матча латте"/>
    <x v="1"/>
    <n v="1"/>
    <n v="245"/>
    <s v="Виктор Л."/>
    <s v="Сергей Мельников"/>
  </r>
  <r>
    <x v="0"/>
    <s v="Екатеринбург"/>
    <d v="2025-02-28T00:00:00"/>
    <x v="2"/>
    <s v="Раф"/>
    <x v="1"/>
    <n v="3"/>
    <n v="795"/>
    <s v="Игорь С."/>
    <s v="Сергей Мельников"/>
  </r>
  <r>
    <x v="0"/>
    <s v="Екатеринбург"/>
    <d v="2025-07-06T00:00:00"/>
    <x v="5"/>
    <s v="Какао"/>
    <x v="1"/>
    <n v="1"/>
    <n v="243"/>
    <s v="Игорь С."/>
    <s v="Сергей Мельников"/>
  </r>
  <r>
    <x v="0"/>
    <s v="Екатеринбург"/>
    <d v="2025-05-18T00:00:00"/>
    <x v="10"/>
    <s v="Какао"/>
    <x v="1"/>
    <n v="2"/>
    <n v="476"/>
    <s v="Наталья Р."/>
    <s v="Сергей Мельников"/>
  </r>
  <r>
    <x v="0"/>
    <s v="Екатеринбург"/>
    <d v="2025-12-23T00:00:00"/>
    <x v="0"/>
    <s v="Американо"/>
    <x v="1"/>
    <n v="2"/>
    <n v="346"/>
    <s v="Елена В."/>
    <s v="Сергей Мельников"/>
  </r>
  <r>
    <x v="0"/>
    <s v="Екатеринбург"/>
    <d v="2025-10-11T00:00:00"/>
    <x v="3"/>
    <s v="Латте"/>
    <x v="1"/>
    <n v="2"/>
    <n v="498"/>
    <s v="Игорь С."/>
    <s v="Сергей Мельников"/>
  </r>
  <r>
    <x v="0"/>
    <s v="Екатеринбург"/>
    <d v="2025-02-26T00:00:00"/>
    <x v="2"/>
    <s v="Сэндвич"/>
    <x v="2"/>
    <n v="1"/>
    <n v="285"/>
    <s v="Виктор Л."/>
    <s v="Сергей Мельников"/>
  </r>
  <r>
    <x v="0"/>
    <s v="Екатеринбург"/>
    <d v="2025-09-26T00:00:00"/>
    <x v="1"/>
    <s v="Синнабон"/>
    <x v="0"/>
    <n v="1"/>
    <n v="190"/>
    <s v="Анна К."/>
    <s v="Сергей Мельников"/>
  </r>
  <r>
    <x v="0"/>
    <s v="Екатеринбург"/>
    <d v="2025-04-20T00:00:00"/>
    <x v="11"/>
    <s v="Салат Цезарь"/>
    <x v="2"/>
    <n v="3"/>
    <n v="1197"/>
    <s v="Максим П."/>
    <s v="Сергей Мельников"/>
  </r>
  <r>
    <x v="0"/>
    <s v="Екатеринбург"/>
    <d v="2025-10-04T00:00:00"/>
    <x v="3"/>
    <s v="Американо"/>
    <x v="1"/>
    <n v="1"/>
    <n v="168"/>
    <s v="Максим П."/>
    <s v="Сергей Мельников"/>
  </r>
  <r>
    <x v="0"/>
    <s v="Екатеринбург"/>
    <d v="2025-05-16T00:00:00"/>
    <x v="10"/>
    <s v="Эспрессо"/>
    <x v="1"/>
    <n v="1"/>
    <n v="147"/>
    <s v="Анна К."/>
    <s v="Сергей Мельников"/>
  </r>
  <r>
    <x v="0"/>
    <s v="Екатеринбург"/>
    <d v="2025-01-13T00:00:00"/>
    <x v="4"/>
    <s v="Салат Цезарь"/>
    <x v="2"/>
    <n v="1"/>
    <n v="397"/>
    <s v="Игорь С."/>
    <s v="Сергей Мельников"/>
  </r>
  <r>
    <x v="0"/>
    <s v="Екатеринбург"/>
    <d v="2025-06-01T00:00:00"/>
    <x v="7"/>
    <s v="Американо"/>
    <x v="1"/>
    <n v="3"/>
    <n v="549"/>
    <s v="Анна К."/>
    <s v="Сергей Мельников"/>
  </r>
  <r>
    <x v="0"/>
    <s v="Екатеринбург"/>
    <d v="2025-11-10T00:00:00"/>
    <x v="8"/>
    <s v="Латте"/>
    <x v="1"/>
    <n v="1"/>
    <n v="249"/>
    <s v="Виктор Л."/>
    <s v="Сергей Мельников"/>
  </r>
  <r>
    <x v="0"/>
    <s v="Екатеринбург"/>
    <d v="2025-01-18T00:00:00"/>
    <x v="4"/>
    <s v="Матча латте"/>
    <x v="1"/>
    <n v="1"/>
    <n v="271"/>
    <s v="Анна К."/>
    <s v="Сергей Мельников"/>
  </r>
  <r>
    <x v="0"/>
    <s v="Екатеринбург"/>
    <d v="2025-09-05T00:00:00"/>
    <x v="1"/>
    <s v="Капучино"/>
    <x v="1"/>
    <n v="3"/>
    <n v="678"/>
    <s v="Игорь С."/>
    <s v="Сергей Мельников"/>
  </r>
  <r>
    <x v="0"/>
    <s v="Екатеринбург"/>
    <d v="2025-09-27T00:00:00"/>
    <x v="1"/>
    <s v="Раф"/>
    <x v="1"/>
    <n v="1"/>
    <n v="262"/>
    <s v="Анна К."/>
    <s v="Сергей Мельников"/>
  </r>
  <r>
    <x v="0"/>
    <s v="Екатеринбург"/>
    <d v="2025-09-12T00:00:00"/>
    <x v="1"/>
    <s v="Сэндвич"/>
    <x v="2"/>
    <n v="2"/>
    <n v="562"/>
    <s v="Елена В."/>
    <s v="Сергей Мельников"/>
  </r>
  <r>
    <x v="0"/>
    <s v="Екатеринбург"/>
    <d v="2025-12-22T00:00:00"/>
    <x v="0"/>
    <s v="Какао"/>
    <x v="1"/>
    <n v="2"/>
    <n v="466"/>
    <s v="Максим П."/>
    <s v="Сергей Мельников"/>
  </r>
  <r>
    <x v="0"/>
    <s v="Екатеринбург"/>
    <d v="2025-08-03T00:00:00"/>
    <x v="9"/>
    <s v="Эспрессо"/>
    <x v="1"/>
    <n v="2"/>
    <n v="316"/>
    <s v="Максим П."/>
    <s v="Сергей Мельников"/>
  </r>
  <r>
    <x v="0"/>
    <s v="Екатеринбург"/>
    <d v="2025-12-06T00:00:00"/>
    <x v="0"/>
    <s v="Раф"/>
    <x v="1"/>
    <n v="2"/>
    <n v="498"/>
    <s v="Наталья Р."/>
    <s v="Сергей Мельников"/>
  </r>
  <r>
    <x v="0"/>
    <s v="Екатеринбург"/>
    <d v="2025-02-19T00:00:00"/>
    <x v="2"/>
    <s v="Круассан"/>
    <x v="0"/>
    <n v="3"/>
    <n v="510"/>
    <s v="Максим П."/>
    <s v="Сергей Мельников"/>
  </r>
  <r>
    <x v="0"/>
    <s v="Екатеринбург"/>
    <d v="2025-11-06T00:00:00"/>
    <x v="8"/>
    <s v="Салат Цезарь"/>
    <x v="2"/>
    <n v="1"/>
    <n v="347"/>
    <s v="Наталья Р."/>
    <s v="Сергей Мельников"/>
  </r>
  <r>
    <x v="0"/>
    <s v="Екатеринбург"/>
    <d v="2025-10-17T00:00:00"/>
    <x v="3"/>
    <s v="Салат Цезарь"/>
    <x v="2"/>
    <n v="2"/>
    <n v="780"/>
    <s v="Игорь С."/>
    <s v="Сергей Мельников"/>
  </r>
  <r>
    <x v="0"/>
    <s v="Екатеринбург"/>
    <d v="2025-01-06T00:00:00"/>
    <x v="4"/>
    <s v="Эспрессо"/>
    <x v="1"/>
    <n v="1"/>
    <n v="125"/>
    <s v="Наталья Р."/>
    <s v="Сергей Мельников"/>
  </r>
  <r>
    <x v="0"/>
    <s v="Екатеринбург"/>
    <d v="2025-01-02T00:00:00"/>
    <x v="4"/>
    <s v="Синнабон"/>
    <x v="0"/>
    <n v="1"/>
    <n v="211"/>
    <s v="Анна К."/>
    <s v="Сергей Мельников"/>
  </r>
  <r>
    <x v="0"/>
    <s v="Екатеринбург"/>
    <d v="2025-01-20T00:00:00"/>
    <x v="4"/>
    <s v="Эспрессо"/>
    <x v="1"/>
    <n v="3"/>
    <n v="402"/>
    <s v="Игорь С."/>
    <s v="Сергей Мельников"/>
  </r>
  <r>
    <x v="0"/>
    <s v="Екатеринбург"/>
    <d v="2025-03-11T00:00:00"/>
    <x v="6"/>
    <s v="Синнабон"/>
    <x v="0"/>
    <n v="1"/>
    <n v="191"/>
    <s v="Анна К."/>
    <s v="Сергей Мельников"/>
  </r>
  <r>
    <x v="0"/>
    <s v="Екатеринбург"/>
    <d v="2025-10-09T00:00:00"/>
    <x v="3"/>
    <s v="Какао"/>
    <x v="1"/>
    <n v="2"/>
    <n v="484"/>
    <s v="Елена В."/>
    <s v="Сергей Мельников"/>
  </r>
  <r>
    <x v="0"/>
    <s v="Екатеринбург"/>
    <d v="2025-04-28T00:00:00"/>
    <x v="11"/>
    <s v="Эспрессо"/>
    <x v="1"/>
    <n v="1"/>
    <n v="160"/>
    <s v="Анна К."/>
    <s v="Сергей Мельников"/>
  </r>
  <r>
    <x v="0"/>
    <s v="Екатеринбург"/>
    <d v="2025-06-01T00:00:00"/>
    <x v="7"/>
    <s v="Латте"/>
    <x v="1"/>
    <n v="2"/>
    <n v="448"/>
    <s v="Анна К."/>
    <s v="Сергей Мельников"/>
  </r>
  <r>
    <x v="0"/>
    <s v="Екатеринбург"/>
    <d v="2025-05-09T00:00:00"/>
    <x v="10"/>
    <s v="Какао"/>
    <x v="1"/>
    <n v="2"/>
    <n v="466"/>
    <s v="Максим П."/>
    <s v="Сергей Мельников"/>
  </r>
  <r>
    <x v="0"/>
    <s v="Екатеринбург"/>
    <d v="2025-04-14T00:00:00"/>
    <x v="11"/>
    <s v="Американо"/>
    <x v="1"/>
    <n v="1"/>
    <n v="192"/>
    <s v="Анна К."/>
    <s v="Сергей Мельников"/>
  </r>
  <r>
    <x v="0"/>
    <s v="Екатеринбург"/>
    <d v="2025-08-13T00:00:00"/>
    <x v="9"/>
    <s v="Капучино"/>
    <x v="1"/>
    <n v="2"/>
    <n v="458"/>
    <s v="Анна К."/>
    <s v="Сергей Мельников"/>
  </r>
  <r>
    <x v="0"/>
    <s v="Екатеринбург"/>
    <d v="2025-03-23T00:00:00"/>
    <x v="6"/>
    <s v="Какао"/>
    <x v="1"/>
    <n v="2"/>
    <n v="472"/>
    <s v="Игорь С."/>
    <s v="Сергей Мельников"/>
  </r>
  <r>
    <x v="0"/>
    <s v="Екатеринбург"/>
    <d v="2025-06-22T00:00:00"/>
    <x v="7"/>
    <s v="Матча латте"/>
    <x v="1"/>
    <n v="2"/>
    <n v="536"/>
    <s v="Игорь С."/>
    <s v="Сергей Мельников"/>
  </r>
  <r>
    <x v="0"/>
    <s v="Екатеринбург"/>
    <d v="2025-06-10T00:00:00"/>
    <x v="7"/>
    <s v="Американо"/>
    <x v="1"/>
    <n v="1"/>
    <n v="186"/>
    <s v="Максим П."/>
    <s v="Сергей Мельников"/>
  </r>
  <r>
    <x v="0"/>
    <s v="Екатеринбург"/>
    <d v="2025-11-03T00:00:00"/>
    <x v="8"/>
    <s v="Эспрессо"/>
    <x v="1"/>
    <n v="2"/>
    <n v="264"/>
    <s v="Елена В."/>
    <s v="Сергей Мельников"/>
  </r>
  <r>
    <x v="0"/>
    <s v="Екатеринбург"/>
    <d v="2025-01-25T00:00:00"/>
    <x v="4"/>
    <s v="Капучино"/>
    <x v="1"/>
    <n v="1"/>
    <n v="197"/>
    <s v="Анна К."/>
    <s v="Сергей Мельников"/>
  </r>
  <r>
    <x v="0"/>
    <s v="Екатеринбург"/>
    <d v="2025-01-18T00:00:00"/>
    <x v="4"/>
    <s v="Латте"/>
    <x v="1"/>
    <n v="1"/>
    <n v="238"/>
    <s v="Максим П."/>
    <s v="Сергей Мельников"/>
  </r>
  <r>
    <x v="0"/>
    <s v="Екатеринбург"/>
    <d v="2025-09-24T00:00:00"/>
    <x v="1"/>
    <s v="Американо"/>
    <x v="1"/>
    <n v="3"/>
    <n v="507"/>
    <s v="Максим П."/>
    <s v="Сергей Мельников"/>
  </r>
  <r>
    <x v="0"/>
    <s v="Екатеринбург"/>
    <d v="2025-03-14T00:00:00"/>
    <x v="6"/>
    <s v="Американо"/>
    <x v="1"/>
    <n v="1"/>
    <n v="195"/>
    <s v="Игорь С."/>
    <s v="Сергей Мельников"/>
  </r>
  <r>
    <x v="0"/>
    <s v="Екатеринбург"/>
    <d v="2025-02-12T00:00:00"/>
    <x v="2"/>
    <s v="Салат Цезарь"/>
    <x v="2"/>
    <n v="2"/>
    <n v="690"/>
    <s v="Игорь С."/>
    <s v="Сергей Мельников"/>
  </r>
  <r>
    <x v="0"/>
    <s v="Екатеринбург"/>
    <d v="2025-06-08T00:00:00"/>
    <x v="7"/>
    <s v="Сэндвич"/>
    <x v="2"/>
    <n v="1"/>
    <n v="296"/>
    <s v="Анна К."/>
    <s v="Сергей Мельников"/>
  </r>
  <r>
    <x v="0"/>
    <s v="Екатеринбург"/>
    <d v="2025-07-23T00:00:00"/>
    <x v="5"/>
    <s v="Американо"/>
    <x v="1"/>
    <n v="3"/>
    <n v="534"/>
    <s v="Елена В."/>
    <s v="Сергей Мельников"/>
  </r>
  <r>
    <x v="0"/>
    <s v="Екатеринбург"/>
    <d v="2025-01-25T00:00:00"/>
    <x v="4"/>
    <s v="Латте"/>
    <x v="1"/>
    <n v="3"/>
    <n v="708"/>
    <s v="Елена В."/>
    <s v="Сергей Мельников"/>
  </r>
  <r>
    <x v="0"/>
    <s v="Екатеринбург"/>
    <d v="2025-08-26T00:00:00"/>
    <x v="9"/>
    <s v="Раф"/>
    <x v="1"/>
    <n v="2"/>
    <n v="570"/>
    <s v="Анна К."/>
    <s v="Сергей Мельников"/>
  </r>
  <r>
    <x v="0"/>
    <s v="Екатеринбург"/>
    <d v="2025-09-08T00:00:00"/>
    <x v="1"/>
    <s v="Сэндвич"/>
    <x v="2"/>
    <n v="1"/>
    <n v="303"/>
    <s v="Виктор Л."/>
    <s v="Сергей Мельников"/>
  </r>
  <r>
    <x v="0"/>
    <s v="Екатеринбург"/>
    <d v="2025-08-07T00:00:00"/>
    <x v="9"/>
    <s v="Латте"/>
    <x v="1"/>
    <n v="3"/>
    <n v="642"/>
    <s v="Виктор Л."/>
    <s v="Сергей Мельников"/>
  </r>
  <r>
    <x v="0"/>
    <s v="Екатеринбург"/>
    <d v="2025-05-09T00:00:00"/>
    <x v="10"/>
    <s v="Какао"/>
    <x v="1"/>
    <n v="2"/>
    <n v="480"/>
    <s v="Наталья Р."/>
    <s v="Сергей Мельников"/>
  </r>
  <r>
    <x v="0"/>
    <s v="Екатеринбург"/>
    <d v="2025-01-03T00:00:00"/>
    <x v="4"/>
    <s v="Капучино"/>
    <x v="1"/>
    <n v="1"/>
    <n v="229"/>
    <s v="Виктор Л."/>
    <s v="Сергей Мельников"/>
  </r>
  <r>
    <x v="0"/>
    <s v="Екатеринбург"/>
    <d v="2025-04-14T00:00:00"/>
    <x v="11"/>
    <s v="Матча латте"/>
    <x v="1"/>
    <n v="1"/>
    <n v="291"/>
    <s v="Максим П."/>
    <s v="Сергей Мельников"/>
  </r>
  <r>
    <x v="0"/>
    <s v="Екатеринбург"/>
    <d v="2025-01-13T00:00:00"/>
    <x v="4"/>
    <s v="Латте"/>
    <x v="1"/>
    <n v="1"/>
    <n v="225"/>
    <s v="Максим П."/>
    <s v="Сергей Мельников"/>
  </r>
  <r>
    <x v="0"/>
    <s v="Екатеринбург"/>
    <d v="2025-10-26T00:00:00"/>
    <x v="3"/>
    <s v="Эспрессо"/>
    <x v="1"/>
    <n v="1"/>
    <n v="123"/>
    <s v="Игорь С."/>
    <s v="Сергей Мельников"/>
  </r>
  <r>
    <x v="0"/>
    <s v="Екатеринбург"/>
    <d v="2025-11-28T00:00:00"/>
    <x v="8"/>
    <s v="Американо"/>
    <x v="1"/>
    <n v="3"/>
    <n v="579"/>
    <s v="Анна К."/>
    <s v="Сергей Мельников"/>
  </r>
  <r>
    <x v="0"/>
    <s v="Екатеринбург"/>
    <d v="2025-10-26T00:00:00"/>
    <x v="3"/>
    <s v="Салат Цезарь"/>
    <x v="2"/>
    <n v="1"/>
    <n v="368"/>
    <s v="Анна К."/>
    <s v="Сергей Мельников"/>
  </r>
  <r>
    <x v="0"/>
    <s v="Екатеринбург"/>
    <d v="2025-09-02T00:00:00"/>
    <x v="1"/>
    <s v="Чизкейк"/>
    <x v="0"/>
    <n v="2"/>
    <n v="542"/>
    <s v="Виктор Л."/>
    <s v="Сергей Мельников"/>
  </r>
  <r>
    <x v="0"/>
    <s v="Екатеринбург"/>
    <d v="2025-12-27T00:00:00"/>
    <x v="0"/>
    <s v="Какао"/>
    <x v="1"/>
    <n v="1"/>
    <n v="237"/>
    <s v="Анна К."/>
    <s v="Сергей Мельников"/>
  </r>
  <r>
    <x v="0"/>
    <s v="Екатеринбург"/>
    <d v="2025-07-14T00:00:00"/>
    <x v="5"/>
    <s v="Раф"/>
    <x v="1"/>
    <n v="3"/>
    <n v="732"/>
    <s v="Максим П."/>
    <s v="Сергей Мельников"/>
  </r>
  <r>
    <x v="0"/>
    <s v="Екатеринбург"/>
    <d v="2025-10-14T00:00:00"/>
    <x v="3"/>
    <s v="Какао"/>
    <x v="1"/>
    <n v="3"/>
    <n v="729"/>
    <s v="Елена В."/>
    <s v="Сергей Мельников"/>
  </r>
  <r>
    <x v="0"/>
    <s v="Екатеринбург"/>
    <d v="2025-01-19T00:00:00"/>
    <x v="4"/>
    <s v="Какао"/>
    <x v="1"/>
    <n v="2"/>
    <n v="480"/>
    <s v="Анна К."/>
    <s v="Сергей Мельников"/>
  </r>
  <r>
    <x v="0"/>
    <s v="Екатеринбург"/>
    <d v="2025-06-27T00:00:00"/>
    <x v="7"/>
    <s v="Раф"/>
    <x v="1"/>
    <n v="1"/>
    <n v="262"/>
    <s v="Игорь С."/>
    <s v="Сергей Мельников"/>
  </r>
  <r>
    <x v="0"/>
    <s v="Екатеринбург"/>
    <d v="2025-12-09T00:00:00"/>
    <x v="0"/>
    <s v="Американо"/>
    <x v="1"/>
    <n v="1"/>
    <n v="179"/>
    <s v="Наталья Р."/>
    <s v="Сергей Мельников"/>
  </r>
  <r>
    <x v="0"/>
    <s v="Екатеринбург"/>
    <d v="2025-01-02T00:00:00"/>
    <x v="4"/>
    <s v="Салат Цезарь"/>
    <x v="2"/>
    <n v="1"/>
    <n v="424"/>
    <s v="Виктор Л."/>
    <s v="Сергей Мельников"/>
  </r>
  <r>
    <x v="0"/>
    <s v="Екатеринбург"/>
    <d v="2025-12-01T00:00:00"/>
    <x v="0"/>
    <s v="Латте"/>
    <x v="1"/>
    <n v="2"/>
    <n v="448"/>
    <s v="Наталья Р."/>
    <s v="Сергей Мельников"/>
  </r>
  <r>
    <x v="0"/>
    <s v="Екатеринбург"/>
    <d v="2025-08-16T00:00:00"/>
    <x v="9"/>
    <s v="Матча латте"/>
    <x v="1"/>
    <n v="2"/>
    <n v="612"/>
    <s v="Наталья Р."/>
    <s v="Сергей Мельников"/>
  </r>
  <r>
    <x v="0"/>
    <s v="Екатеринбург"/>
    <d v="2025-09-10T00:00:00"/>
    <x v="1"/>
    <s v="Круассан"/>
    <x v="0"/>
    <n v="1"/>
    <n v="171"/>
    <s v="Анна К."/>
    <s v="Сергей Мельников"/>
  </r>
  <r>
    <x v="0"/>
    <s v="Екатеринбург"/>
    <d v="2025-04-16T00:00:00"/>
    <x v="11"/>
    <s v="Латте"/>
    <x v="1"/>
    <n v="1"/>
    <n v="219"/>
    <s v="Елена В."/>
    <s v="Сергей Мельников"/>
  </r>
  <r>
    <x v="0"/>
    <s v="Екатеринбург"/>
    <d v="2025-09-19T00:00:00"/>
    <x v="1"/>
    <s v="Капучино"/>
    <x v="1"/>
    <n v="3"/>
    <n v="687"/>
    <s v="Максим П."/>
    <s v="Сергей Мельников"/>
  </r>
  <r>
    <x v="0"/>
    <s v="Екатеринбург"/>
    <d v="2025-10-11T00:00:00"/>
    <x v="3"/>
    <s v="Чизкейк"/>
    <x v="0"/>
    <n v="2"/>
    <n v="444"/>
    <s v="Виктор Л."/>
    <s v="Сергей Мельников"/>
  </r>
  <r>
    <x v="0"/>
    <s v="Екатеринбург"/>
    <d v="2025-07-03T00:00:00"/>
    <x v="5"/>
    <s v="Американо"/>
    <x v="1"/>
    <n v="1"/>
    <n v="160"/>
    <s v="Анна К."/>
    <s v="Сергей Мельников"/>
  </r>
  <r>
    <x v="0"/>
    <s v="Екатеринбург"/>
    <d v="2025-03-04T00:00:00"/>
    <x v="6"/>
    <s v="Сэндвич"/>
    <x v="2"/>
    <n v="1"/>
    <n v="287"/>
    <s v="Елена В."/>
    <s v="Сергей Мельников"/>
  </r>
  <r>
    <x v="0"/>
    <s v="Екатеринбург"/>
    <d v="2025-02-22T00:00:00"/>
    <x v="2"/>
    <s v="Круассан"/>
    <x v="0"/>
    <n v="1"/>
    <n v="190"/>
    <s v="Наталья Р."/>
    <s v="Сергей Мельников"/>
  </r>
  <r>
    <x v="0"/>
    <s v="Екатеринбург"/>
    <d v="2025-10-01T00:00:00"/>
    <x v="3"/>
    <s v="Синнабон"/>
    <x v="0"/>
    <n v="1"/>
    <n v="219"/>
    <s v="Наталья Р."/>
    <s v="Сергей Мельников"/>
  </r>
  <r>
    <x v="0"/>
    <s v="Екатеринбург"/>
    <d v="2025-11-08T00:00:00"/>
    <x v="8"/>
    <s v="Капучино"/>
    <x v="1"/>
    <n v="2"/>
    <n v="394"/>
    <s v="Анна К."/>
    <s v="Сергей Мельников"/>
  </r>
  <r>
    <x v="0"/>
    <s v="Екатеринбург"/>
    <d v="2025-04-12T00:00:00"/>
    <x v="11"/>
    <s v="Синнабон"/>
    <x v="0"/>
    <n v="2"/>
    <n v="376"/>
    <s v="Анна К."/>
    <s v="Сергей Мельников"/>
  </r>
  <r>
    <x v="0"/>
    <s v="Екатеринбург"/>
    <d v="2025-02-01T00:00:00"/>
    <x v="2"/>
    <s v="Салат Цезарь"/>
    <x v="2"/>
    <n v="1"/>
    <n v="418"/>
    <s v="Елена В."/>
    <s v="Сергей Мельников"/>
  </r>
  <r>
    <x v="0"/>
    <s v="Екатеринбург"/>
    <d v="2025-03-21T00:00:00"/>
    <x v="6"/>
    <s v="Раф"/>
    <x v="1"/>
    <n v="1"/>
    <n v="254"/>
    <s v="Максим П."/>
    <s v="Сергей Мельников"/>
  </r>
  <r>
    <x v="0"/>
    <s v="Екатеринбург"/>
    <d v="2025-05-26T00:00:00"/>
    <x v="10"/>
    <s v="Какао"/>
    <x v="1"/>
    <n v="2"/>
    <n v="454"/>
    <s v="Анна К."/>
    <s v="Сергей Мельников"/>
  </r>
  <r>
    <x v="0"/>
    <s v="Екатеринбург"/>
    <d v="2025-04-13T00:00:00"/>
    <x v="11"/>
    <s v="Матча латте"/>
    <x v="1"/>
    <n v="3"/>
    <n v="804"/>
    <s v="Елена В."/>
    <s v="Сергей Мельников"/>
  </r>
  <r>
    <x v="0"/>
    <s v="Екатеринбург"/>
    <d v="2025-01-08T00:00:00"/>
    <x v="4"/>
    <s v="Какао"/>
    <x v="1"/>
    <n v="1"/>
    <n v="233"/>
    <s v="Елена В."/>
    <s v="Сергей Мельников"/>
  </r>
  <r>
    <x v="0"/>
    <s v="Екатеринбург"/>
    <d v="2025-01-24T00:00:00"/>
    <x v="4"/>
    <s v="Круассан"/>
    <x v="0"/>
    <n v="1"/>
    <n v="170"/>
    <s v="Максим П."/>
    <s v="Сергей Мельников"/>
  </r>
  <r>
    <x v="0"/>
    <s v="Екатеринбург"/>
    <d v="2025-08-09T00:00:00"/>
    <x v="9"/>
    <s v="Сэндвич"/>
    <x v="2"/>
    <n v="2"/>
    <n v="628"/>
    <s v="Виктор Л."/>
    <s v="Сергей Мельников"/>
  </r>
  <r>
    <x v="0"/>
    <s v="Екатеринбург"/>
    <d v="2025-03-22T00:00:00"/>
    <x v="6"/>
    <s v="Круассан"/>
    <x v="0"/>
    <n v="1"/>
    <n v="176"/>
    <s v="Игорь С."/>
    <s v="Сергей Мельников"/>
  </r>
  <r>
    <x v="0"/>
    <s v="Екатеринбург"/>
    <d v="2025-11-18T00:00:00"/>
    <x v="8"/>
    <s v="Круассан"/>
    <x v="0"/>
    <n v="2"/>
    <n v="364"/>
    <s v="Елена В."/>
    <s v="Сергей Мельников"/>
  </r>
  <r>
    <x v="0"/>
    <s v="Екатеринбург"/>
    <d v="2025-05-05T00:00:00"/>
    <x v="10"/>
    <s v="Синнабон"/>
    <x v="0"/>
    <n v="1"/>
    <n v="189"/>
    <s v="Анна К."/>
    <s v="Сергей Мельников"/>
  </r>
  <r>
    <x v="0"/>
    <s v="Екатеринбург"/>
    <d v="2025-07-03T00:00:00"/>
    <x v="5"/>
    <s v="Капучино"/>
    <x v="1"/>
    <n v="1"/>
    <n v="197"/>
    <s v="Наталья Р."/>
    <s v="Сергей Мельников"/>
  </r>
  <r>
    <x v="0"/>
    <s v="Екатеринбург"/>
    <d v="2025-01-14T00:00:00"/>
    <x v="4"/>
    <s v="Круассан"/>
    <x v="0"/>
    <n v="1"/>
    <n v="198"/>
    <s v="Елена В."/>
    <s v="Сергей Мельников"/>
  </r>
  <r>
    <x v="0"/>
    <s v="Екатеринбург"/>
    <d v="2025-11-04T00:00:00"/>
    <x v="8"/>
    <s v="Какао"/>
    <x v="1"/>
    <n v="2"/>
    <n v="440"/>
    <s v="Максим П."/>
    <s v="Сергей Мельников"/>
  </r>
  <r>
    <x v="0"/>
    <s v="Екатеринбург"/>
    <d v="2025-09-14T00:00:00"/>
    <x v="1"/>
    <s v="Сэндвич"/>
    <x v="2"/>
    <n v="1"/>
    <n v="358"/>
    <s v="Анна К."/>
    <s v="Сергей Мельников"/>
  </r>
  <r>
    <x v="0"/>
    <s v="Екатеринбург"/>
    <d v="2025-07-01T00:00:00"/>
    <x v="5"/>
    <s v="Круассан"/>
    <x v="0"/>
    <n v="2"/>
    <n v="340"/>
    <s v="Максим П."/>
    <s v="Сергей Мельников"/>
  </r>
  <r>
    <x v="0"/>
    <s v="Екатеринбург"/>
    <d v="2025-01-25T00:00:00"/>
    <x v="4"/>
    <s v="Синнабон"/>
    <x v="0"/>
    <n v="1"/>
    <n v="197"/>
    <s v="Игорь С."/>
    <s v="Сергей Мельников"/>
  </r>
  <r>
    <x v="0"/>
    <s v="Екатеринбург"/>
    <d v="2025-08-25T00:00:00"/>
    <x v="9"/>
    <s v="Латте"/>
    <x v="1"/>
    <n v="1"/>
    <n v="245"/>
    <s v="Игорь С."/>
    <s v="Сергей Мельников"/>
  </r>
  <r>
    <x v="0"/>
    <s v="Екатеринбург"/>
    <d v="2025-05-10T00:00:00"/>
    <x v="10"/>
    <s v="Круассан"/>
    <x v="0"/>
    <n v="1"/>
    <n v="181"/>
    <s v="Не указан"/>
    <s v="Сергей Мельников"/>
  </r>
  <r>
    <x v="0"/>
    <s v="Екатеринбург"/>
    <d v="2025-04-24T00:00:00"/>
    <x v="11"/>
    <s v="Какао"/>
    <x v="1"/>
    <n v="3"/>
    <n v="681"/>
    <s v="Максим П."/>
    <s v="Сергей Мельников"/>
  </r>
  <r>
    <x v="0"/>
    <s v="Екатеринбург"/>
    <d v="2025-06-04T00:00:00"/>
    <x v="7"/>
    <s v="Американо"/>
    <x v="1"/>
    <n v="1"/>
    <n v="159"/>
    <s v="Елена В."/>
    <s v="Сергей Мельников"/>
  </r>
  <r>
    <x v="0"/>
    <s v="Екатеринбург"/>
    <d v="2025-08-26T00:00:00"/>
    <x v="9"/>
    <s v="Сэндвич"/>
    <x v="2"/>
    <n v="2"/>
    <n v="584"/>
    <s v="Анна К."/>
    <s v="Сергей Мельников"/>
  </r>
  <r>
    <x v="0"/>
    <s v="Екатеринбург"/>
    <d v="2025-11-18T00:00:00"/>
    <x v="8"/>
    <s v="Раф"/>
    <x v="1"/>
    <n v="3"/>
    <n v="819"/>
    <s v="Игорь С."/>
    <s v="Сергей Мельников"/>
  </r>
  <r>
    <x v="0"/>
    <s v="Екатеринбург"/>
    <d v="2025-06-03T00:00:00"/>
    <x v="7"/>
    <s v="Салат Цезарь"/>
    <x v="2"/>
    <n v="1"/>
    <n v="353"/>
    <s v="Елена В."/>
    <s v="Сергей Мельников"/>
  </r>
  <r>
    <x v="0"/>
    <s v="Екатеринбург"/>
    <d v="2025-11-03T00:00:00"/>
    <x v="8"/>
    <s v="Эспрессо"/>
    <x v="1"/>
    <n v="3"/>
    <n v="372"/>
    <s v="Игорь С."/>
    <s v="Сергей Мельников"/>
  </r>
  <r>
    <x v="0"/>
    <s v="Екатеринбург"/>
    <d v="2025-03-18T00:00:00"/>
    <x v="6"/>
    <s v="Сэндвич"/>
    <x v="2"/>
    <n v="1"/>
    <n v="291"/>
    <s v="Елена В."/>
    <s v="Сергей Мельников"/>
  </r>
  <r>
    <x v="0"/>
    <s v="Екатеринбург"/>
    <d v="2025-07-04T00:00:00"/>
    <x v="5"/>
    <s v="Какао"/>
    <x v="1"/>
    <n v="1"/>
    <n v="212"/>
    <s v="Анна К."/>
    <s v="Сергей Мельников"/>
  </r>
  <r>
    <x v="0"/>
    <s v="Екатеринбург"/>
    <d v="2025-06-16T00:00:00"/>
    <x v="7"/>
    <s v="Капучино"/>
    <x v="1"/>
    <n v="1"/>
    <n v="215"/>
    <s v="Максим П."/>
    <s v="Сергей Мельников"/>
  </r>
  <r>
    <x v="0"/>
    <s v="Екатеринбург"/>
    <d v="2025-01-27T00:00:00"/>
    <x v="4"/>
    <s v="Эспрессо"/>
    <x v="1"/>
    <n v="2"/>
    <n v="260"/>
    <s v="Игорь С."/>
    <s v="Сергей Мельников"/>
  </r>
  <r>
    <x v="0"/>
    <s v="Екатеринбург"/>
    <d v="2025-03-26T00:00:00"/>
    <x v="6"/>
    <s v="Какао"/>
    <x v="1"/>
    <n v="1"/>
    <n v="217"/>
    <s v="Виктор Л."/>
    <s v="Сергей Мельников"/>
  </r>
  <r>
    <x v="0"/>
    <s v="Екатеринбург"/>
    <d v="2025-12-18T00:00:00"/>
    <x v="0"/>
    <s v="Раф"/>
    <x v="1"/>
    <n v="1"/>
    <n v="256"/>
    <s v="Максим П."/>
    <s v="Сергей Мельников"/>
  </r>
  <r>
    <x v="0"/>
    <s v="Екатеринбург"/>
    <d v="2025-12-10T00:00:00"/>
    <x v="0"/>
    <s v="Эспрессо"/>
    <x v="1"/>
    <n v="2"/>
    <n v="300"/>
    <s v="Елена В."/>
    <s v="Сергей Мельников"/>
  </r>
  <r>
    <x v="0"/>
    <s v="Екатеринбург"/>
    <d v="2025-12-15T00:00:00"/>
    <x v="0"/>
    <s v="Сэндвич"/>
    <x v="2"/>
    <n v="3"/>
    <n v="975"/>
    <s v="Елена В."/>
    <s v="Сергей Мельников"/>
  </r>
  <r>
    <x v="0"/>
    <s v="Екатеринбург"/>
    <d v="2025-11-15T00:00:00"/>
    <x v="8"/>
    <s v="Круассан"/>
    <x v="0"/>
    <n v="3"/>
    <n v="579"/>
    <s v="Елена В."/>
    <s v="Сергей Мельников"/>
  </r>
  <r>
    <x v="0"/>
    <s v="Екатеринбург"/>
    <d v="2025-04-18T00:00:00"/>
    <x v="11"/>
    <s v="Латте"/>
    <x v="1"/>
    <n v="2"/>
    <n v="462"/>
    <s v="Игорь С."/>
    <s v="Сергей Мельников"/>
  </r>
  <r>
    <x v="0"/>
    <s v="Екатеринбург"/>
    <d v="2025-12-13T00:00:00"/>
    <x v="0"/>
    <s v="Эспрессо"/>
    <x v="1"/>
    <n v="1"/>
    <n v="153"/>
    <s v="Наталья Р."/>
    <s v="Сергей Мельников"/>
  </r>
  <r>
    <x v="0"/>
    <s v="Екатеринбург"/>
    <d v="2025-05-10T00:00:00"/>
    <x v="10"/>
    <s v="Какао"/>
    <x v="1"/>
    <n v="3"/>
    <n v="594"/>
    <s v="Анна К."/>
    <s v="Сергей Мельников"/>
  </r>
  <r>
    <x v="0"/>
    <s v="Екатеринбург"/>
    <d v="2025-03-20T00:00:00"/>
    <x v="6"/>
    <s v="Матча латте"/>
    <x v="1"/>
    <n v="2"/>
    <n v="580"/>
    <s v="Наталья Р."/>
    <s v="Сергей Мельников"/>
  </r>
  <r>
    <x v="0"/>
    <s v="Екатеринбург"/>
    <d v="2025-10-05T00:00:00"/>
    <x v="3"/>
    <s v="Эспрессо"/>
    <x v="1"/>
    <n v="1"/>
    <n v="120"/>
    <s v="Анна К."/>
    <s v="Сергей Мельников"/>
  </r>
  <r>
    <x v="0"/>
    <s v="Екатеринбург"/>
    <d v="2025-11-22T00:00:00"/>
    <x v="8"/>
    <s v="Круассан"/>
    <x v="0"/>
    <n v="1"/>
    <n v="177"/>
    <s v="Наталья Р."/>
    <s v="Сергей Мельников"/>
  </r>
  <r>
    <x v="0"/>
    <s v="Екатеринбург"/>
    <d v="2025-03-28T00:00:00"/>
    <x v="6"/>
    <s v="Чизкейк"/>
    <x v="0"/>
    <n v="2"/>
    <n v="516"/>
    <s v="Игорь С."/>
    <s v="Сергей Мельников"/>
  </r>
  <r>
    <x v="0"/>
    <s v="Екатеринбург"/>
    <d v="2025-12-26T00:00:00"/>
    <x v="0"/>
    <s v="Какао"/>
    <x v="1"/>
    <n v="2"/>
    <n v="462"/>
    <s v="Елена В."/>
    <s v="Сергей Мельников"/>
  </r>
  <r>
    <x v="0"/>
    <s v="Екатеринбург"/>
    <d v="2025-10-25T00:00:00"/>
    <x v="3"/>
    <s v="Раф"/>
    <x v="1"/>
    <n v="1"/>
    <n v="250"/>
    <s v="Елена В."/>
    <s v="Сергей Мельников"/>
  </r>
  <r>
    <x v="0"/>
    <s v="Екатеринбург"/>
    <d v="2025-03-26T00:00:00"/>
    <x v="6"/>
    <s v="Салат Цезарь"/>
    <x v="2"/>
    <n v="3"/>
    <n v="1041"/>
    <s v="Наталья Р."/>
    <s v="Сергей Мельников"/>
  </r>
  <r>
    <x v="0"/>
    <s v="Екатеринбург"/>
    <d v="2025-01-18T00:00:00"/>
    <x v="4"/>
    <s v="Круассан"/>
    <x v="0"/>
    <n v="1"/>
    <n v="184"/>
    <s v="Наталья Р."/>
    <s v="Сергей Мельников"/>
  </r>
  <r>
    <x v="0"/>
    <s v="Екатеринбург"/>
    <d v="2025-08-10T00:00:00"/>
    <x v="9"/>
    <s v="Какао"/>
    <x v="1"/>
    <n v="1"/>
    <n v="243"/>
    <s v="Максим П."/>
    <s v="Сергей Мельников"/>
  </r>
  <r>
    <x v="0"/>
    <s v="Екатеринбург"/>
    <d v="2025-01-16T00:00:00"/>
    <x v="4"/>
    <s v="Синнабон"/>
    <x v="0"/>
    <n v="1"/>
    <n v="215"/>
    <s v="Виктор Л."/>
    <s v="Сергей Мельников"/>
  </r>
  <r>
    <x v="0"/>
    <s v="Екатеринбург"/>
    <d v="2025-05-08T00:00:00"/>
    <x v="10"/>
    <s v="Какао"/>
    <x v="1"/>
    <n v="1"/>
    <n v="223"/>
    <s v="Виктор Л."/>
    <s v="Сергей Мельников"/>
  </r>
  <r>
    <x v="0"/>
    <s v="Екатеринбург"/>
    <d v="2025-12-08T00:00:00"/>
    <x v="0"/>
    <s v="Салат Цезарь"/>
    <x v="2"/>
    <n v="2"/>
    <n v="704"/>
    <s v="Виктор Л."/>
    <s v="Сергей Мельников"/>
  </r>
  <r>
    <x v="0"/>
    <s v="Екатеринбург"/>
    <d v="2025-03-22T00:00:00"/>
    <x v="6"/>
    <s v="Сэндвич"/>
    <x v="2"/>
    <n v="1"/>
    <n v="306"/>
    <s v="Анна К."/>
    <s v="Сергей Мельников"/>
  </r>
  <r>
    <x v="0"/>
    <s v="Екатеринбург"/>
    <d v="2025-02-26T00:00:00"/>
    <x v="2"/>
    <s v="Синнабон"/>
    <x v="0"/>
    <n v="1"/>
    <n v="228"/>
    <s v="Максим П."/>
    <s v="Сергей Мельников"/>
  </r>
  <r>
    <x v="0"/>
    <s v="Екатеринбург"/>
    <d v="2025-08-15T00:00:00"/>
    <x v="9"/>
    <s v="Американо"/>
    <x v="1"/>
    <n v="1"/>
    <n v="188"/>
    <s v="Анна К."/>
    <s v="Сергей Мельников"/>
  </r>
  <r>
    <x v="0"/>
    <s v="Екатеринбург"/>
    <d v="2025-03-10T00:00:00"/>
    <x v="6"/>
    <s v="Капучино"/>
    <x v="1"/>
    <n v="1"/>
    <n v="189"/>
    <s v="Максим П."/>
    <s v="Сергей Мельников"/>
  </r>
  <r>
    <x v="0"/>
    <s v="Екатеринбург"/>
    <d v="2025-02-10T00:00:00"/>
    <x v="2"/>
    <s v="Эспрессо"/>
    <x v="1"/>
    <n v="1"/>
    <n v="127"/>
    <s v="Анна К."/>
    <s v="Сергей Мельников"/>
  </r>
  <r>
    <x v="0"/>
    <s v="Екатеринбург"/>
    <d v="2025-02-25T00:00:00"/>
    <x v="2"/>
    <s v="Эспрессо"/>
    <x v="1"/>
    <n v="1"/>
    <n v="130"/>
    <s v="Виктор Л."/>
    <s v="Сергей Мельников"/>
  </r>
  <r>
    <x v="0"/>
    <s v="Екатеринбург"/>
    <d v="2025-09-16T00:00:00"/>
    <x v="1"/>
    <s v="Капучино"/>
    <x v="1"/>
    <n v="2"/>
    <n v="368"/>
    <s v="Виктор Л."/>
    <s v="Сергей Мельников"/>
  </r>
  <r>
    <x v="0"/>
    <s v="Екатеринбург"/>
    <d v="2025-11-15T00:00:00"/>
    <x v="8"/>
    <s v="Эспрессо"/>
    <x v="1"/>
    <n v="1"/>
    <n v="133"/>
    <s v="Игорь С."/>
    <s v="Сергей Мельников"/>
  </r>
  <r>
    <x v="0"/>
    <s v="Екатеринбург"/>
    <d v="2025-11-12T00:00:00"/>
    <x v="8"/>
    <s v="Капучино"/>
    <x v="1"/>
    <n v="2"/>
    <n v="394"/>
    <s v="Анна К."/>
    <s v="Сергей Мельников"/>
  </r>
  <r>
    <x v="0"/>
    <s v="Екатеринбург"/>
    <d v="2025-02-05T00:00:00"/>
    <x v="2"/>
    <s v="Синнабон"/>
    <x v="0"/>
    <n v="1"/>
    <n v="230"/>
    <s v="Наталья Р."/>
    <s v="Сергей Мельников"/>
  </r>
  <r>
    <x v="0"/>
    <s v="Екатеринбург"/>
    <d v="2025-03-11T00:00:00"/>
    <x v="6"/>
    <s v="Сэндвич"/>
    <x v="2"/>
    <n v="1"/>
    <n v="326"/>
    <s v="Елена В."/>
    <s v="Сергей Мельников"/>
  </r>
  <r>
    <x v="0"/>
    <s v="Екатеринбург"/>
    <d v="2025-09-01T00:00:00"/>
    <x v="1"/>
    <s v="Какао"/>
    <x v="1"/>
    <n v="3"/>
    <n v="630"/>
    <s v="Игорь С."/>
    <s v="Сергей Мельников"/>
  </r>
  <r>
    <x v="0"/>
    <s v="Екатеринбург"/>
    <d v="2025-09-25T00:00:00"/>
    <x v="1"/>
    <s v="Какао"/>
    <x v="1"/>
    <n v="1"/>
    <n v="209"/>
    <s v="Игорь С."/>
    <s v="Сергей Мельников"/>
  </r>
  <r>
    <x v="0"/>
    <s v="Екатеринбург"/>
    <d v="2025-12-04T00:00:00"/>
    <x v="0"/>
    <s v="Круассан"/>
    <x v="0"/>
    <n v="2"/>
    <n v="344"/>
    <s v="Анна К."/>
    <s v="Сергей Мельников"/>
  </r>
  <r>
    <x v="0"/>
    <s v="Екатеринбург"/>
    <d v="2025-12-02T00:00:00"/>
    <x v="0"/>
    <s v="Раф"/>
    <x v="1"/>
    <n v="1"/>
    <n v="259"/>
    <s v="Максим П."/>
    <s v="Сергей Мельников"/>
  </r>
  <r>
    <x v="0"/>
    <s v="Екатеринбург"/>
    <d v="2025-05-02T00:00:00"/>
    <x v="10"/>
    <s v="Чизкейк"/>
    <x v="0"/>
    <n v="3"/>
    <n v="687"/>
    <s v="Максим П."/>
    <s v="Сергей Мельников"/>
  </r>
  <r>
    <x v="0"/>
    <s v="Екатеринбург"/>
    <d v="2025-04-05T00:00:00"/>
    <x v="11"/>
    <s v="Синнабон"/>
    <x v="0"/>
    <n v="3"/>
    <n v="675"/>
    <s v="Максим П."/>
    <s v="Сергей Мельников"/>
  </r>
  <r>
    <x v="0"/>
    <s v="Екатеринбург"/>
    <d v="2025-12-17T00:00:00"/>
    <x v="0"/>
    <s v="Салат Цезарь"/>
    <x v="2"/>
    <n v="2"/>
    <n v="842"/>
    <s v="Виктор Л."/>
    <s v="Сергей Мельников"/>
  </r>
  <r>
    <x v="0"/>
    <s v="Екатеринбург"/>
    <d v="2025-04-25T00:00:00"/>
    <x v="11"/>
    <s v="Раф"/>
    <x v="1"/>
    <n v="2"/>
    <n v="470"/>
    <s v="Игорь С."/>
    <s v="Сергей Мельников"/>
  </r>
  <r>
    <x v="0"/>
    <s v="Екатеринбург"/>
    <d v="2025-09-12T00:00:00"/>
    <x v="1"/>
    <s v="Синнабон"/>
    <x v="0"/>
    <n v="2"/>
    <n v="396"/>
    <s v="Максим П."/>
    <s v="Сергей Мельников"/>
  </r>
  <r>
    <x v="0"/>
    <s v="Екатеринбург"/>
    <d v="2025-02-23T00:00:00"/>
    <x v="2"/>
    <s v="Латте"/>
    <x v="1"/>
    <n v="1"/>
    <n v="227"/>
    <s v="Анна К."/>
    <s v="Сергей Мельников"/>
  </r>
  <r>
    <x v="0"/>
    <s v="Екатеринбург"/>
    <d v="2025-10-05T00:00:00"/>
    <x v="3"/>
    <s v="Капучино"/>
    <x v="1"/>
    <n v="2"/>
    <n v="396"/>
    <s v="Игорь С."/>
    <s v="Сергей Мельников"/>
  </r>
  <r>
    <x v="0"/>
    <s v="Екатеринбург"/>
    <d v="2025-09-13T00:00:00"/>
    <x v="1"/>
    <s v="Какао"/>
    <x v="1"/>
    <n v="1"/>
    <n v="230"/>
    <s v="Максим П."/>
    <s v="Сергей Мельников"/>
  </r>
  <r>
    <x v="0"/>
    <s v="Екатеринбург"/>
    <d v="2025-01-02T00:00:00"/>
    <x v="4"/>
    <s v="Какао"/>
    <x v="1"/>
    <n v="1"/>
    <n v="236"/>
    <s v="Максим П."/>
    <s v="Сергей Мельников"/>
  </r>
  <r>
    <x v="0"/>
    <s v="Екатеринбург"/>
    <d v="2025-03-04T00:00:00"/>
    <x v="6"/>
    <s v="Какао"/>
    <x v="1"/>
    <n v="1"/>
    <n v="245"/>
    <s v="Максим П."/>
    <s v="Сергей Мельников"/>
  </r>
  <r>
    <x v="0"/>
    <s v="Екатеринбург"/>
    <d v="2025-01-15T00:00:00"/>
    <x v="4"/>
    <s v="Американо"/>
    <x v="1"/>
    <n v="1"/>
    <n v="183"/>
    <s v="Виктор Л."/>
    <s v="Сергей Мельников"/>
  </r>
  <r>
    <x v="0"/>
    <s v="Екатеринбург"/>
    <d v="2025-05-04T00:00:00"/>
    <x v="10"/>
    <s v="Синнабон"/>
    <x v="0"/>
    <n v="2"/>
    <n v="380"/>
    <s v="Максим П."/>
    <s v="Сергей Мельников"/>
  </r>
  <r>
    <x v="0"/>
    <s v="Екатеринбург"/>
    <d v="2025-02-13T00:00:00"/>
    <x v="2"/>
    <s v="Эспрессо"/>
    <x v="1"/>
    <n v="3"/>
    <n v="465"/>
    <s v="Анна К."/>
    <s v="Сергей Мельников"/>
  </r>
  <r>
    <x v="0"/>
    <s v="Екатеринбург"/>
    <d v="2025-01-23T00:00:00"/>
    <x v="4"/>
    <s v="Латте"/>
    <x v="1"/>
    <n v="1"/>
    <n v="208"/>
    <s v="Игорь С."/>
    <s v="Сергей Мельников"/>
  </r>
  <r>
    <x v="0"/>
    <s v="Екатеринбург"/>
    <d v="2025-02-05T00:00:00"/>
    <x v="2"/>
    <s v="Круассан"/>
    <x v="0"/>
    <n v="3"/>
    <n v="567"/>
    <s v="Наталья Р."/>
    <s v="Сергей Мельников"/>
  </r>
  <r>
    <x v="0"/>
    <s v="Екатеринбург"/>
    <d v="2025-04-07T00:00:00"/>
    <x v="11"/>
    <s v="Какао"/>
    <x v="1"/>
    <n v="1"/>
    <n v="234"/>
    <s v="Анна К."/>
    <s v="Сергей Мельников"/>
  </r>
  <r>
    <x v="1"/>
    <s v="Казань"/>
    <d v="2025-08-19T00:00:00"/>
    <x v="9"/>
    <s v="Латте"/>
    <x v="1"/>
    <n v="1"/>
    <n v="210"/>
    <s v="Анна К."/>
    <s v="Алия Гайнутдинова"/>
  </r>
  <r>
    <x v="1"/>
    <s v="Казань"/>
    <d v="2025-07-09T00:00:00"/>
    <x v="5"/>
    <s v="Салат Цезарь"/>
    <x v="2"/>
    <n v="3"/>
    <n v="1095"/>
    <s v="Наталья Р."/>
    <s v="Алия Гайнутдинова"/>
  </r>
  <r>
    <x v="1"/>
    <s v="Казань"/>
    <d v="2025-03-11T00:00:00"/>
    <x v="6"/>
    <s v="Латте"/>
    <x v="1"/>
    <n v="1"/>
    <n v="227"/>
    <s v="Виктор Л."/>
    <s v="Алия Гайнутдинова"/>
  </r>
  <r>
    <x v="1"/>
    <s v="Казань"/>
    <d v="2025-10-01T00:00:00"/>
    <x v="3"/>
    <s v="Круассан"/>
    <x v="0"/>
    <n v="3"/>
    <n v="561"/>
    <s v="Максим П."/>
    <s v="Алия Гайнутдинова"/>
  </r>
  <r>
    <x v="1"/>
    <s v="Казань"/>
    <d v="2025-12-08T00:00:00"/>
    <x v="0"/>
    <s v="Капучино"/>
    <x v="1"/>
    <n v="2"/>
    <n v="440"/>
    <s v="Анна К."/>
    <s v="Алия Гайнутдинова"/>
  </r>
  <r>
    <x v="1"/>
    <s v="Казань"/>
    <d v="2025-07-12T00:00:00"/>
    <x v="5"/>
    <s v="Американо"/>
    <x v="1"/>
    <n v="2"/>
    <n v="328"/>
    <s v="Игорь С."/>
    <s v="Алия Гайнутдинова"/>
  </r>
  <r>
    <x v="1"/>
    <s v="Казань"/>
    <d v="2025-01-17T00:00:00"/>
    <x v="4"/>
    <s v="Синнабон"/>
    <x v="0"/>
    <n v="1"/>
    <n v="214"/>
    <s v="Игорь С."/>
    <s v="Алия Гайнутдинова"/>
  </r>
  <r>
    <x v="1"/>
    <s v="Казань"/>
    <d v="2025-12-26T00:00:00"/>
    <x v="0"/>
    <s v="Какао"/>
    <x v="1"/>
    <n v="1"/>
    <n v="232"/>
    <s v="Виктор Л."/>
    <s v="Алия Гайнутдинова"/>
  </r>
  <r>
    <x v="1"/>
    <s v="Казань"/>
    <d v="2025-03-09T00:00:00"/>
    <x v="6"/>
    <s v="Эспрессо"/>
    <x v="1"/>
    <n v="1"/>
    <n v="160"/>
    <s v="Наталья Р."/>
    <s v="Алия Гайнутдинова"/>
  </r>
  <r>
    <x v="1"/>
    <s v="Казань"/>
    <d v="2025-06-06T00:00:00"/>
    <x v="7"/>
    <s v="Салат Цезарь"/>
    <x v="2"/>
    <n v="1"/>
    <n v="371"/>
    <s v="Наталья Р."/>
    <s v="Алия Гайнутдинова"/>
  </r>
  <r>
    <x v="1"/>
    <s v="Казань"/>
    <d v="2025-08-20T00:00:00"/>
    <x v="9"/>
    <s v="Эспрессо"/>
    <x v="1"/>
    <n v="2"/>
    <n v="284"/>
    <s v="Виктор Л."/>
    <s v="Алия Гайнутдинова"/>
  </r>
  <r>
    <x v="1"/>
    <s v="Казань"/>
    <d v="2025-05-12T00:00:00"/>
    <x v="10"/>
    <s v="Круассан"/>
    <x v="0"/>
    <n v="3"/>
    <n v="504"/>
    <s v="Максим П."/>
    <s v="Алия Гайнутдинова"/>
  </r>
  <r>
    <x v="1"/>
    <s v="Казань"/>
    <d v="2025-06-22T00:00:00"/>
    <x v="7"/>
    <s v="Какао"/>
    <x v="1"/>
    <n v="2"/>
    <n v="456"/>
    <s v="Виктор Л."/>
    <s v="Алия Гайнутдинова"/>
  </r>
  <r>
    <x v="1"/>
    <s v="Казань"/>
    <d v="2025-04-19T00:00:00"/>
    <x v="11"/>
    <s v="Матча латте"/>
    <x v="1"/>
    <n v="2"/>
    <n v="546"/>
    <s v="Максим П."/>
    <s v="Алия Гайнутдинова"/>
  </r>
  <r>
    <x v="1"/>
    <s v="Казань"/>
    <d v="2025-05-01T00:00:00"/>
    <x v="10"/>
    <s v="Чизкейк"/>
    <x v="0"/>
    <n v="1"/>
    <n v="227"/>
    <s v="Игорь С."/>
    <s v="Алия Гайнутдинова"/>
  </r>
  <r>
    <x v="1"/>
    <s v="Казань"/>
    <d v="2025-12-28T00:00:00"/>
    <x v="0"/>
    <s v="Сэндвич"/>
    <x v="2"/>
    <n v="2"/>
    <n v="588"/>
    <s v="Елена В."/>
    <s v="Алия Гайнутдинова"/>
  </r>
  <r>
    <x v="1"/>
    <s v="Казань"/>
    <d v="2025-07-13T00:00:00"/>
    <x v="5"/>
    <s v="Сэндвич"/>
    <x v="2"/>
    <n v="2"/>
    <n v="620"/>
    <s v="Максим П."/>
    <s v="Алия Гайнутдинова"/>
  </r>
  <r>
    <x v="1"/>
    <s v="Казань"/>
    <d v="2025-10-19T00:00:00"/>
    <x v="3"/>
    <s v="Какао"/>
    <x v="1"/>
    <n v="2"/>
    <n v="484"/>
    <s v="Наталья Р."/>
    <s v="Алия Гайнутдинова"/>
  </r>
  <r>
    <x v="1"/>
    <s v="Казань"/>
    <d v="2025-04-06T00:00:00"/>
    <x v="11"/>
    <s v="Круассан"/>
    <x v="0"/>
    <n v="1"/>
    <n v="183"/>
    <s v="Максим П."/>
    <s v="Алия Гайнутдинова"/>
  </r>
  <r>
    <x v="1"/>
    <s v="Казань"/>
    <d v="2025-08-26T00:00:00"/>
    <x v="9"/>
    <s v="Сэндвич"/>
    <x v="2"/>
    <n v="3"/>
    <n v="978"/>
    <s v="Виктор Л."/>
    <s v="Алия Гайнутдинова"/>
  </r>
  <r>
    <x v="1"/>
    <s v="Казань"/>
    <d v="2025-08-02T00:00:00"/>
    <x v="9"/>
    <s v="Латте"/>
    <x v="1"/>
    <n v="1"/>
    <n v="235"/>
    <s v="Анна К."/>
    <s v="Алия Гайнутдинова"/>
  </r>
  <r>
    <x v="1"/>
    <s v="Казань"/>
    <d v="2025-02-26T00:00:00"/>
    <x v="2"/>
    <s v="Сэндвич"/>
    <x v="2"/>
    <n v="2"/>
    <n v="654"/>
    <s v="Максим П."/>
    <s v="Алия Гайнутдинова"/>
  </r>
  <r>
    <x v="1"/>
    <s v="Казань"/>
    <d v="2025-06-20T00:00:00"/>
    <x v="7"/>
    <s v="Американо"/>
    <x v="1"/>
    <n v="1"/>
    <n v="184"/>
    <s v="Анна К."/>
    <s v="Алия Гайнутдинова"/>
  </r>
  <r>
    <x v="1"/>
    <s v="Казань"/>
    <d v="2025-03-27T00:00:00"/>
    <x v="6"/>
    <s v="Чизкейк"/>
    <x v="0"/>
    <n v="1"/>
    <n v="225"/>
    <s v="Игорь С."/>
    <s v="Алия Гайнутдинова"/>
  </r>
  <r>
    <x v="1"/>
    <s v="Казань"/>
    <d v="2025-05-21T00:00:00"/>
    <x v="10"/>
    <s v="Американо"/>
    <x v="1"/>
    <n v="1"/>
    <n v="164"/>
    <s v="Виктор Л."/>
    <s v="Алия Гайнутдинова"/>
  </r>
  <r>
    <x v="1"/>
    <s v="Казань"/>
    <d v="2025-05-21T00:00:00"/>
    <x v="10"/>
    <s v="Синнабон"/>
    <x v="0"/>
    <n v="2"/>
    <n v="402"/>
    <s v="Виктор Л."/>
    <s v="Алия Гайнутдинова"/>
  </r>
  <r>
    <x v="1"/>
    <s v="Казань"/>
    <d v="2025-12-21T00:00:00"/>
    <x v="0"/>
    <s v="Эспрессо"/>
    <x v="1"/>
    <n v="1"/>
    <n v="159"/>
    <s v="Елена В."/>
    <s v="Алия Гайнутдинова"/>
  </r>
  <r>
    <x v="1"/>
    <s v="Казань"/>
    <d v="2025-10-18T00:00:00"/>
    <x v="3"/>
    <s v="Раф"/>
    <x v="1"/>
    <n v="1"/>
    <n v="243"/>
    <s v="Анна К."/>
    <s v="Алия Гайнутдинова"/>
  </r>
  <r>
    <x v="1"/>
    <s v="Казань"/>
    <d v="2025-02-19T00:00:00"/>
    <x v="2"/>
    <s v="Капучино"/>
    <x v="1"/>
    <n v="3"/>
    <n v="630"/>
    <s v="Максим П."/>
    <s v="Алия Гайнутдинова"/>
  </r>
  <r>
    <x v="1"/>
    <s v="Казань"/>
    <d v="2025-11-04T00:00:00"/>
    <x v="8"/>
    <s v="Чизкейк"/>
    <x v="0"/>
    <n v="1"/>
    <n v="278"/>
    <s v="Наталья Р."/>
    <s v="Алия Гайнутдинова"/>
  </r>
  <r>
    <x v="1"/>
    <s v="Казань"/>
    <d v="2025-05-12T00:00:00"/>
    <x v="10"/>
    <s v="Латте"/>
    <x v="1"/>
    <n v="2"/>
    <n v="474"/>
    <s v="Максим П."/>
    <s v="Алия Гайнутдинова"/>
  </r>
  <r>
    <x v="1"/>
    <s v="Казань"/>
    <d v="2025-05-05T00:00:00"/>
    <x v="10"/>
    <s v="Сэндвич"/>
    <x v="2"/>
    <n v="1"/>
    <n v="330"/>
    <s v="Виктор Л."/>
    <s v="Алия Гайнутдинова"/>
  </r>
  <r>
    <x v="1"/>
    <s v="Казань"/>
    <d v="2025-08-21T00:00:00"/>
    <x v="9"/>
    <s v="Эспрессо"/>
    <x v="1"/>
    <n v="1"/>
    <n v="148"/>
    <s v="Елена В."/>
    <s v="Алия Гайнутдинова"/>
  </r>
  <r>
    <x v="1"/>
    <s v="Казань"/>
    <d v="2025-03-13T00:00:00"/>
    <x v="6"/>
    <s v="Салат Цезарь"/>
    <x v="2"/>
    <n v="2"/>
    <n v="720"/>
    <s v="Максим П."/>
    <s v="Алия Гайнутдинова"/>
  </r>
  <r>
    <x v="1"/>
    <s v="Казань"/>
    <d v="2025-11-06T00:00:00"/>
    <x v="8"/>
    <s v="Латте"/>
    <x v="1"/>
    <n v="1"/>
    <n v="234"/>
    <s v="Елена В."/>
    <s v="Алия Гайнутдинова"/>
  </r>
  <r>
    <x v="1"/>
    <s v="Казань"/>
    <d v="2025-09-25T00:00:00"/>
    <x v="1"/>
    <s v="Матча латте"/>
    <x v="1"/>
    <n v="3"/>
    <n v="921"/>
    <s v="Максим П."/>
    <s v="Алия Гайнутдинова"/>
  </r>
  <r>
    <x v="1"/>
    <s v="Казань"/>
    <d v="2025-09-03T00:00:00"/>
    <x v="1"/>
    <s v="Матча латте"/>
    <x v="1"/>
    <n v="1"/>
    <n v="248"/>
    <s v="Игорь С."/>
    <s v="Алия Гайнутдинова"/>
  </r>
  <r>
    <x v="1"/>
    <s v="Казань"/>
    <d v="2025-02-03T00:00:00"/>
    <x v="2"/>
    <s v="Латте"/>
    <x v="1"/>
    <n v="1"/>
    <n v="232"/>
    <s v="Елена В."/>
    <s v="Алия Гайнутдинова"/>
  </r>
  <r>
    <x v="1"/>
    <s v="Казань"/>
    <d v="2025-03-08T00:00:00"/>
    <x v="6"/>
    <s v="Чизкейк"/>
    <x v="0"/>
    <n v="1"/>
    <n v="248"/>
    <s v="Наталья Р."/>
    <s v="Алия Гайнутдинова"/>
  </r>
  <r>
    <x v="1"/>
    <s v="Казань"/>
    <d v="2025-12-08T00:00:00"/>
    <x v="0"/>
    <s v="Раф"/>
    <x v="1"/>
    <n v="2"/>
    <n v="568"/>
    <s v="Наталья Р."/>
    <s v="Алия Гайнутдинова"/>
  </r>
  <r>
    <x v="1"/>
    <s v="Казань"/>
    <d v="2025-05-26T00:00:00"/>
    <x v="10"/>
    <s v="Синнабон"/>
    <x v="0"/>
    <n v="2"/>
    <n v="398"/>
    <s v="Елена В."/>
    <s v="Алия Гайнутдинова"/>
  </r>
  <r>
    <x v="1"/>
    <s v="Казань"/>
    <d v="2025-03-04T00:00:00"/>
    <x v="6"/>
    <s v="Раф"/>
    <x v="1"/>
    <n v="1"/>
    <n v="242"/>
    <s v="Максим П."/>
    <s v="Алия Гайнутдинова"/>
  </r>
  <r>
    <x v="1"/>
    <s v="Казань"/>
    <d v="2025-12-11T00:00:00"/>
    <x v="0"/>
    <s v="Круассан"/>
    <x v="0"/>
    <n v="1"/>
    <n v="198"/>
    <s v="Елена В."/>
    <s v="Алия Гайнутдинова"/>
  </r>
  <r>
    <x v="1"/>
    <s v="Казань"/>
    <d v="2025-02-12T00:00:00"/>
    <x v="2"/>
    <s v="Какао"/>
    <x v="1"/>
    <n v="2"/>
    <n v="462"/>
    <s v="Анна К."/>
    <s v="Алия Гайнутдинова"/>
  </r>
  <r>
    <x v="1"/>
    <s v="Казань"/>
    <d v="2025-06-12T00:00:00"/>
    <x v="7"/>
    <s v="Салат Цезарь"/>
    <x v="2"/>
    <n v="1"/>
    <n v="343"/>
    <s v="Максим П."/>
    <s v="Алия Гайнутдинова"/>
  </r>
  <r>
    <x v="1"/>
    <s v="Казань"/>
    <d v="2025-11-12T00:00:00"/>
    <x v="8"/>
    <s v="Чизкейк"/>
    <x v="0"/>
    <n v="1"/>
    <n v="227"/>
    <s v="Елена В."/>
    <s v="Алия Гайнутдинова"/>
  </r>
  <r>
    <x v="1"/>
    <s v="Казань"/>
    <d v="2025-02-24T00:00:00"/>
    <x v="2"/>
    <s v="Салат Цезарь"/>
    <x v="2"/>
    <n v="1"/>
    <n v="353"/>
    <s v="Виктор Л."/>
    <s v="Алия Гайнутдинова"/>
  </r>
  <r>
    <x v="1"/>
    <s v="Казань"/>
    <d v="2025-01-09T00:00:00"/>
    <x v="4"/>
    <s v="Круассан"/>
    <x v="0"/>
    <n v="3"/>
    <n v="501"/>
    <s v="Максим П."/>
    <s v="Алия Гайнутдинова"/>
  </r>
  <r>
    <x v="1"/>
    <s v="Казань"/>
    <d v="2025-01-24T00:00:00"/>
    <x v="4"/>
    <s v="Эспрессо"/>
    <x v="1"/>
    <n v="1"/>
    <n v="150"/>
    <s v="Наталья Р."/>
    <s v="Алия Гайнутдинова"/>
  </r>
  <r>
    <x v="1"/>
    <s v="Казань"/>
    <d v="2025-06-15T00:00:00"/>
    <x v="7"/>
    <s v="Матча латте"/>
    <x v="1"/>
    <n v="3"/>
    <n v="804"/>
    <s v="Виктор Л."/>
    <s v="Алия Гайнутдинова"/>
  </r>
  <r>
    <x v="1"/>
    <s v="Казань"/>
    <d v="2025-06-13T00:00:00"/>
    <x v="7"/>
    <s v="Раф"/>
    <x v="1"/>
    <n v="2"/>
    <n v="534"/>
    <s v="Наталья Р."/>
    <s v="Алия Гайнутдинова"/>
  </r>
  <r>
    <x v="1"/>
    <s v="Казань"/>
    <d v="2025-03-18T00:00:00"/>
    <x v="6"/>
    <s v="Сэндвич"/>
    <x v="2"/>
    <n v="1"/>
    <n v="302"/>
    <s v="Анна К."/>
    <s v="Алия Гайнутдинова"/>
  </r>
  <r>
    <x v="1"/>
    <s v="Казань"/>
    <d v="2025-03-25T00:00:00"/>
    <x v="6"/>
    <s v="Какао"/>
    <x v="1"/>
    <n v="3"/>
    <n v="735"/>
    <s v="Игорь С."/>
    <s v="Алия Гайнутдинова"/>
  </r>
  <r>
    <x v="1"/>
    <s v="Казань"/>
    <d v="2025-08-13T00:00:00"/>
    <x v="9"/>
    <s v="Американо"/>
    <x v="1"/>
    <n v="1"/>
    <n v="189"/>
    <s v="Виктор Л."/>
    <s v="Алия Гайнутдинова"/>
  </r>
  <r>
    <x v="1"/>
    <s v="Казань"/>
    <d v="2025-04-15T00:00:00"/>
    <x v="11"/>
    <s v="Американо"/>
    <x v="1"/>
    <n v="1"/>
    <n v="163"/>
    <s v="Максим П."/>
    <s v="Алия Гайнутдинова"/>
  </r>
  <r>
    <x v="1"/>
    <s v="Казань"/>
    <d v="2025-04-27T00:00:00"/>
    <x v="11"/>
    <s v="Круассан"/>
    <x v="0"/>
    <n v="2"/>
    <n v="386"/>
    <s v="Анна К."/>
    <s v="Алия Гайнутдинова"/>
  </r>
  <r>
    <x v="1"/>
    <s v="Казань"/>
    <d v="2025-10-26T00:00:00"/>
    <x v="3"/>
    <s v="Сэндвич"/>
    <x v="2"/>
    <n v="3"/>
    <n v="978"/>
    <s v="Игорь С."/>
    <s v="Алия Гайнутдинова"/>
  </r>
  <r>
    <x v="1"/>
    <s v="Казань"/>
    <d v="2025-02-12T00:00:00"/>
    <x v="2"/>
    <s v="Синнабон"/>
    <x v="0"/>
    <n v="2"/>
    <n v="460"/>
    <s v="Анна К."/>
    <s v="Алия Гайнутдинова"/>
  </r>
  <r>
    <x v="1"/>
    <s v="Казань"/>
    <d v="2025-01-03T00:00:00"/>
    <x v="4"/>
    <s v="Латте"/>
    <x v="1"/>
    <n v="2"/>
    <n v="406"/>
    <s v="Игорь С."/>
    <s v="Алия Гайнутдинова"/>
  </r>
  <r>
    <x v="1"/>
    <s v="Казань"/>
    <d v="2025-08-27T00:00:00"/>
    <x v="9"/>
    <s v="Эспрессо"/>
    <x v="1"/>
    <n v="2"/>
    <n v="266"/>
    <s v="Елена В."/>
    <s v="Алия Гайнутдинова"/>
  </r>
  <r>
    <x v="1"/>
    <s v="Казань"/>
    <d v="2025-02-09T00:00:00"/>
    <x v="2"/>
    <s v="Латте"/>
    <x v="1"/>
    <n v="3"/>
    <n v="633"/>
    <s v="Елена В."/>
    <s v="Алия Гайнутдинова"/>
  </r>
  <r>
    <x v="1"/>
    <s v="Казань"/>
    <d v="2025-07-27T00:00:00"/>
    <x v="5"/>
    <s v="Круассан"/>
    <x v="0"/>
    <n v="3"/>
    <n v="492"/>
    <s v="Наталья Р."/>
    <s v="Алия Гайнутдинова"/>
  </r>
  <r>
    <x v="1"/>
    <s v="Казань"/>
    <d v="2025-09-25T00:00:00"/>
    <x v="1"/>
    <s v="Матча латте"/>
    <x v="1"/>
    <n v="2"/>
    <n v="606"/>
    <s v="Виктор Л."/>
    <s v="Алия Гайнутдинова"/>
  </r>
  <r>
    <x v="1"/>
    <s v="Казань"/>
    <d v="2025-06-25T00:00:00"/>
    <x v="7"/>
    <s v="Салат Цезарь"/>
    <x v="2"/>
    <n v="2"/>
    <n v="740"/>
    <s v="Виктор Л."/>
    <s v="Алия Гайнутдинова"/>
  </r>
  <r>
    <x v="1"/>
    <s v="Казань"/>
    <d v="2025-11-02T00:00:00"/>
    <x v="8"/>
    <s v="Американо"/>
    <x v="1"/>
    <n v="1"/>
    <n v="190"/>
    <s v="Елена В."/>
    <s v="Алия Гайнутдинова"/>
  </r>
  <r>
    <x v="1"/>
    <s v="Казань"/>
    <d v="2025-07-14T00:00:00"/>
    <x v="5"/>
    <s v="Круассан"/>
    <x v="0"/>
    <n v="2"/>
    <n v="374"/>
    <s v="Виктор Л."/>
    <s v="Алия Гайнутдинова"/>
  </r>
  <r>
    <x v="1"/>
    <s v="Казань"/>
    <d v="2025-12-04T00:00:00"/>
    <x v="0"/>
    <s v="Латте"/>
    <x v="1"/>
    <n v="3"/>
    <n v="720"/>
    <s v="Анна К."/>
    <s v="Алия Гайнутдинова"/>
  </r>
  <r>
    <x v="1"/>
    <s v="Казань"/>
    <d v="2025-01-15T00:00:00"/>
    <x v="4"/>
    <s v="Латте"/>
    <x v="1"/>
    <n v="1"/>
    <n v="230"/>
    <s v="Максим П."/>
    <s v="Алия Гайнутдинова"/>
  </r>
  <r>
    <x v="1"/>
    <s v="Казань"/>
    <d v="2025-01-27T00:00:00"/>
    <x v="4"/>
    <s v="Матча латте"/>
    <x v="1"/>
    <n v="1"/>
    <n v="257"/>
    <s v="Наталья Р."/>
    <s v="Алия Гайнутдинова"/>
  </r>
  <r>
    <x v="1"/>
    <s v="Казань"/>
    <d v="2025-11-21T00:00:00"/>
    <x v="8"/>
    <s v="Чизкейк"/>
    <x v="0"/>
    <n v="1"/>
    <n v="268"/>
    <s v="Максим П."/>
    <s v="Алия Гайнутдинова"/>
  </r>
  <r>
    <x v="1"/>
    <s v="Казань"/>
    <d v="2025-08-27T00:00:00"/>
    <x v="9"/>
    <s v="Какао"/>
    <x v="1"/>
    <n v="2"/>
    <n v="482"/>
    <s v="Наталья Р."/>
    <s v="Алия Гайнутдинова"/>
  </r>
  <r>
    <x v="1"/>
    <s v="Казань"/>
    <d v="2025-10-04T00:00:00"/>
    <x v="3"/>
    <s v="Латте"/>
    <x v="1"/>
    <n v="2"/>
    <n v="428"/>
    <s v="Наталья Р."/>
    <s v="Алия Гайнутдинова"/>
  </r>
  <r>
    <x v="1"/>
    <s v="Казань"/>
    <d v="2025-01-16T00:00:00"/>
    <x v="4"/>
    <s v="Раф"/>
    <x v="1"/>
    <n v="1"/>
    <n v="470"/>
    <s v="Максим П."/>
    <s v="Алия Гайнутдинова"/>
  </r>
  <r>
    <x v="1"/>
    <s v="Казань"/>
    <d v="2025-10-23T00:00:00"/>
    <x v="3"/>
    <s v="Американо"/>
    <x v="1"/>
    <n v="1"/>
    <n v="191"/>
    <s v="Игорь С."/>
    <s v="Алия Гайнутдинова"/>
  </r>
  <r>
    <x v="1"/>
    <s v="Казань"/>
    <d v="2025-03-04T00:00:00"/>
    <x v="6"/>
    <s v="Эспрессо"/>
    <x v="1"/>
    <n v="1"/>
    <n v="153"/>
    <s v="Наталья Р."/>
    <s v="Алия Гайнутдинова"/>
  </r>
  <r>
    <x v="1"/>
    <s v="Казань"/>
    <d v="2025-07-08T00:00:00"/>
    <x v="5"/>
    <s v="Американо"/>
    <x v="1"/>
    <n v="1"/>
    <n v="146"/>
    <s v="Елена В."/>
    <s v="Алия Гайнутдинова"/>
  </r>
  <r>
    <x v="1"/>
    <s v="Казань"/>
    <d v="2025-09-16T00:00:00"/>
    <x v="1"/>
    <s v="Круассан"/>
    <x v="0"/>
    <n v="2"/>
    <n v="368"/>
    <s v="Елена В."/>
    <s v="Алия Гайнутдинова"/>
  </r>
  <r>
    <x v="1"/>
    <s v="Казань"/>
    <d v="2025-12-04T00:00:00"/>
    <x v="0"/>
    <s v="Раф"/>
    <x v="1"/>
    <n v="2"/>
    <n v="510"/>
    <s v="Наталья Р."/>
    <s v="Алия Гайнутдинова"/>
  </r>
  <r>
    <x v="1"/>
    <s v="Казань"/>
    <d v="2025-07-04T00:00:00"/>
    <x v="5"/>
    <s v="Сэндвич"/>
    <x v="2"/>
    <n v="1"/>
    <n v="328"/>
    <s v="Игорь С."/>
    <s v="Алия Гайнутдинова"/>
  </r>
  <r>
    <x v="1"/>
    <s v="Казань"/>
    <d v="2025-10-26T00:00:00"/>
    <x v="3"/>
    <s v="Круассан"/>
    <x v="0"/>
    <n v="1"/>
    <n v="181"/>
    <s v="Елена В."/>
    <s v="Алия Гайнутдинова"/>
  </r>
  <r>
    <x v="1"/>
    <s v="Казань"/>
    <d v="2025-01-05T00:00:00"/>
    <x v="4"/>
    <s v="Круассан"/>
    <x v="0"/>
    <n v="1"/>
    <n v="174"/>
    <s v="Наталья Р."/>
    <s v="Алия Гайнутдинова"/>
  </r>
  <r>
    <x v="1"/>
    <s v="Казань"/>
    <d v="2025-01-13T00:00:00"/>
    <x v="4"/>
    <s v="Салат Цезарь"/>
    <x v="2"/>
    <n v="2"/>
    <n v="772"/>
    <s v="Игорь С."/>
    <s v="Алия Гайнутдинова"/>
  </r>
  <r>
    <x v="1"/>
    <s v="Казань"/>
    <d v="2025-12-24T00:00:00"/>
    <x v="0"/>
    <s v="Латте"/>
    <x v="1"/>
    <n v="2"/>
    <n v="416"/>
    <s v="Анна К."/>
    <s v="Алия Гайнутдинова"/>
  </r>
  <r>
    <x v="1"/>
    <s v="Казань"/>
    <d v="2025-01-21T00:00:00"/>
    <x v="4"/>
    <s v="Капучино"/>
    <x v="1"/>
    <n v="1"/>
    <n v="204"/>
    <s v="Наталья Р."/>
    <s v="Алия Гайнутдинова"/>
  </r>
  <r>
    <x v="1"/>
    <s v="Казань"/>
    <d v="2025-06-28T00:00:00"/>
    <x v="7"/>
    <s v="Чизкейк"/>
    <x v="0"/>
    <n v="1"/>
    <n v="271"/>
    <s v="Наталья Р."/>
    <s v="Алия Гайнутдинова"/>
  </r>
  <r>
    <x v="1"/>
    <s v="Казань"/>
    <d v="2025-07-11T00:00:00"/>
    <x v="5"/>
    <s v="Матча латте"/>
    <x v="1"/>
    <n v="2"/>
    <n v="588"/>
    <s v="Наталья Р."/>
    <s v="Алия Гайнутдинова"/>
  </r>
  <r>
    <x v="1"/>
    <s v="Казань"/>
    <d v="2025-04-27T00:00:00"/>
    <x v="11"/>
    <s v="Круассан"/>
    <x v="0"/>
    <n v="2"/>
    <n v="386"/>
    <s v="Наталья Р."/>
    <s v="Алия Гайнутдинова"/>
  </r>
  <r>
    <x v="1"/>
    <s v="Казань"/>
    <d v="2025-01-05T00:00:00"/>
    <x v="4"/>
    <s v="Латте"/>
    <x v="1"/>
    <n v="1"/>
    <n v="252"/>
    <s v="Наталья Р."/>
    <s v="Алия Гайнутдинова"/>
  </r>
  <r>
    <x v="1"/>
    <s v="Казань"/>
    <d v="2025-11-14T00:00:00"/>
    <x v="8"/>
    <s v="Латте"/>
    <x v="1"/>
    <n v="1"/>
    <n v="245"/>
    <s v="Игорь С."/>
    <s v="Алия Гайнутдинова"/>
  </r>
  <r>
    <x v="1"/>
    <s v="Казань"/>
    <d v="2025-11-13T00:00:00"/>
    <x v="8"/>
    <s v="Капучино"/>
    <x v="1"/>
    <n v="2"/>
    <n v="400"/>
    <s v="Елена В."/>
    <s v="Алия Гайнутдинова"/>
  </r>
  <r>
    <x v="1"/>
    <s v="Казань"/>
    <d v="2025-02-22T00:00:00"/>
    <x v="2"/>
    <s v="Синнабон"/>
    <x v="0"/>
    <n v="1"/>
    <n v="209"/>
    <s v="Виктор Л."/>
    <s v="Алия Гайнутдинова"/>
  </r>
  <r>
    <x v="1"/>
    <s v="Казань"/>
    <d v="2025-10-26T00:00:00"/>
    <x v="3"/>
    <s v="Латте"/>
    <x v="1"/>
    <n v="2"/>
    <n v="478"/>
    <s v="Не указан"/>
    <s v="Алия Гайнутдинова"/>
  </r>
  <r>
    <x v="1"/>
    <s v="Казань"/>
    <d v="2025-05-15T00:00:00"/>
    <x v="10"/>
    <s v="Какао"/>
    <x v="1"/>
    <n v="1"/>
    <n v="230"/>
    <s v="Виктор Л."/>
    <s v="Алия Гайнутдинова"/>
  </r>
  <r>
    <x v="1"/>
    <s v="Казань"/>
    <d v="2025-02-12T00:00:00"/>
    <x v="2"/>
    <s v="Латте"/>
    <x v="1"/>
    <n v="2"/>
    <n v="480"/>
    <s v="Игорь С."/>
    <s v="Алия Гайнутдинова"/>
  </r>
  <r>
    <x v="1"/>
    <s v="Казань"/>
    <d v="2025-12-11T00:00:00"/>
    <x v="0"/>
    <s v="Раф"/>
    <x v="1"/>
    <n v="1"/>
    <n v="272"/>
    <s v="Елена В."/>
    <s v="Алия Гайнутдинова"/>
  </r>
  <r>
    <x v="1"/>
    <s v="Казань"/>
    <d v="2025-02-17T00:00:00"/>
    <x v="2"/>
    <s v="Какао"/>
    <x v="1"/>
    <n v="3"/>
    <n v="645"/>
    <s v="Виктор Л."/>
    <s v="Алия Гайнутдинова"/>
  </r>
  <r>
    <x v="1"/>
    <s v="Казань"/>
    <d v="2025-10-03T00:00:00"/>
    <x v="3"/>
    <s v="Синнабон"/>
    <x v="0"/>
    <n v="1"/>
    <n v="220"/>
    <s v="Елена В."/>
    <s v="Алия Гайнутдинова"/>
  </r>
  <r>
    <x v="1"/>
    <s v="Казань"/>
    <d v="2025-02-07T00:00:00"/>
    <x v="2"/>
    <s v="Салат Цезарь"/>
    <x v="2"/>
    <n v="1"/>
    <n v="367"/>
    <s v="Анна К."/>
    <s v="Алия Гайнутдинова"/>
  </r>
  <r>
    <x v="1"/>
    <s v="Казань"/>
    <d v="2025-06-13T00:00:00"/>
    <x v="7"/>
    <s v="Латте"/>
    <x v="1"/>
    <n v="1"/>
    <n v="225"/>
    <s v="Виктор Л."/>
    <s v="Алия Гайнутдинова"/>
  </r>
  <r>
    <x v="1"/>
    <s v="Казань"/>
    <d v="2025-04-16T00:00:00"/>
    <x v="11"/>
    <s v="Какао"/>
    <x v="1"/>
    <n v="2"/>
    <n v="440"/>
    <s v="Виктор Л."/>
    <s v="Алия Гайнутдинова"/>
  </r>
  <r>
    <x v="1"/>
    <s v="Казань"/>
    <d v="2025-09-10T00:00:00"/>
    <x v="1"/>
    <s v="Американо"/>
    <x v="1"/>
    <n v="1"/>
    <n v="188"/>
    <s v="Максим П."/>
    <s v="Алия Гайнутдинова"/>
  </r>
  <r>
    <x v="1"/>
    <s v="Казань"/>
    <d v="2025-10-14T00:00:00"/>
    <x v="3"/>
    <s v="Эспрессо"/>
    <x v="1"/>
    <n v="1"/>
    <n v="147"/>
    <s v="Игорь С."/>
    <s v="Алия Гайнутдинова"/>
  </r>
  <r>
    <x v="1"/>
    <s v="Казань"/>
    <d v="2025-07-26T00:00:00"/>
    <x v="5"/>
    <s v="Матча латте"/>
    <x v="1"/>
    <n v="2"/>
    <n v="588"/>
    <s v="Виктор Л."/>
    <s v="Алия Гайнутдинова"/>
  </r>
  <r>
    <x v="1"/>
    <s v="Казань"/>
    <d v="2025-09-27T00:00:00"/>
    <x v="1"/>
    <s v="Круассан"/>
    <x v="0"/>
    <n v="3"/>
    <n v="588"/>
    <s v="Елена В."/>
    <s v="Алия Гайнутдинова"/>
  </r>
  <r>
    <x v="1"/>
    <s v="Казань"/>
    <d v="2025-11-21T00:00:00"/>
    <x v="8"/>
    <s v="Чизкейк"/>
    <x v="0"/>
    <n v="3"/>
    <n v="681"/>
    <s v="Наталья Р."/>
    <s v="Алия Гайнутдинова"/>
  </r>
  <r>
    <x v="1"/>
    <s v="Казань"/>
    <d v="2025-05-24T00:00:00"/>
    <x v="10"/>
    <s v="Салат Цезарь"/>
    <x v="2"/>
    <n v="1"/>
    <n v="338"/>
    <s v="Не указан"/>
    <s v="Алия Гайнутдинова"/>
  </r>
  <r>
    <x v="1"/>
    <s v="Казань"/>
    <d v="2025-10-14T00:00:00"/>
    <x v="3"/>
    <s v="Сэндвич"/>
    <x v="2"/>
    <n v="1"/>
    <n v="310"/>
    <s v="Виктор Л."/>
    <s v="Алия Гайнутдинова"/>
  </r>
  <r>
    <x v="1"/>
    <s v="Казань"/>
    <d v="2025-12-07T00:00:00"/>
    <x v="0"/>
    <s v="Салат Цезарь"/>
    <x v="2"/>
    <n v="3"/>
    <n v="1236"/>
    <s v="Анна К."/>
    <s v="Алия Гайнутдинова"/>
  </r>
  <r>
    <x v="1"/>
    <s v="Казань"/>
    <d v="2025-04-23T00:00:00"/>
    <x v="11"/>
    <s v="Сэндвич"/>
    <x v="2"/>
    <n v="1"/>
    <n v="300"/>
    <s v="Игорь С."/>
    <s v="Алия Гайнутдинова"/>
  </r>
  <r>
    <x v="1"/>
    <s v="Казань"/>
    <d v="2025-09-14T00:00:00"/>
    <x v="1"/>
    <s v="Какао"/>
    <x v="1"/>
    <n v="1"/>
    <n v="200"/>
    <s v="Виктор Л."/>
    <s v="Алия Гайнутдинова"/>
  </r>
  <r>
    <x v="1"/>
    <s v="Казань"/>
    <d v="2025-02-11T00:00:00"/>
    <x v="2"/>
    <s v="Сэндвич"/>
    <x v="2"/>
    <n v="3"/>
    <n v="909"/>
    <s v="Наталья Р."/>
    <s v="Алия Гайнутдинова"/>
  </r>
  <r>
    <x v="1"/>
    <s v="Казань"/>
    <d v="2025-08-08T00:00:00"/>
    <x v="9"/>
    <s v="Какао"/>
    <x v="1"/>
    <n v="2"/>
    <n v="462"/>
    <s v="Анна К."/>
    <s v="Алия Гайнутдинова"/>
  </r>
  <r>
    <x v="1"/>
    <s v="Казань"/>
    <d v="2025-03-06T00:00:00"/>
    <x v="6"/>
    <s v="Эспрессо"/>
    <x v="1"/>
    <n v="2"/>
    <n v="298"/>
    <s v="Игорь С."/>
    <s v="Алия Гайнутдинова"/>
  </r>
  <r>
    <x v="1"/>
    <s v="Казань"/>
    <d v="2025-11-22T00:00:00"/>
    <x v="8"/>
    <s v="Круассан"/>
    <x v="0"/>
    <n v="1"/>
    <n v="183"/>
    <s v="Наталья Р."/>
    <s v="Алия Гайнутдинова"/>
  </r>
  <r>
    <x v="1"/>
    <s v="Казань"/>
    <d v="2025-11-18T00:00:00"/>
    <x v="8"/>
    <s v="Эспрессо"/>
    <x v="1"/>
    <n v="2"/>
    <n v="282"/>
    <s v="Анна К."/>
    <s v="Алия Гайнутдинова"/>
  </r>
  <r>
    <x v="1"/>
    <s v="Казань"/>
    <d v="2025-04-21T00:00:00"/>
    <x v="11"/>
    <s v="Какао"/>
    <x v="1"/>
    <n v="2"/>
    <n v="432"/>
    <s v="Виктор Л."/>
    <s v="Алия Гайнутдинова"/>
  </r>
  <r>
    <x v="1"/>
    <s v="Казань"/>
    <d v="2025-09-11T00:00:00"/>
    <x v="1"/>
    <s v="Эспрессо"/>
    <x v="1"/>
    <n v="1"/>
    <n v="138"/>
    <s v="Анна К."/>
    <s v="Алия Гайнутдинова"/>
  </r>
  <r>
    <x v="1"/>
    <s v="Казань"/>
    <d v="2025-10-11T00:00:00"/>
    <x v="3"/>
    <s v="Латте"/>
    <x v="1"/>
    <n v="1"/>
    <n v="234"/>
    <s v="Игорь С."/>
    <s v="Алия Гайнутдинова"/>
  </r>
  <r>
    <x v="1"/>
    <s v="Казань"/>
    <d v="2025-10-12T00:00:00"/>
    <x v="3"/>
    <s v="Салат Цезарь"/>
    <x v="2"/>
    <n v="1"/>
    <n v="395"/>
    <s v="Игорь С."/>
    <s v="Алия Гайнутдинова"/>
  </r>
  <r>
    <x v="1"/>
    <s v="Казань"/>
    <d v="2025-07-20T00:00:00"/>
    <x v="5"/>
    <s v="Капучино"/>
    <x v="1"/>
    <n v="3"/>
    <n v="711"/>
    <s v="Анна К."/>
    <s v="Алия Гайнутдинова"/>
  </r>
  <r>
    <x v="1"/>
    <s v="Казань"/>
    <d v="2025-01-13T00:00:00"/>
    <x v="4"/>
    <s v="Круассан"/>
    <x v="0"/>
    <n v="1"/>
    <n v="179"/>
    <s v="Анна К."/>
    <s v="Алия Гайнутдинова"/>
  </r>
  <r>
    <x v="1"/>
    <s v="Казань"/>
    <d v="2025-12-07T00:00:00"/>
    <x v="0"/>
    <s v="Матча латте"/>
    <x v="1"/>
    <n v="1"/>
    <n v="295"/>
    <s v="Елена В."/>
    <s v="Алия Гайнутдинова"/>
  </r>
  <r>
    <x v="1"/>
    <s v="Казань"/>
    <d v="2025-11-14T00:00:00"/>
    <x v="8"/>
    <s v="Латте"/>
    <x v="1"/>
    <n v="1"/>
    <n v="209"/>
    <s v="Елена В."/>
    <s v="Алия Гайнутдинова"/>
  </r>
  <r>
    <x v="1"/>
    <s v="Казань"/>
    <d v="2025-02-15T00:00:00"/>
    <x v="2"/>
    <s v="Латте"/>
    <x v="1"/>
    <n v="1"/>
    <n v="210"/>
    <s v="Игорь С."/>
    <s v="Алия Гайнутдинова"/>
  </r>
  <r>
    <x v="1"/>
    <s v="Казань"/>
    <d v="2025-03-26T00:00:00"/>
    <x v="6"/>
    <s v="Чизкейк"/>
    <x v="0"/>
    <n v="1"/>
    <n v="230"/>
    <s v="Анна К."/>
    <s v="Алия Гайнутдинова"/>
  </r>
  <r>
    <x v="1"/>
    <s v="Казань"/>
    <d v="2025-06-03T00:00:00"/>
    <x v="7"/>
    <s v="Чизкейк"/>
    <x v="0"/>
    <n v="3"/>
    <n v="666"/>
    <s v="Елена В."/>
    <s v="Алия Гайнутдинова"/>
  </r>
  <r>
    <x v="1"/>
    <s v="Казань"/>
    <d v="2025-09-17T00:00:00"/>
    <x v="1"/>
    <s v="Американо"/>
    <x v="1"/>
    <n v="1"/>
    <n v="155"/>
    <s v="Игорь С."/>
    <s v="Алия Гайнутдинова"/>
  </r>
  <r>
    <x v="1"/>
    <s v="Казань"/>
    <d v="2025-12-02T00:00:00"/>
    <x v="0"/>
    <s v="Эспрессо"/>
    <x v="1"/>
    <n v="2"/>
    <n v="286"/>
    <s v="Елена В."/>
    <s v="Алия Гайнутдинова"/>
  </r>
  <r>
    <x v="1"/>
    <s v="Казань"/>
    <d v="2025-12-25T00:00:00"/>
    <x v="0"/>
    <s v="Сэндвич"/>
    <x v="2"/>
    <n v="1"/>
    <n v="313"/>
    <s v="Виктор Л."/>
    <s v="Алия Гайнутдинова"/>
  </r>
  <r>
    <x v="1"/>
    <s v="Казань"/>
    <d v="2025-10-05T00:00:00"/>
    <x v="3"/>
    <s v="Чизкейк"/>
    <x v="0"/>
    <n v="1"/>
    <n v="277"/>
    <s v="Виктор Л."/>
    <s v="Алия Гайнутдинова"/>
  </r>
  <r>
    <x v="1"/>
    <s v="Казань"/>
    <d v="2025-08-14T00:00:00"/>
    <x v="9"/>
    <s v="Салат Цезарь"/>
    <x v="2"/>
    <n v="2"/>
    <n v="850"/>
    <s v="Виктор Л."/>
    <s v="Алия Гайнутдинова"/>
  </r>
  <r>
    <x v="1"/>
    <s v="Казань"/>
    <d v="2025-10-21T00:00:00"/>
    <x v="3"/>
    <s v="Чизкейк"/>
    <x v="0"/>
    <n v="1"/>
    <n v="230"/>
    <s v="Анна К."/>
    <s v="Алия Гайнутдинова"/>
  </r>
  <r>
    <x v="1"/>
    <s v="Казань"/>
    <d v="2025-02-26T00:00:00"/>
    <x v="2"/>
    <s v="Сэндвич"/>
    <x v="2"/>
    <n v="3"/>
    <n v="1047"/>
    <s v="Наталья Р."/>
    <s v="Алия Гайнутдинова"/>
  </r>
  <r>
    <x v="1"/>
    <s v="Казань"/>
    <d v="2025-10-28T00:00:00"/>
    <x v="3"/>
    <s v="Круассан"/>
    <x v="0"/>
    <n v="2"/>
    <n v="322"/>
    <s v="Игорь С."/>
    <s v="Алия Гайнутдинова"/>
  </r>
  <r>
    <x v="1"/>
    <s v="Казань"/>
    <d v="2025-04-18T00:00:00"/>
    <x v="11"/>
    <s v="Сэндвич"/>
    <x v="2"/>
    <n v="2"/>
    <n v="576"/>
    <s v="Виктор Л."/>
    <s v="Алия Гайнутдинова"/>
  </r>
  <r>
    <x v="1"/>
    <s v="Казань"/>
    <d v="2025-07-08T00:00:00"/>
    <x v="5"/>
    <s v="Какао"/>
    <x v="1"/>
    <n v="3"/>
    <n v="609"/>
    <s v="Анна К."/>
    <s v="Алия Гайнутдинова"/>
  </r>
  <r>
    <x v="1"/>
    <s v="Казань"/>
    <d v="2025-03-05T00:00:00"/>
    <x v="6"/>
    <s v="Матча латте"/>
    <x v="1"/>
    <n v="1"/>
    <n v="314"/>
    <s v="Елена В."/>
    <s v="Алия Гайнутдинова"/>
  </r>
  <r>
    <x v="1"/>
    <s v="Казань"/>
    <d v="2025-06-13T00:00:00"/>
    <x v="7"/>
    <s v="Сэндвич"/>
    <x v="2"/>
    <n v="1"/>
    <n v="302"/>
    <s v="Наталья Р."/>
    <s v="Алия Гайнутдинова"/>
  </r>
  <r>
    <x v="1"/>
    <s v="Казань"/>
    <d v="2025-09-04T00:00:00"/>
    <x v="1"/>
    <s v="Сэндвич"/>
    <x v="2"/>
    <n v="3"/>
    <n v="897"/>
    <s v="Елена В."/>
    <s v="Алия Гайнутдинова"/>
  </r>
  <r>
    <x v="1"/>
    <s v="Казань"/>
    <d v="2025-01-11T00:00:00"/>
    <x v="4"/>
    <s v="Какао"/>
    <x v="1"/>
    <n v="2"/>
    <n v="490"/>
    <s v="Наталья Р."/>
    <s v="Алия Гайнутдинова"/>
  </r>
  <r>
    <x v="1"/>
    <s v="Казань"/>
    <d v="2025-06-05T00:00:00"/>
    <x v="7"/>
    <s v="Круассан"/>
    <x v="0"/>
    <n v="2"/>
    <n v="354"/>
    <s v="Игорь С."/>
    <s v="Алия Гайнутдинова"/>
  </r>
  <r>
    <x v="1"/>
    <s v="Казань"/>
    <d v="2025-10-26T00:00:00"/>
    <x v="3"/>
    <s v="Синнабон"/>
    <x v="0"/>
    <n v="2"/>
    <n v="382"/>
    <s v="Игорь С."/>
    <s v="Алия Гайнутдинова"/>
  </r>
  <r>
    <x v="1"/>
    <s v="Казань"/>
    <d v="2025-01-11T00:00:00"/>
    <x v="4"/>
    <s v="Раф"/>
    <x v="1"/>
    <n v="3"/>
    <n v="852"/>
    <s v="Виктор Л."/>
    <s v="Алия Гайнутдинова"/>
  </r>
  <r>
    <x v="1"/>
    <s v="Казань"/>
    <d v="2025-01-15T00:00:00"/>
    <x v="4"/>
    <s v="Эспрессо"/>
    <x v="1"/>
    <n v="3"/>
    <n v="366"/>
    <s v="Игорь С."/>
    <s v="Алия Гайнутдинова"/>
  </r>
  <r>
    <x v="1"/>
    <s v="Казань"/>
    <d v="2025-12-02T00:00:00"/>
    <x v="0"/>
    <s v="Синнабон"/>
    <x v="0"/>
    <n v="2"/>
    <n v="406"/>
    <s v="Максим П."/>
    <s v="Алия Гайнутдинова"/>
  </r>
  <r>
    <x v="1"/>
    <s v="Казань"/>
    <d v="2025-01-05T00:00:00"/>
    <x v="4"/>
    <s v="Сэндвич"/>
    <x v="2"/>
    <n v="1"/>
    <n v="340"/>
    <s v="Максим П."/>
    <s v="Алия Гайнутдинова"/>
  </r>
  <r>
    <x v="1"/>
    <s v="Казань"/>
    <d v="2025-07-06T00:00:00"/>
    <x v="5"/>
    <s v="Раф"/>
    <x v="1"/>
    <n v="3"/>
    <n v="795"/>
    <s v="Виктор Л."/>
    <s v="Алия Гайнутдинова"/>
  </r>
  <r>
    <x v="1"/>
    <s v="Казань"/>
    <d v="2025-11-13T00:00:00"/>
    <x v="8"/>
    <s v="Круассан"/>
    <x v="0"/>
    <n v="2"/>
    <n v="384"/>
    <s v="Анна К."/>
    <s v="Алия Гайнутдинова"/>
  </r>
  <r>
    <x v="1"/>
    <s v="Казань"/>
    <d v="2025-09-11T00:00:00"/>
    <x v="1"/>
    <s v="Синнабон"/>
    <x v="0"/>
    <n v="1"/>
    <n v="218"/>
    <s v="Игорь С."/>
    <s v="Алия Гайнутдинова"/>
  </r>
  <r>
    <x v="1"/>
    <s v="Казань"/>
    <d v="2025-04-11T00:00:00"/>
    <x v="11"/>
    <s v="Какао"/>
    <x v="1"/>
    <n v="1"/>
    <n v="243"/>
    <s v="Максим П."/>
    <s v="Алия Гайнутдинова"/>
  </r>
  <r>
    <x v="1"/>
    <s v="Казань"/>
    <d v="2025-10-21T00:00:00"/>
    <x v="3"/>
    <s v="Салат Цезарь"/>
    <x v="2"/>
    <n v="1"/>
    <n v="354"/>
    <s v="Елена В."/>
    <s v="Алия Гайнутдинова"/>
  </r>
  <r>
    <x v="1"/>
    <s v="Казань"/>
    <d v="2025-11-20T00:00:00"/>
    <x v="8"/>
    <s v="Латте"/>
    <x v="1"/>
    <n v="2"/>
    <n v="484"/>
    <s v="Игорь С."/>
    <s v="Алия Гайнутдинова"/>
  </r>
  <r>
    <x v="1"/>
    <s v="Казань"/>
    <d v="2025-05-24T00:00:00"/>
    <x v="10"/>
    <s v="Раф"/>
    <x v="1"/>
    <n v="1"/>
    <n v="281"/>
    <s v="Игорь С."/>
    <s v="Алия Гайнутдинова"/>
  </r>
  <r>
    <x v="1"/>
    <s v="Казань"/>
    <d v="2025-12-15T00:00:00"/>
    <x v="0"/>
    <s v="Сэндвич"/>
    <x v="2"/>
    <n v="3"/>
    <n v="849"/>
    <s v="Наталья Р."/>
    <s v="Алия Гайнутдинова"/>
  </r>
  <r>
    <x v="1"/>
    <s v="Казань"/>
    <d v="2025-04-07T00:00:00"/>
    <x v="11"/>
    <s v="Салат Цезарь"/>
    <x v="2"/>
    <n v="3"/>
    <n v="1161"/>
    <s v="Максим П."/>
    <s v="Алия Гайнутдинова"/>
  </r>
  <r>
    <x v="1"/>
    <s v="Казань"/>
    <d v="2025-10-12T00:00:00"/>
    <x v="3"/>
    <s v="Салат Цезарь"/>
    <x v="2"/>
    <n v="3"/>
    <n v="1125"/>
    <s v="Анна К."/>
    <s v="Алия Гайнутдинова"/>
  </r>
  <r>
    <x v="1"/>
    <s v="Казань"/>
    <d v="2025-11-05T00:00:00"/>
    <x v="8"/>
    <s v="Круассан"/>
    <x v="0"/>
    <n v="3"/>
    <n v="564"/>
    <s v="Виктор Л."/>
    <s v="Алия Гайнутдинова"/>
  </r>
  <r>
    <x v="1"/>
    <s v="Казань"/>
    <d v="2025-09-03T00:00:00"/>
    <x v="1"/>
    <s v="Какао"/>
    <x v="1"/>
    <n v="3"/>
    <n v="666"/>
    <s v="Анна К."/>
    <s v="Алия Гайнутдинова"/>
  </r>
  <r>
    <x v="1"/>
    <s v="Казань"/>
    <d v="2025-09-14T00:00:00"/>
    <x v="1"/>
    <s v="Круассан"/>
    <x v="0"/>
    <n v="1"/>
    <n v="183"/>
    <s v="Елена В."/>
    <s v="Алия Гайнутдинова"/>
  </r>
  <r>
    <x v="1"/>
    <s v="Казань"/>
    <d v="2025-07-23T00:00:00"/>
    <x v="5"/>
    <s v="Эспрессо"/>
    <x v="1"/>
    <n v="2"/>
    <n v="250"/>
    <s v="Наталья Р."/>
    <s v="Алия Гайнутдинова"/>
  </r>
  <r>
    <x v="1"/>
    <s v="Казань"/>
    <d v="2025-02-26T00:00:00"/>
    <x v="2"/>
    <s v="Матча латте"/>
    <x v="1"/>
    <n v="1"/>
    <n v="279"/>
    <s v="Анна К."/>
    <s v="Алия Гайнутдинова"/>
  </r>
  <r>
    <x v="1"/>
    <s v="Казань"/>
    <d v="2025-03-03T00:00:00"/>
    <x v="6"/>
    <s v="Американо"/>
    <x v="1"/>
    <n v="1"/>
    <n v="176"/>
    <s v="Анна К."/>
    <s v="Алия Гайнутдинова"/>
  </r>
  <r>
    <x v="1"/>
    <s v="Казань"/>
    <d v="2025-01-23T00:00:00"/>
    <x v="4"/>
    <s v="Матча латте"/>
    <x v="1"/>
    <n v="2"/>
    <n v="536"/>
    <s v="Виктор Л."/>
    <s v="Алия Гайнутдинова"/>
  </r>
  <r>
    <x v="1"/>
    <s v="Казань"/>
    <d v="2025-09-13T00:00:00"/>
    <x v="1"/>
    <s v="Сэндвич"/>
    <x v="2"/>
    <n v="3"/>
    <n v="885"/>
    <s v="Елена В."/>
    <s v="Алия Гайнутдинова"/>
  </r>
  <r>
    <x v="1"/>
    <s v="Казань"/>
    <d v="2025-02-09T00:00:00"/>
    <x v="2"/>
    <s v="Сэндвич"/>
    <x v="2"/>
    <n v="1"/>
    <n v="338"/>
    <s v="Игорь С."/>
    <s v="Алия Гайнутдинова"/>
  </r>
  <r>
    <x v="1"/>
    <s v="Казань"/>
    <d v="2025-01-13T00:00:00"/>
    <x v="4"/>
    <s v="Раф"/>
    <x v="1"/>
    <n v="2"/>
    <n v="518"/>
    <s v="Наталья Р."/>
    <s v="Алия Гайнутдинова"/>
  </r>
  <r>
    <x v="1"/>
    <s v="Казань"/>
    <d v="2025-09-28T00:00:00"/>
    <x v="1"/>
    <s v="Американо"/>
    <x v="1"/>
    <n v="1"/>
    <n v="194"/>
    <s v="Игорь С."/>
    <s v="Алия Гайнутдинова"/>
  </r>
  <r>
    <x v="1"/>
    <s v="Казань"/>
    <d v="2025-12-25T00:00:00"/>
    <x v="0"/>
    <s v="Круассан"/>
    <x v="0"/>
    <n v="1"/>
    <n v="193"/>
    <s v="Анна К."/>
    <s v="Алия Гайнутдинова"/>
  </r>
  <r>
    <x v="1"/>
    <s v="Казань"/>
    <d v="2025-11-19T00:00:00"/>
    <x v="8"/>
    <s v="Эспрессо"/>
    <x v="1"/>
    <n v="2"/>
    <n v="308"/>
    <s v="Анна К."/>
    <s v="Алия Гайнутдинова"/>
  </r>
  <r>
    <x v="1"/>
    <s v="Казань"/>
    <d v="2025-07-28T00:00:00"/>
    <x v="5"/>
    <s v="Капучино"/>
    <x v="1"/>
    <n v="2"/>
    <n v="444"/>
    <s v="Игорь С."/>
    <s v="Алия Гайнутдинова"/>
  </r>
  <r>
    <x v="1"/>
    <s v="Казань"/>
    <d v="2025-06-14T00:00:00"/>
    <x v="7"/>
    <s v="Американо"/>
    <x v="1"/>
    <n v="1"/>
    <n v="169"/>
    <s v="Максим П."/>
    <s v="Алия Гайнутдинова"/>
  </r>
  <r>
    <x v="1"/>
    <s v="Казань"/>
    <d v="2025-09-03T00:00:00"/>
    <x v="1"/>
    <s v="Раф"/>
    <x v="1"/>
    <n v="2"/>
    <n v="514"/>
    <s v="Игорь С."/>
    <s v="Алия Гайнутдинова"/>
  </r>
  <r>
    <x v="1"/>
    <s v="Казань"/>
    <d v="2025-02-20T00:00:00"/>
    <x v="2"/>
    <s v="Матча латте"/>
    <x v="1"/>
    <n v="1"/>
    <n v="263"/>
    <s v="Максим П."/>
    <s v="Алия Гайнутдинова"/>
  </r>
  <r>
    <x v="1"/>
    <s v="Казань"/>
    <d v="2025-10-02T00:00:00"/>
    <x v="3"/>
    <s v="Капучино"/>
    <x v="1"/>
    <n v="2"/>
    <n v="456"/>
    <s v="Виктор Л."/>
    <s v="Алия Гайнутдинова"/>
  </r>
  <r>
    <x v="1"/>
    <s v="Казань"/>
    <d v="2025-08-17T00:00:00"/>
    <x v="9"/>
    <s v="Американо"/>
    <x v="1"/>
    <n v="3"/>
    <n v="483"/>
    <s v="Анна К."/>
    <s v="Алия Гайнутдинова"/>
  </r>
  <r>
    <x v="1"/>
    <s v="Казань"/>
    <d v="2025-11-25T00:00:00"/>
    <x v="8"/>
    <s v="Синнабон"/>
    <x v="0"/>
    <n v="3"/>
    <n v="705"/>
    <s v="Виктор Л."/>
    <s v="Алия Гайнутдинова"/>
  </r>
  <r>
    <x v="1"/>
    <s v="Казань"/>
    <d v="2025-05-25T00:00:00"/>
    <x v="10"/>
    <s v="Круассан"/>
    <x v="0"/>
    <n v="2"/>
    <n v="386"/>
    <s v="Елена В."/>
    <s v="Алия Гайнутдинова"/>
  </r>
  <r>
    <x v="1"/>
    <s v="Казань"/>
    <d v="2025-02-24T00:00:00"/>
    <x v="2"/>
    <s v="Эспрессо"/>
    <x v="1"/>
    <n v="2"/>
    <n v="320"/>
    <s v="Виктор Л."/>
    <s v="Алия Гайнутдинова"/>
  </r>
  <r>
    <x v="1"/>
    <s v="Казань"/>
    <d v="2025-07-28T00:00:00"/>
    <x v="5"/>
    <s v="Какао"/>
    <x v="1"/>
    <n v="2"/>
    <n v="430"/>
    <s v="Анна К."/>
    <s v="Алия Гайнутдинова"/>
  </r>
  <r>
    <x v="1"/>
    <s v="Казань"/>
    <d v="2025-10-17T00:00:00"/>
    <x v="3"/>
    <s v="Эспрессо"/>
    <x v="1"/>
    <n v="3"/>
    <n v="369"/>
    <s v="Анна К."/>
    <s v="Алия Гайнутдинова"/>
  </r>
  <r>
    <x v="1"/>
    <s v="Казань"/>
    <d v="2025-05-16T00:00:00"/>
    <x v="10"/>
    <s v="Сэндвич"/>
    <x v="2"/>
    <n v="3"/>
    <n v="951"/>
    <s v="Елена В."/>
    <s v="Алия Гайнутдинова"/>
  </r>
  <r>
    <x v="1"/>
    <s v="Казань"/>
    <d v="2025-01-22T00:00:00"/>
    <x v="4"/>
    <s v="Латте"/>
    <x v="1"/>
    <n v="2"/>
    <n v="438"/>
    <s v="Виктор Л."/>
    <s v="Алия Гайнутдинова"/>
  </r>
  <r>
    <x v="1"/>
    <s v="Казань"/>
    <d v="2025-09-05T00:00:00"/>
    <x v="1"/>
    <s v="Раф"/>
    <x v="1"/>
    <n v="1"/>
    <n v="238"/>
    <s v="Анна К."/>
    <s v="Алия Гайнутдинова"/>
  </r>
  <r>
    <x v="1"/>
    <s v="Казань"/>
    <d v="2025-12-16T00:00:00"/>
    <x v="0"/>
    <s v="Раф"/>
    <x v="1"/>
    <n v="1"/>
    <n v="236"/>
    <s v="Максим П."/>
    <s v="Алия Гайнутдинова"/>
  </r>
  <r>
    <x v="1"/>
    <s v="Казань"/>
    <d v="2025-01-04T00:00:00"/>
    <x v="4"/>
    <s v="Салат Цезарь"/>
    <x v="2"/>
    <n v="2"/>
    <n v="760"/>
    <s v="Елена В."/>
    <s v="Алия Гайнутдинова"/>
  </r>
  <r>
    <x v="1"/>
    <s v="Казань"/>
    <d v="2025-07-06T00:00:00"/>
    <x v="5"/>
    <s v="Раф"/>
    <x v="1"/>
    <n v="1"/>
    <n v="251"/>
    <s v="Анна К."/>
    <s v="Алия Гайнутдинова"/>
  </r>
  <r>
    <x v="1"/>
    <s v="Казань"/>
    <d v="2025-12-23T00:00:00"/>
    <x v="0"/>
    <s v="Раф"/>
    <x v="1"/>
    <n v="1"/>
    <n v="255"/>
    <s v="Анна К."/>
    <s v="Алия Гайнутдинова"/>
  </r>
  <r>
    <x v="1"/>
    <s v="Казань"/>
    <d v="2025-10-23T00:00:00"/>
    <x v="3"/>
    <s v="Латте"/>
    <x v="1"/>
    <n v="1"/>
    <n v="223"/>
    <s v="Игорь С."/>
    <s v="Алия Гайнутдинова"/>
  </r>
  <r>
    <x v="1"/>
    <s v="Казань"/>
    <d v="2025-08-19T00:00:00"/>
    <x v="9"/>
    <s v="Сэндвич"/>
    <x v="2"/>
    <n v="1"/>
    <n v="320"/>
    <s v="Анна К."/>
    <s v="Алия Гайнутдинова"/>
  </r>
  <r>
    <x v="1"/>
    <s v="Казань"/>
    <d v="2025-04-05T00:00:00"/>
    <x v="11"/>
    <s v="Круассан"/>
    <x v="0"/>
    <n v="1"/>
    <n v="196"/>
    <s v="Елена В."/>
    <s v="Алия Гайнутдинова"/>
  </r>
  <r>
    <x v="1"/>
    <s v="Казань"/>
    <d v="2025-04-16T00:00:00"/>
    <x v="11"/>
    <s v="Какао"/>
    <x v="1"/>
    <n v="1"/>
    <n v="197"/>
    <s v="Виктор Л."/>
    <s v="Алия Гайнутдинова"/>
  </r>
  <r>
    <x v="1"/>
    <s v="Казань"/>
    <d v="2025-01-18T00:00:00"/>
    <x v="4"/>
    <s v="Капучино"/>
    <x v="1"/>
    <n v="1"/>
    <n v="237"/>
    <s v="Анна К."/>
    <s v="Алия Гайнутдинова"/>
  </r>
  <r>
    <x v="1"/>
    <s v="Казань"/>
    <d v="2025-07-02T00:00:00"/>
    <x v="5"/>
    <s v="Салат Цезарь"/>
    <x v="2"/>
    <n v="2"/>
    <n v="674"/>
    <s v="Анна К."/>
    <s v="Алия Гайнутдинова"/>
  </r>
  <r>
    <x v="1"/>
    <s v="Казань"/>
    <d v="2025-10-23T00:00:00"/>
    <x v="3"/>
    <s v="Матча латте"/>
    <x v="1"/>
    <n v="1"/>
    <n v="282"/>
    <s v="Игорь С."/>
    <s v="Алия Гайнутдинова"/>
  </r>
  <r>
    <x v="1"/>
    <s v="Казань"/>
    <d v="2025-12-01T00:00:00"/>
    <x v="0"/>
    <s v="Эспрессо"/>
    <x v="1"/>
    <n v="2"/>
    <n v="318"/>
    <s v="Игорь С."/>
    <s v="Алия Гайнутдинова"/>
  </r>
  <r>
    <x v="1"/>
    <s v="Казань"/>
    <d v="2025-11-14T00:00:00"/>
    <x v="8"/>
    <s v="Синнабон"/>
    <x v="0"/>
    <n v="2"/>
    <n v="450"/>
    <s v="Игорь С."/>
    <s v="Алия Гайнутдинова"/>
  </r>
  <r>
    <x v="1"/>
    <s v="Казань"/>
    <d v="2025-09-06T00:00:00"/>
    <x v="1"/>
    <s v="Раф"/>
    <x v="1"/>
    <n v="1"/>
    <n v="283"/>
    <s v="Виктор Л."/>
    <s v="Алия Гайнутдинова"/>
  </r>
  <r>
    <x v="1"/>
    <s v="Казань"/>
    <d v="2025-08-25T00:00:00"/>
    <x v="9"/>
    <s v="Салат Цезарь"/>
    <x v="2"/>
    <n v="2"/>
    <n v="780"/>
    <s v="Игорь С."/>
    <s v="Алия Гайнутдинова"/>
  </r>
  <r>
    <x v="1"/>
    <s v="Казань"/>
    <d v="2025-12-06T00:00:00"/>
    <x v="0"/>
    <s v="Латте"/>
    <x v="1"/>
    <n v="1"/>
    <n v="212"/>
    <s v="Елена В."/>
    <s v="Алия Гайнутдинова"/>
  </r>
  <r>
    <x v="1"/>
    <s v="Казань"/>
    <d v="2025-04-03T00:00:00"/>
    <x v="11"/>
    <s v="Эспрессо"/>
    <x v="1"/>
    <n v="2"/>
    <n v="250"/>
    <s v="Игорь С."/>
    <s v="Алия Гайнутдинова"/>
  </r>
  <r>
    <x v="1"/>
    <s v="Казань"/>
    <d v="2025-02-15T00:00:00"/>
    <x v="2"/>
    <s v="Чизкейк"/>
    <x v="0"/>
    <n v="1"/>
    <n v="263"/>
    <s v="Елена В."/>
    <s v="Алия Гайнутдинова"/>
  </r>
  <r>
    <x v="1"/>
    <s v="Казань"/>
    <d v="2025-08-23T00:00:00"/>
    <x v="9"/>
    <s v="Круассан"/>
    <x v="0"/>
    <n v="1"/>
    <n v="176"/>
    <s v="Максим П."/>
    <s v="Алия Гайнутдинова"/>
  </r>
  <r>
    <x v="1"/>
    <s v="Казань"/>
    <d v="2025-04-15T00:00:00"/>
    <x v="11"/>
    <s v="Американо"/>
    <x v="1"/>
    <n v="1"/>
    <n v="185"/>
    <s v="Виктор Л."/>
    <s v="Алия Гайнутдинова"/>
  </r>
  <r>
    <x v="1"/>
    <s v="Казань"/>
    <d v="2025-12-18T00:00:00"/>
    <x v="0"/>
    <s v="Сэндвич"/>
    <x v="2"/>
    <n v="1"/>
    <n v="332"/>
    <s v="Виктор Л."/>
    <s v="Алия Гайнутдинова"/>
  </r>
  <r>
    <x v="1"/>
    <s v="Казань"/>
    <d v="2025-08-20T00:00:00"/>
    <x v="9"/>
    <s v="Какао"/>
    <x v="1"/>
    <n v="2"/>
    <n v="444"/>
    <s v="Елена В."/>
    <s v="Алия Гайнутдинова"/>
  </r>
  <r>
    <x v="1"/>
    <s v="Казань"/>
    <d v="2025-08-07T00:00:00"/>
    <x v="9"/>
    <s v="Латте"/>
    <x v="1"/>
    <n v="1"/>
    <n v="245"/>
    <s v="Максим П."/>
    <s v="Алия Гайнутдинова"/>
  </r>
  <r>
    <x v="1"/>
    <s v="Казань"/>
    <d v="2025-12-22T00:00:00"/>
    <x v="0"/>
    <s v="Капучино"/>
    <x v="1"/>
    <n v="2"/>
    <n v="434"/>
    <s v="Виктор Л."/>
    <s v="Алия Гайнутдинова"/>
  </r>
  <r>
    <x v="1"/>
    <s v="Казань"/>
    <d v="2025-08-13T00:00:00"/>
    <x v="9"/>
    <s v="Раф"/>
    <x v="1"/>
    <n v="3"/>
    <n v="783"/>
    <s v="Максим П."/>
    <s v="Алия Гайнутдинова"/>
  </r>
  <r>
    <x v="1"/>
    <s v="Казань"/>
    <d v="2025-03-05T00:00:00"/>
    <x v="6"/>
    <s v="Латте"/>
    <x v="1"/>
    <n v="1"/>
    <n v="247"/>
    <s v="Игорь С."/>
    <s v="Алия Гайнутдинова"/>
  </r>
  <r>
    <x v="1"/>
    <s v="Казань"/>
    <d v="2025-05-21T00:00:00"/>
    <x v="10"/>
    <s v="Раф"/>
    <x v="1"/>
    <n v="1"/>
    <n v="263"/>
    <s v="Анна К."/>
    <s v="Алия Гайнутдинова"/>
  </r>
  <r>
    <x v="1"/>
    <s v="Казань"/>
    <d v="2025-11-18T00:00:00"/>
    <x v="8"/>
    <s v="Капучино"/>
    <x v="1"/>
    <n v="1"/>
    <n v="209"/>
    <s v="Игорь С."/>
    <s v="Алия Гайнутдинова"/>
  </r>
  <r>
    <x v="1"/>
    <s v="Казань"/>
    <d v="2025-12-27T00:00:00"/>
    <x v="0"/>
    <s v="Сэндвич"/>
    <x v="2"/>
    <n v="1"/>
    <n v="325"/>
    <s v="Игорь С."/>
    <s v="Алия Гайнутдинова"/>
  </r>
  <r>
    <x v="1"/>
    <s v="Казань"/>
    <d v="2025-02-15T00:00:00"/>
    <x v="2"/>
    <s v="Сэндвич"/>
    <x v="2"/>
    <n v="2"/>
    <n v="660"/>
    <s v="Виктор Л."/>
    <s v="Алия Гайнутдинова"/>
  </r>
  <r>
    <x v="1"/>
    <s v="Казань"/>
    <d v="2025-03-16T00:00:00"/>
    <x v="6"/>
    <s v="Синнабон"/>
    <x v="0"/>
    <n v="1"/>
    <n v="230"/>
    <s v="Наталья Р."/>
    <s v="Алия Гайнутдинова"/>
  </r>
  <r>
    <x v="1"/>
    <s v="Казань"/>
    <d v="2025-02-18T00:00:00"/>
    <x v="2"/>
    <s v="Синнабон"/>
    <x v="0"/>
    <n v="1"/>
    <n v="206"/>
    <s v="Анна К."/>
    <s v="Алия Гайнутдинова"/>
  </r>
  <r>
    <x v="1"/>
    <s v="Казань"/>
    <d v="2025-12-15T00:00:00"/>
    <x v="0"/>
    <s v="Раф"/>
    <x v="1"/>
    <n v="2"/>
    <n v="512"/>
    <s v="Анна К."/>
    <s v="Алия Гайнутдинова"/>
  </r>
  <r>
    <x v="1"/>
    <s v="Казань"/>
    <d v="2025-05-23T00:00:00"/>
    <x v="10"/>
    <s v="Круассан"/>
    <x v="0"/>
    <n v="1"/>
    <n v="179"/>
    <s v="Елена В."/>
    <s v="Алия Гайнутдинова"/>
  </r>
  <r>
    <x v="1"/>
    <s v="Казань"/>
    <d v="2025-09-14T00:00:00"/>
    <x v="1"/>
    <s v="Чизкейк"/>
    <x v="0"/>
    <n v="2"/>
    <n v="462"/>
    <s v="Анна К."/>
    <s v="Алия Гайнутдинова"/>
  </r>
  <r>
    <x v="1"/>
    <s v="Казань"/>
    <d v="2025-05-01T00:00:00"/>
    <x v="10"/>
    <s v="Синнабон"/>
    <x v="0"/>
    <n v="2"/>
    <n v="380"/>
    <s v="Игорь С."/>
    <s v="Алия Гайнутдинова"/>
  </r>
  <r>
    <x v="1"/>
    <s v="Казань"/>
    <d v="2025-06-17T00:00:00"/>
    <x v="7"/>
    <s v="Круассан"/>
    <x v="0"/>
    <n v="2"/>
    <n v="340"/>
    <s v="Анна К."/>
    <s v="Алия Гайнутдинова"/>
  </r>
  <r>
    <x v="1"/>
    <s v="Казань"/>
    <d v="2025-03-16T00:00:00"/>
    <x v="6"/>
    <s v="Чизкейк"/>
    <x v="0"/>
    <n v="3"/>
    <n v="717"/>
    <s v="Наталья Р."/>
    <s v="Алия Гайнутдинова"/>
  </r>
  <r>
    <x v="1"/>
    <s v="Казань"/>
    <d v="2025-12-27T00:00:00"/>
    <x v="0"/>
    <s v="Капучино"/>
    <x v="1"/>
    <n v="1"/>
    <n v="212"/>
    <s v="Наталья Р."/>
    <s v="Алия Гайнутдинова"/>
  </r>
  <r>
    <x v="1"/>
    <s v="Казань"/>
    <d v="2025-01-06T00:00:00"/>
    <x v="4"/>
    <s v="Синнабон"/>
    <x v="0"/>
    <n v="2"/>
    <n v="418"/>
    <s v="Наталья Р."/>
    <s v="Алия Гайнутдинова"/>
  </r>
  <r>
    <x v="1"/>
    <s v="Казань"/>
    <d v="2025-05-12T00:00:00"/>
    <x v="10"/>
    <s v="Американо"/>
    <x v="1"/>
    <n v="2"/>
    <n v="326"/>
    <s v="Игорь С."/>
    <s v="Алия Гайнутдинова"/>
  </r>
  <r>
    <x v="1"/>
    <s v="Казань"/>
    <d v="2025-09-11T00:00:00"/>
    <x v="1"/>
    <s v="Американо"/>
    <x v="1"/>
    <n v="1"/>
    <n v="152"/>
    <s v="Анна К."/>
    <s v="Алия Гайнутдинова"/>
  </r>
  <r>
    <x v="1"/>
    <s v="Казань"/>
    <d v="2025-11-03T00:00:00"/>
    <x v="8"/>
    <s v="Салат Цезарь"/>
    <x v="2"/>
    <n v="1"/>
    <n v="417"/>
    <s v="Максим П."/>
    <s v="Алия Гайнутдинова"/>
  </r>
  <r>
    <x v="1"/>
    <s v="Казань"/>
    <d v="2025-12-26T00:00:00"/>
    <x v="0"/>
    <s v="Какао"/>
    <x v="1"/>
    <n v="1"/>
    <n v="244"/>
    <s v="Виктор Л."/>
    <s v="Алия Гайнутдинова"/>
  </r>
  <r>
    <x v="1"/>
    <s v="Казань"/>
    <d v="2025-09-21T00:00:00"/>
    <x v="1"/>
    <s v="Круассан"/>
    <x v="0"/>
    <n v="3"/>
    <n v="522"/>
    <s v="Виктор Л."/>
    <s v="Алия Гайнутдинова"/>
  </r>
  <r>
    <x v="1"/>
    <s v="Казань"/>
    <d v="2025-09-02T00:00:00"/>
    <x v="1"/>
    <s v="Какао"/>
    <x v="1"/>
    <n v="1"/>
    <n v="226"/>
    <s v="Игорь С."/>
    <s v="Алия Гайнутдинова"/>
  </r>
  <r>
    <x v="1"/>
    <s v="Казань"/>
    <d v="2025-01-21T00:00:00"/>
    <x v="4"/>
    <s v="Американо"/>
    <x v="1"/>
    <n v="1"/>
    <n v="149"/>
    <s v="Анна К."/>
    <s v="Алия Гайнутдинова"/>
  </r>
  <r>
    <x v="1"/>
    <s v="Казань"/>
    <d v="2025-12-07T00:00:00"/>
    <x v="0"/>
    <s v="Латте"/>
    <x v="1"/>
    <n v="2"/>
    <n v="446"/>
    <s v="Игорь С."/>
    <s v="Алия Гайнутдинова"/>
  </r>
  <r>
    <x v="1"/>
    <s v="Казань"/>
    <d v="2025-11-16T00:00:00"/>
    <x v="8"/>
    <s v="Салат Цезарь"/>
    <x v="2"/>
    <n v="1"/>
    <n v="393"/>
    <s v="Анна К."/>
    <s v="Алия Гайнутдинова"/>
  </r>
  <r>
    <x v="1"/>
    <s v="Казань"/>
    <d v="2025-03-02T00:00:00"/>
    <x v="6"/>
    <s v="Круассан"/>
    <x v="0"/>
    <n v="2"/>
    <n v="382"/>
    <s v="Игорь С."/>
    <s v="Алия Гайнутдинова"/>
  </r>
  <r>
    <x v="1"/>
    <s v="Казань"/>
    <d v="2025-09-06T00:00:00"/>
    <x v="1"/>
    <s v="Капучино"/>
    <x v="1"/>
    <n v="2"/>
    <n v="392"/>
    <s v="Виктор Л."/>
    <s v="Алия Гайнутдинова"/>
  </r>
  <r>
    <x v="1"/>
    <s v="Казань"/>
    <d v="2025-09-13T00:00:00"/>
    <x v="1"/>
    <s v="Капучино"/>
    <x v="1"/>
    <n v="1"/>
    <n v="190"/>
    <s v="Игорь С."/>
    <s v="Алия Гайнутдинова"/>
  </r>
  <r>
    <x v="1"/>
    <s v="Казань"/>
    <d v="2025-03-27T00:00:00"/>
    <x v="6"/>
    <s v="Круассан"/>
    <x v="0"/>
    <n v="2"/>
    <n v="340"/>
    <s v="Наталья Р."/>
    <s v="Алия Гайнутдинова"/>
  </r>
  <r>
    <x v="1"/>
    <s v="Казань"/>
    <d v="2025-10-23T00:00:00"/>
    <x v="3"/>
    <s v="Синнабон"/>
    <x v="0"/>
    <n v="1"/>
    <n v="225"/>
    <s v="Виктор Л."/>
    <s v="Алия Гайнутдинова"/>
  </r>
  <r>
    <x v="1"/>
    <s v="Казань"/>
    <d v="2025-07-19T00:00:00"/>
    <x v="5"/>
    <s v="Чизкейк"/>
    <x v="0"/>
    <n v="3"/>
    <n v="819"/>
    <s v="Наталья Р."/>
    <s v="Алия Гайнутдинова"/>
  </r>
  <r>
    <x v="1"/>
    <s v="Казань"/>
    <d v="2025-09-01T00:00:00"/>
    <x v="1"/>
    <s v="Какао"/>
    <x v="1"/>
    <n v="2"/>
    <n v="392"/>
    <s v="Игорь С."/>
    <s v="Алия Гайнутдинова"/>
  </r>
  <r>
    <x v="1"/>
    <s v="Казань"/>
    <d v="2025-03-23T00:00:00"/>
    <x v="6"/>
    <s v="Сэндвич"/>
    <x v="2"/>
    <n v="1"/>
    <n v="318"/>
    <s v="Игорь С."/>
    <s v="Алия Гайнутдинова"/>
  </r>
  <r>
    <x v="1"/>
    <s v="Казань"/>
    <d v="2025-02-13T00:00:00"/>
    <x v="2"/>
    <s v="Какао"/>
    <x v="1"/>
    <n v="3"/>
    <n v="720"/>
    <s v="Игорь С."/>
    <s v="Алия Гайнутдинова"/>
  </r>
  <r>
    <x v="1"/>
    <s v="Казань"/>
    <d v="2025-10-23T00:00:00"/>
    <x v="3"/>
    <s v="Какао"/>
    <x v="1"/>
    <n v="2"/>
    <n v="476"/>
    <s v="Наталья Р."/>
    <s v="Алия Гайнутдинова"/>
  </r>
  <r>
    <x v="1"/>
    <s v="Казань"/>
    <d v="2025-05-02T00:00:00"/>
    <x v="10"/>
    <s v="Раф"/>
    <x v="1"/>
    <n v="1"/>
    <n v="267"/>
    <s v="Максим П."/>
    <s v="Алия Гайнутдинова"/>
  </r>
  <r>
    <x v="1"/>
    <s v="Казань"/>
    <d v="2025-09-28T00:00:00"/>
    <x v="1"/>
    <s v="Синнабон"/>
    <x v="0"/>
    <n v="1"/>
    <n v="206"/>
    <s v="Максим П."/>
    <s v="Алия Гайнутдинова"/>
  </r>
  <r>
    <x v="1"/>
    <s v="Казань"/>
    <d v="2025-01-14T00:00:00"/>
    <x v="4"/>
    <s v="Салат Цезарь"/>
    <x v="2"/>
    <n v="2"/>
    <n v="838"/>
    <s v="Максим П."/>
    <s v="Алия Гайнутдинова"/>
  </r>
  <r>
    <x v="1"/>
    <s v="Казань"/>
    <d v="2025-09-16T00:00:00"/>
    <x v="1"/>
    <s v="Капучино"/>
    <x v="1"/>
    <n v="1"/>
    <n v="221"/>
    <s v="Игорь С."/>
    <s v="Алия Гайнутдинова"/>
  </r>
  <r>
    <x v="1"/>
    <s v="Казань"/>
    <d v="2025-10-15T00:00:00"/>
    <x v="3"/>
    <s v="Американо"/>
    <x v="1"/>
    <n v="1"/>
    <n v="157"/>
    <s v="Игорь С."/>
    <s v="Алия Гайнутдинова"/>
  </r>
  <r>
    <x v="1"/>
    <s v="Казань"/>
    <d v="2025-02-15T00:00:00"/>
    <x v="2"/>
    <s v="Эспрессо"/>
    <x v="1"/>
    <n v="2"/>
    <n v="252"/>
    <s v="Виктор Л."/>
    <s v="Алия Гайнутдинова"/>
  </r>
  <r>
    <x v="1"/>
    <s v="Казань"/>
    <d v="2025-01-19T00:00:00"/>
    <x v="4"/>
    <s v="Американо"/>
    <x v="1"/>
    <n v="3"/>
    <n v="489"/>
    <s v="Максим П."/>
    <s v="Алия Гайнутдинова"/>
  </r>
  <r>
    <x v="1"/>
    <s v="Казань"/>
    <d v="2025-04-06T00:00:00"/>
    <x v="11"/>
    <s v="Салат Цезарь"/>
    <x v="2"/>
    <n v="2"/>
    <n v="742"/>
    <s v="Максим П."/>
    <s v="Алия Гайнутдинова"/>
  </r>
  <r>
    <x v="1"/>
    <s v="Казань"/>
    <d v="2025-03-20T00:00:00"/>
    <x v="6"/>
    <s v="Латте"/>
    <x v="1"/>
    <n v="1"/>
    <n v="231"/>
    <s v="Наталья Р."/>
    <s v="Алия Гайнутдинова"/>
  </r>
  <r>
    <x v="1"/>
    <s v="Казань"/>
    <d v="2025-08-03T00:00:00"/>
    <x v="9"/>
    <s v="Какао"/>
    <x v="1"/>
    <n v="1"/>
    <n v="214"/>
    <s v="Максим П."/>
    <s v="Алия Гайнутдинова"/>
  </r>
  <r>
    <x v="1"/>
    <s v="Казань"/>
    <d v="2025-10-17T00:00:00"/>
    <x v="3"/>
    <s v="Капучино"/>
    <x v="1"/>
    <n v="3"/>
    <n v="693"/>
    <s v="Анна К."/>
    <s v="Алия Гайнутдинова"/>
  </r>
  <r>
    <x v="1"/>
    <s v="Казань"/>
    <d v="2025-11-25T00:00:00"/>
    <x v="8"/>
    <s v="Синнабон"/>
    <x v="0"/>
    <n v="2"/>
    <n v="436"/>
    <s v="Игорь С."/>
    <s v="Алия Гайнутдинова"/>
  </r>
  <r>
    <x v="1"/>
    <s v="Казань"/>
    <d v="2025-02-23T00:00:00"/>
    <x v="2"/>
    <s v="Круассан"/>
    <x v="0"/>
    <n v="3"/>
    <n v="525"/>
    <s v="Наталья Р."/>
    <s v="Алия Гайнутдинова"/>
  </r>
  <r>
    <x v="1"/>
    <s v="Казань"/>
    <d v="2025-10-06T00:00:00"/>
    <x v="3"/>
    <s v="Сэндвич"/>
    <x v="2"/>
    <n v="2"/>
    <n v="592"/>
    <s v="Максим П."/>
    <s v="Алия Гайнутдинова"/>
  </r>
  <r>
    <x v="1"/>
    <s v="Казань"/>
    <d v="2025-07-23T00:00:00"/>
    <x v="5"/>
    <s v="Круассан"/>
    <x v="0"/>
    <n v="2"/>
    <n v="366"/>
    <s v="Анна К."/>
    <s v="Алия Гайнутдинова"/>
  </r>
  <r>
    <x v="1"/>
    <s v="Казань"/>
    <d v="2025-05-12T00:00:00"/>
    <x v="10"/>
    <s v="Матча латте"/>
    <x v="1"/>
    <n v="1"/>
    <n v="263"/>
    <s v="Игорь С."/>
    <s v="Алия Гайнутдинова"/>
  </r>
  <r>
    <x v="1"/>
    <s v="Казань"/>
    <d v="2025-11-04T00:00:00"/>
    <x v="8"/>
    <s v="Круассан"/>
    <x v="0"/>
    <n v="2"/>
    <n v="322"/>
    <s v="Виктор Л."/>
    <s v="Алия Гайнутдинова"/>
  </r>
  <r>
    <x v="1"/>
    <s v="Казань"/>
    <d v="2025-12-20T00:00:00"/>
    <x v="0"/>
    <s v="Круассан"/>
    <x v="0"/>
    <n v="2"/>
    <n v="398"/>
    <s v="Анна К."/>
    <s v="Алия Гайнутдинова"/>
  </r>
  <r>
    <x v="1"/>
    <s v="Казань"/>
    <d v="2025-01-02T00:00:00"/>
    <x v="4"/>
    <s v="Латте"/>
    <x v="1"/>
    <n v="1"/>
    <n v="250"/>
    <s v="Максим П."/>
    <s v="Алия Гайнутдинова"/>
  </r>
  <r>
    <x v="1"/>
    <s v="Казань"/>
    <d v="2025-09-20T00:00:00"/>
    <x v="1"/>
    <s v="Американо"/>
    <x v="1"/>
    <n v="1"/>
    <n v="192"/>
    <s v="Елена В."/>
    <s v="Алия Гайнутдинова"/>
  </r>
  <r>
    <x v="1"/>
    <s v="Казань"/>
    <d v="2025-01-17T00:00:00"/>
    <x v="4"/>
    <s v="Матча латте"/>
    <x v="1"/>
    <n v="2"/>
    <n v="522"/>
    <s v="Анна К."/>
    <s v="Алия Гайнутдинова"/>
  </r>
  <r>
    <x v="1"/>
    <s v="Казань"/>
    <d v="2025-05-04T00:00:00"/>
    <x v="10"/>
    <s v="Какао"/>
    <x v="1"/>
    <n v="2"/>
    <n v="398"/>
    <s v="Максим П."/>
    <s v="Алия Гайнутдинова"/>
  </r>
  <r>
    <x v="1"/>
    <s v="Казань"/>
    <d v="2025-06-04T00:00:00"/>
    <x v="7"/>
    <s v="Капучино"/>
    <x v="1"/>
    <n v="2"/>
    <n v="472"/>
    <s v="Игорь С."/>
    <s v="Алия Гайнутдинова"/>
  </r>
  <r>
    <x v="1"/>
    <s v="Казань"/>
    <d v="2025-03-07T00:00:00"/>
    <x v="6"/>
    <s v="Американо"/>
    <x v="1"/>
    <n v="2"/>
    <n v="382"/>
    <s v="Виктор Л."/>
    <s v="Алия Гайнутдинова"/>
  </r>
  <r>
    <x v="1"/>
    <s v="Казань"/>
    <d v="2025-12-22T00:00:00"/>
    <x v="0"/>
    <s v="Американо"/>
    <x v="1"/>
    <n v="2"/>
    <n v="314"/>
    <s v="Виктор Л."/>
    <s v="Алия Гайнутдинова"/>
  </r>
  <r>
    <x v="1"/>
    <s v="Казань"/>
    <d v="2025-03-27T00:00:00"/>
    <x v="6"/>
    <s v="Капучино"/>
    <x v="1"/>
    <n v="2"/>
    <n v="448"/>
    <s v="Игорь С."/>
    <s v="Алия Гайнутдинова"/>
  </r>
  <r>
    <x v="1"/>
    <s v="Казань"/>
    <d v="2025-12-24T00:00:00"/>
    <x v="0"/>
    <s v="Матча латте"/>
    <x v="1"/>
    <n v="2"/>
    <n v="612"/>
    <s v="Наталья Р."/>
    <s v="Алия Гайнутдинова"/>
  </r>
  <r>
    <x v="1"/>
    <s v="Казань"/>
    <d v="2025-07-11T00:00:00"/>
    <x v="5"/>
    <s v="Круассан"/>
    <x v="0"/>
    <n v="1"/>
    <n v="173"/>
    <s v="Игорь С."/>
    <s v="Алия Гайнутдинова"/>
  </r>
  <r>
    <x v="1"/>
    <s v="Казань"/>
    <d v="2025-01-03T00:00:00"/>
    <x v="4"/>
    <s v="Американо"/>
    <x v="1"/>
    <n v="3"/>
    <n v="561"/>
    <s v="Виктор Л."/>
    <s v="Алия Гайнутдинова"/>
  </r>
  <r>
    <x v="1"/>
    <s v="Казань"/>
    <d v="2025-02-05T00:00:00"/>
    <x v="2"/>
    <s v="Круассан"/>
    <x v="0"/>
    <n v="1"/>
    <n v="191"/>
    <s v="Виктор Л."/>
    <s v="Алия Гайнутдинова"/>
  </r>
  <r>
    <x v="1"/>
    <s v="Казань"/>
    <d v="2025-02-03T00:00:00"/>
    <x v="2"/>
    <s v="Раф"/>
    <x v="1"/>
    <n v="1"/>
    <n v="279"/>
    <s v="Елена В."/>
    <s v="Алия Гайнутдинова"/>
  </r>
  <r>
    <x v="1"/>
    <s v="Казань"/>
    <d v="2025-01-10T00:00:00"/>
    <x v="4"/>
    <s v="Матча латте"/>
    <x v="1"/>
    <n v="1"/>
    <n v="269"/>
    <s v="Елена В."/>
    <s v="Алия Гайнутдинова"/>
  </r>
  <r>
    <x v="1"/>
    <s v="Казань"/>
    <d v="2025-11-10T00:00:00"/>
    <x v="8"/>
    <s v="Синнабон"/>
    <x v="0"/>
    <n v="2"/>
    <n v="376"/>
    <s v="Елена В."/>
    <s v="Алия Гайнутдинова"/>
  </r>
  <r>
    <x v="1"/>
    <s v="Казань"/>
    <d v="2025-11-16T00:00:00"/>
    <x v="8"/>
    <s v="Латте"/>
    <x v="1"/>
    <n v="1"/>
    <n v="226"/>
    <s v="Наталья Р."/>
    <s v="Алия Гайнутдинова"/>
  </r>
  <r>
    <x v="1"/>
    <s v="Казань"/>
    <d v="2025-02-20T00:00:00"/>
    <x v="2"/>
    <s v="Синнабон"/>
    <x v="0"/>
    <n v="1"/>
    <n v="188"/>
    <s v="Виктор Л."/>
    <s v="Алия Гайнутдинова"/>
  </r>
  <r>
    <x v="1"/>
    <s v="Казань"/>
    <d v="2025-01-28T00:00:00"/>
    <x v="4"/>
    <s v="Американо"/>
    <x v="1"/>
    <n v="3"/>
    <n v="513"/>
    <s v="Игорь С."/>
    <s v="Алия Гайнутдинова"/>
  </r>
  <r>
    <x v="1"/>
    <s v="Казань"/>
    <d v="2025-02-01T00:00:00"/>
    <x v="2"/>
    <s v="Сэндвич"/>
    <x v="2"/>
    <n v="1"/>
    <n v="288"/>
    <s v="Игорь С."/>
    <s v="Алия Гайнутдинова"/>
  </r>
  <r>
    <x v="1"/>
    <s v="Казань"/>
    <d v="2025-01-13T00:00:00"/>
    <x v="4"/>
    <s v="Эспрессо"/>
    <x v="1"/>
    <n v="2"/>
    <n v="314"/>
    <s v="Виктор Л."/>
    <s v="Алия Гайнутдинова"/>
  </r>
  <r>
    <x v="1"/>
    <s v="Казань"/>
    <d v="2025-04-27T00:00:00"/>
    <x v="11"/>
    <s v="Эспрессо"/>
    <x v="1"/>
    <n v="2"/>
    <n v="300"/>
    <s v="Игорь С."/>
    <s v="Алия Гайнутдинова"/>
  </r>
  <r>
    <x v="1"/>
    <s v="Казань"/>
    <d v="2025-10-26T00:00:00"/>
    <x v="3"/>
    <s v="Салат Цезарь"/>
    <x v="2"/>
    <n v="1"/>
    <n v="391"/>
    <s v="Игорь С."/>
    <s v="Алия Гайнутдинова"/>
  </r>
  <r>
    <x v="1"/>
    <s v="Казань"/>
    <d v="2025-09-15T00:00:00"/>
    <x v="1"/>
    <s v="Салат Цезарь"/>
    <x v="2"/>
    <n v="2"/>
    <n v="794"/>
    <s v="Игорь С."/>
    <s v="Алия Гайнутдинова"/>
  </r>
  <r>
    <x v="1"/>
    <s v="Казань"/>
    <d v="2025-01-06T00:00:00"/>
    <x v="4"/>
    <s v="Какао"/>
    <x v="1"/>
    <n v="1"/>
    <n v="209"/>
    <s v="Игорь С."/>
    <s v="Алия Гайнутдинова"/>
  </r>
  <r>
    <x v="1"/>
    <s v="Казань"/>
    <d v="2025-06-12T00:00:00"/>
    <x v="7"/>
    <s v="Салат Цезарь"/>
    <x v="2"/>
    <n v="1"/>
    <n v="409"/>
    <s v="Елена В."/>
    <s v="Алия Гайнутдинова"/>
  </r>
  <r>
    <x v="1"/>
    <s v="Казань"/>
    <d v="2025-11-25T00:00:00"/>
    <x v="8"/>
    <s v="Салат Цезарь"/>
    <x v="2"/>
    <n v="2"/>
    <n v="702"/>
    <s v="Максим П."/>
    <s v="Алия Гайнутдинова"/>
  </r>
  <r>
    <x v="1"/>
    <s v="Казань"/>
    <d v="2025-05-11T00:00:00"/>
    <x v="10"/>
    <s v="Синнабон"/>
    <x v="0"/>
    <n v="3"/>
    <n v="639"/>
    <s v="Виктор Л."/>
    <s v="Алия Гайнутдинова"/>
  </r>
  <r>
    <x v="1"/>
    <s v="Казань"/>
    <d v="2025-06-28T00:00:00"/>
    <x v="7"/>
    <s v="Американо"/>
    <x v="1"/>
    <n v="2"/>
    <n v="374"/>
    <s v="Елена В."/>
    <s v="Алия Гайнутдинова"/>
  </r>
  <r>
    <x v="1"/>
    <s v="Казань"/>
    <d v="2025-01-18T00:00:00"/>
    <x v="4"/>
    <s v="Эспрессо"/>
    <x v="1"/>
    <n v="2"/>
    <n v="270"/>
    <s v="Максим П."/>
    <s v="Алия Гайнутдинова"/>
  </r>
  <r>
    <x v="1"/>
    <s v="Казань"/>
    <d v="2025-07-22T00:00:00"/>
    <x v="5"/>
    <s v="Чизкейк"/>
    <x v="0"/>
    <n v="1"/>
    <n v="247"/>
    <s v="Наталья Р."/>
    <s v="Алия Гайнутдинова"/>
  </r>
  <r>
    <x v="1"/>
    <s v="Казань"/>
    <d v="2025-03-25T00:00:00"/>
    <x v="6"/>
    <s v="Какао"/>
    <x v="1"/>
    <n v="2"/>
    <n v="482"/>
    <s v="Анна К."/>
    <s v="Алия Гайнутдинова"/>
  </r>
  <r>
    <x v="1"/>
    <s v="Казань"/>
    <d v="2025-09-15T00:00:00"/>
    <x v="1"/>
    <s v="Латте"/>
    <x v="1"/>
    <n v="3"/>
    <n v="726"/>
    <s v="Максим П."/>
    <s v="Алия Гайнутдинова"/>
  </r>
  <r>
    <x v="1"/>
    <s v="Казань"/>
    <d v="2025-12-08T00:00:00"/>
    <x v="0"/>
    <s v="Синнабон"/>
    <x v="0"/>
    <n v="1"/>
    <n v="232"/>
    <s v="Виктор Л."/>
    <s v="Алия Гайнутдинова"/>
  </r>
  <r>
    <x v="1"/>
    <s v="Казань"/>
    <d v="2025-07-26T00:00:00"/>
    <x v="5"/>
    <s v="Какао"/>
    <x v="1"/>
    <n v="1"/>
    <n v="217"/>
    <s v="Анна К."/>
    <s v="Алия Гайнутдинова"/>
  </r>
  <r>
    <x v="1"/>
    <s v="Казань"/>
    <d v="2025-07-21T00:00:00"/>
    <x v="5"/>
    <s v="Какао"/>
    <x v="1"/>
    <n v="1"/>
    <n v="213"/>
    <s v="Максим П."/>
    <s v="Алия Гайнутдинова"/>
  </r>
  <r>
    <x v="1"/>
    <s v="Казань"/>
    <d v="2025-04-02T00:00:00"/>
    <x v="11"/>
    <s v="Чизкейк"/>
    <x v="0"/>
    <n v="3"/>
    <n v="729"/>
    <s v="Анна К."/>
    <s v="Алия Гайнутдинова"/>
  </r>
  <r>
    <x v="1"/>
    <s v="Казань"/>
    <d v="2025-02-25T00:00:00"/>
    <x v="2"/>
    <s v="Раф"/>
    <x v="1"/>
    <n v="2"/>
    <n v="554"/>
    <s v="Наталья Р."/>
    <s v="Алия Гайнутдинова"/>
  </r>
  <r>
    <x v="1"/>
    <s v="Казань"/>
    <d v="2025-07-22T00:00:00"/>
    <x v="5"/>
    <s v="Чизкейк"/>
    <x v="0"/>
    <n v="2"/>
    <n v="500"/>
    <s v="Максим П."/>
    <s v="Алия Гайнутдинова"/>
  </r>
  <r>
    <x v="1"/>
    <s v="Казань"/>
    <d v="2025-01-18T00:00:00"/>
    <x v="4"/>
    <s v="Эспрессо"/>
    <x v="1"/>
    <n v="2"/>
    <n v="284"/>
    <s v="Елена В."/>
    <s v="Алия Гайнутдинова"/>
  </r>
  <r>
    <x v="1"/>
    <s v="Казань"/>
    <d v="2025-12-26T00:00:00"/>
    <x v="0"/>
    <s v="Матча латте"/>
    <x v="1"/>
    <n v="3"/>
    <n v="759"/>
    <s v="Максим П."/>
    <s v="Алия Гайнутдинова"/>
  </r>
  <r>
    <x v="1"/>
    <s v="Казань"/>
    <d v="2025-01-04T00:00:00"/>
    <x v="4"/>
    <s v="Матча латте"/>
    <x v="1"/>
    <n v="2"/>
    <n v="500"/>
    <s v="Наталья Р."/>
    <s v="Алия Гайнутдинова"/>
  </r>
  <r>
    <x v="1"/>
    <s v="Казань"/>
    <d v="2025-08-26T00:00:00"/>
    <x v="9"/>
    <s v="Синнабон"/>
    <x v="0"/>
    <n v="3"/>
    <n v="633"/>
    <s v="Елена В."/>
    <s v="Алия Гайнутдинова"/>
  </r>
  <r>
    <x v="1"/>
    <s v="Казань"/>
    <d v="2025-04-23T00:00:00"/>
    <x v="11"/>
    <s v="Сэндвич"/>
    <x v="2"/>
    <n v="1"/>
    <n v="329"/>
    <s v="Елена В."/>
    <s v="Алия Гайнутдинова"/>
  </r>
  <r>
    <x v="1"/>
    <s v="Казань"/>
    <d v="2025-08-20T00:00:00"/>
    <x v="9"/>
    <s v="Капучино"/>
    <x v="1"/>
    <n v="1"/>
    <n v="212"/>
    <s v="Игорь С."/>
    <s v="Алия Гайнутдинова"/>
  </r>
  <r>
    <x v="1"/>
    <s v="Казань"/>
    <d v="2025-06-22T00:00:00"/>
    <x v="7"/>
    <s v="Круассан"/>
    <x v="0"/>
    <n v="1"/>
    <n v="196"/>
    <s v="Игорь С."/>
    <s v="Алия Гайнутдинова"/>
  </r>
  <r>
    <x v="1"/>
    <s v="Казань"/>
    <d v="2025-09-02T00:00:00"/>
    <x v="1"/>
    <s v="Капучино"/>
    <x v="1"/>
    <n v="1"/>
    <n v="189"/>
    <s v="Максим П."/>
    <s v="Алия Гайнутдинова"/>
  </r>
  <r>
    <x v="1"/>
    <s v="Казань"/>
    <d v="2025-10-22T00:00:00"/>
    <x v="3"/>
    <s v="Матча латте"/>
    <x v="1"/>
    <n v="1"/>
    <n v="290"/>
    <s v="Максим П."/>
    <s v="Алия Гайнутдинова"/>
  </r>
  <r>
    <x v="1"/>
    <s v="Казань"/>
    <d v="2025-05-19T00:00:00"/>
    <x v="10"/>
    <s v="Капучино"/>
    <x v="1"/>
    <n v="1"/>
    <n v="233"/>
    <s v="Елена В."/>
    <s v="Алия Гайнутдинова"/>
  </r>
  <r>
    <x v="1"/>
    <s v="Казань"/>
    <d v="2025-03-02T00:00:00"/>
    <x v="6"/>
    <s v="Капучино"/>
    <x v="1"/>
    <n v="1"/>
    <n v="201"/>
    <s v="Елена В."/>
    <s v="Алия Гайнутдинова"/>
  </r>
  <r>
    <x v="1"/>
    <s v="Казань"/>
    <d v="2025-04-07T00:00:00"/>
    <x v="11"/>
    <s v="Салат Цезарь"/>
    <x v="2"/>
    <n v="2"/>
    <n v="848"/>
    <s v="Виктор Л."/>
    <s v="Алия Гайнутдинова"/>
  </r>
  <r>
    <x v="1"/>
    <s v="Казань"/>
    <d v="2025-04-05T00:00:00"/>
    <x v="11"/>
    <s v="Салат Цезарь"/>
    <x v="2"/>
    <n v="1"/>
    <n v="398"/>
    <s v="Максим П."/>
    <s v="Алия Гайнутдинова"/>
  </r>
  <r>
    <x v="1"/>
    <s v="Казань"/>
    <d v="2025-11-24T00:00:00"/>
    <x v="8"/>
    <s v="Салат Цезарь"/>
    <x v="2"/>
    <n v="2"/>
    <n v="802"/>
    <s v="Максим П."/>
    <s v="Алия Гайнутдинова"/>
  </r>
  <r>
    <x v="1"/>
    <s v="Казань"/>
    <d v="2025-08-05T00:00:00"/>
    <x v="9"/>
    <s v="Какао"/>
    <x v="1"/>
    <n v="3"/>
    <n v="654"/>
    <s v="Наталья Р."/>
    <s v="Алия Гайнутдинова"/>
  </r>
  <r>
    <x v="1"/>
    <s v="Казань"/>
    <d v="2025-10-03T00:00:00"/>
    <x v="3"/>
    <s v="Чизкейк"/>
    <x v="0"/>
    <n v="1"/>
    <n v="271"/>
    <s v="Елена В."/>
    <s v="Алия Гайнутдинова"/>
  </r>
  <r>
    <x v="1"/>
    <s v="Казань"/>
    <d v="2025-02-10T00:00:00"/>
    <x v="2"/>
    <s v="Какао"/>
    <x v="1"/>
    <n v="1"/>
    <n v="213"/>
    <s v="Максим П."/>
    <s v="Алия Гайнутдинова"/>
  </r>
  <r>
    <x v="1"/>
    <s v="Казань"/>
    <d v="2025-07-09T00:00:00"/>
    <x v="5"/>
    <s v="Эспрессо"/>
    <x v="1"/>
    <n v="2"/>
    <n v="290"/>
    <s v="Наталья Р."/>
    <s v="Алия Гайнутдинова"/>
  </r>
  <r>
    <x v="1"/>
    <s v="Казань"/>
    <d v="2025-02-06T00:00:00"/>
    <x v="2"/>
    <s v="Салат Цезарь"/>
    <x v="2"/>
    <n v="1"/>
    <n v="412"/>
    <s v="Наталья Р."/>
    <s v="Алия Гайнутдинова"/>
  </r>
  <r>
    <x v="1"/>
    <s v="Казань"/>
    <d v="2025-10-23T00:00:00"/>
    <x v="3"/>
    <s v="Синнабон"/>
    <x v="0"/>
    <n v="1"/>
    <n v="203"/>
    <s v="Виктор Л."/>
    <s v="Алия Гайнутдинова"/>
  </r>
  <r>
    <x v="1"/>
    <s v="Казань"/>
    <d v="2025-01-20T00:00:00"/>
    <x v="4"/>
    <s v="Раф"/>
    <x v="1"/>
    <n v="1"/>
    <n v="230"/>
    <s v="Наталья Р."/>
    <s v="Алия Гайнутдинова"/>
  </r>
  <r>
    <x v="1"/>
    <s v="Казань"/>
    <d v="2025-07-16T00:00:00"/>
    <x v="5"/>
    <s v="Раф"/>
    <x v="1"/>
    <n v="1"/>
    <n v="274"/>
    <s v="Наталья Р."/>
    <s v="Алия Гайнутдинова"/>
  </r>
  <r>
    <x v="1"/>
    <s v="Казань"/>
    <d v="2025-09-23T00:00:00"/>
    <x v="1"/>
    <s v="Синнабон"/>
    <x v="0"/>
    <n v="2"/>
    <n v="416"/>
    <s v="Виктор Л."/>
    <s v="Алия Гайнутдинова"/>
  </r>
  <r>
    <x v="1"/>
    <s v="Казань"/>
    <d v="2025-12-25T00:00:00"/>
    <x v="0"/>
    <s v="Синнабон"/>
    <x v="0"/>
    <n v="2"/>
    <n v="426"/>
    <s v="Анна К."/>
    <s v="Алия Гайнутдинова"/>
  </r>
  <r>
    <x v="1"/>
    <s v="Казань"/>
    <d v="2025-08-21T00:00:00"/>
    <x v="9"/>
    <s v="Чизкейк"/>
    <x v="0"/>
    <n v="3"/>
    <n v="777"/>
    <s v="Максим П."/>
    <s v="Алия Гайнутдинова"/>
  </r>
  <r>
    <x v="1"/>
    <s v="Казань"/>
    <d v="2025-05-10T00:00:00"/>
    <x v="10"/>
    <s v="Эспрессо"/>
    <x v="1"/>
    <n v="1"/>
    <n v="144"/>
    <s v="Наталья Р."/>
    <s v="Алия Гайнутдинова"/>
  </r>
  <r>
    <x v="1"/>
    <s v="Казань"/>
    <d v="2025-12-04T00:00:00"/>
    <x v="0"/>
    <s v="Чизкейк"/>
    <x v="0"/>
    <n v="2"/>
    <n v="526"/>
    <s v="Максим П."/>
    <s v="Алия Гайнутдинова"/>
  </r>
  <r>
    <x v="1"/>
    <s v="Казань"/>
    <d v="2025-11-03T00:00:00"/>
    <x v="8"/>
    <s v="Американо"/>
    <x v="1"/>
    <n v="1"/>
    <n v="194"/>
    <s v="Максим П."/>
    <s v="Алия Гайнутдинова"/>
  </r>
  <r>
    <x v="1"/>
    <s v="Казань"/>
    <d v="2025-04-03T00:00:00"/>
    <x v="11"/>
    <s v="Круассан"/>
    <x v="0"/>
    <n v="2"/>
    <n v="350"/>
    <s v="Наталья Р."/>
    <s v="Алия Гайнутдинова"/>
  </r>
  <r>
    <x v="1"/>
    <s v="Казань"/>
    <d v="2025-10-20T00:00:00"/>
    <x v="3"/>
    <s v="Круассан"/>
    <x v="0"/>
    <n v="1"/>
    <n v="191"/>
    <s v="Виктор Л."/>
    <s v="Алия Гайнутдинова"/>
  </r>
  <r>
    <x v="1"/>
    <s v="Казань"/>
    <d v="2025-04-17T00:00:00"/>
    <x v="11"/>
    <s v="Матча латте"/>
    <x v="1"/>
    <n v="1"/>
    <n v="279"/>
    <s v="Виктор Л."/>
    <s v="Алия Гайнутдинова"/>
  </r>
  <r>
    <x v="1"/>
    <s v="Казань"/>
    <d v="2025-05-23T00:00:00"/>
    <x v="10"/>
    <s v="Американо"/>
    <x v="1"/>
    <n v="3"/>
    <n v="462"/>
    <s v="Максим П."/>
    <s v="Алия Гайнутдинова"/>
  </r>
  <r>
    <x v="1"/>
    <s v="Казань"/>
    <d v="2025-09-24T00:00:00"/>
    <x v="1"/>
    <s v="Сэндвич"/>
    <x v="2"/>
    <n v="3"/>
    <n v="1071"/>
    <s v="Игорь С."/>
    <s v="Алия Гайнутдинова"/>
  </r>
  <r>
    <x v="1"/>
    <s v="Казань"/>
    <d v="2025-07-19T00:00:00"/>
    <x v="5"/>
    <s v="Эспрессо"/>
    <x v="1"/>
    <n v="1"/>
    <n v="139"/>
    <s v="Анна К."/>
    <s v="Алия Гайнутдинова"/>
  </r>
  <r>
    <x v="1"/>
    <s v="Казань"/>
    <d v="2025-11-02T00:00:00"/>
    <x v="8"/>
    <s v="Какао"/>
    <x v="1"/>
    <n v="3"/>
    <n v="615"/>
    <s v="Наталья Р."/>
    <s v="Алия Гайнутдинова"/>
  </r>
  <r>
    <x v="1"/>
    <s v="Казань"/>
    <d v="2025-06-16T00:00:00"/>
    <x v="7"/>
    <s v="Латте"/>
    <x v="1"/>
    <n v="1"/>
    <n v="231"/>
    <s v="Максим П."/>
    <s v="Алия Гайнутдинова"/>
  </r>
  <r>
    <x v="1"/>
    <s v="Казань"/>
    <d v="2025-09-18T00:00:00"/>
    <x v="1"/>
    <s v="Раф"/>
    <x v="1"/>
    <n v="2"/>
    <n v="466"/>
    <s v="Анна К."/>
    <s v="Алия Гайнутдинова"/>
  </r>
  <r>
    <x v="1"/>
    <s v="Казань"/>
    <d v="2025-10-25T00:00:00"/>
    <x v="3"/>
    <s v="Матча латте"/>
    <x v="1"/>
    <n v="1"/>
    <n v="296"/>
    <s v="Максим П."/>
    <s v="Алия Гайнутдинова"/>
  </r>
  <r>
    <x v="1"/>
    <s v="Казань"/>
    <d v="2025-11-01T00:00:00"/>
    <x v="8"/>
    <s v="Раф"/>
    <x v="1"/>
    <n v="1"/>
    <n v="261"/>
    <s v="Максим П."/>
    <s v="Алия Гайнутдинова"/>
  </r>
  <r>
    <x v="1"/>
    <s v="Казань"/>
    <d v="2025-11-05T00:00:00"/>
    <x v="8"/>
    <s v="Салат Цезарь"/>
    <x v="2"/>
    <n v="2"/>
    <n v="710"/>
    <s v="Наталья Р."/>
    <s v="Алия Гайнутдинова"/>
  </r>
  <r>
    <x v="1"/>
    <s v="Казань"/>
    <d v="2025-09-03T00:00:00"/>
    <x v="1"/>
    <s v="Чизкейк"/>
    <x v="0"/>
    <n v="2"/>
    <n v="488"/>
    <s v="Игорь С."/>
    <s v="Алия Гайнутдинова"/>
  </r>
  <r>
    <x v="1"/>
    <s v="Казань"/>
    <d v="2025-12-02T00:00:00"/>
    <x v="0"/>
    <s v="Латте"/>
    <x v="1"/>
    <n v="1"/>
    <n v="243"/>
    <s v="Наталья Р."/>
    <s v="Алия Гайнутдинова"/>
  </r>
  <r>
    <x v="1"/>
    <s v="Казань"/>
    <d v="2025-11-07T00:00:00"/>
    <x v="8"/>
    <s v="Капучино"/>
    <x v="1"/>
    <n v="1"/>
    <n v="230"/>
    <s v="Максим П."/>
    <s v="Алия Гайнутдинова"/>
  </r>
  <r>
    <x v="1"/>
    <s v="Казань"/>
    <d v="2025-09-27T00:00:00"/>
    <x v="1"/>
    <s v="Матча латте"/>
    <x v="1"/>
    <n v="3"/>
    <n v="771"/>
    <s v="Елена В."/>
    <s v="Алия Гайнутдинова"/>
  </r>
  <r>
    <x v="1"/>
    <s v="Казань"/>
    <d v="2025-08-09T00:00:00"/>
    <x v="9"/>
    <s v="Круассан"/>
    <x v="0"/>
    <n v="3"/>
    <n v="504"/>
    <s v="Максим П."/>
    <s v="Алия Гайнутдинова"/>
  </r>
  <r>
    <x v="1"/>
    <s v="Казань"/>
    <d v="2025-05-26T00:00:00"/>
    <x v="10"/>
    <s v="Сэндвич"/>
    <x v="2"/>
    <n v="1"/>
    <n v="292"/>
    <s v="Анна К."/>
    <s v="Алия Гайнутдинова"/>
  </r>
  <r>
    <x v="1"/>
    <s v="Казань"/>
    <d v="2025-12-07T00:00:00"/>
    <x v="0"/>
    <s v="Какао"/>
    <x v="1"/>
    <n v="1"/>
    <n v="207"/>
    <s v="Виктор Л."/>
    <s v="Алия Гайнутдинова"/>
  </r>
  <r>
    <x v="1"/>
    <s v="Казань"/>
    <d v="2025-08-14T00:00:00"/>
    <x v="9"/>
    <s v="Раф"/>
    <x v="1"/>
    <n v="1"/>
    <n v="235"/>
    <s v="Елена В."/>
    <s v="Алия Гайнутдинова"/>
  </r>
  <r>
    <x v="1"/>
    <s v="Казань"/>
    <d v="2025-07-01T00:00:00"/>
    <x v="5"/>
    <s v="Сэндвич"/>
    <x v="2"/>
    <n v="2"/>
    <n v="606"/>
    <s v="Виктор Л."/>
    <s v="Алия Гайнутдинова"/>
  </r>
  <r>
    <x v="1"/>
    <s v="Казань"/>
    <d v="2025-05-24T00:00:00"/>
    <x v="10"/>
    <s v="Эспрессо"/>
    <x v="1"/>
    <n v="3"/>
    <n v="444"/>
    <s v="Игорь С."/>
    <s v="Алия Гайнутдинова"/>
  </r>
  <r>
    <x v="1"/>
    <s v="Казань"/>
    <d v="2025-05-28T00:00:00"/>
    <x v="10"/>
    <s v="Матча латте"/>
    <x v="1"/>
    <n v="1"/>
    <n v="302"/>
    <s v="Наталья Р."/>
    <s v="Алия Гайнутдинова"/>
  </r>
  <r>
    <x v="1"/>
    <s v="Казань"/>
    <d v="2025-04-27T00:00:00"/>
    <x v="11"/>
    <s v="Салат Цезарь"/>
    <x v="2"/>
    <n v="2"/>
    <n v="842"/>
    <s v="Наталья Р."/>
    <s v="Алия Гайнутдинова"/>
  </r>
  <r>
    <x v="1"/>
    <s v="Казань"/>
    <d v="2025-03-14T00:00:00"/>
    <x v="6"/>
    <s v="Синнабон"/>
    <x v="0"/>
    <n v="2"/>
    <n v="410"/>
    <s v="Максим П."/>
    <s v="Алия Гайнутдинова"/>
  </r>
  <r>
    <x v="1"/>
    <s v="Казань"/>
    <d v="2025-04-26T00:00:00"/>
    <x v="11"/>
    <s v="Синнабон"/>
    <x v="0"/>
    <n v="1"/>
    <n v="235"/>
    <s v="Виктор Л."/>
    <s v="Алия Гайнутдинова"/>
  </r>
  <r>
    <x v="1"/>
    <s v="Казань"/>
    <d v="2025-01-17T00:00:00"/>
    <x v="4"/>
    <s v="Круассан"/>
    <x v="0"/>
    <n v="1"/>
    <n v="173"/>
    <s v="Елена В."/>
    <s v="Алия Гайнутдинова"/>
  </r>
  <r>
    <x v="1"/>
    <s v="Казань"/>
    <d v="2025-03-20T00:00:00"/>
    <x v="6"/>
    <s v="Какао"/>
    <x v="1"/>
    <n v="1"/>
    <n v="206"/>
    <s v="Виктор Л."/>
    <s v="Алия Гайнутдинова"/>
  </r>
  <r>
    <x v="1"/>
    <s v="Казань"/>
    <d v="2025-06-01T00:00:00"/>
    <x v="7"/>
    <s v="Раф"/>
    <x v="1"/>
    <n v="1"/>
    <n v="233"/>
    <s v="Наталья Р."/>
    <s v="Алия Гайнутдинова"/>
  </r>
  <r>
    <x v="1"/>
    <s v="Казань"/>
    <d v="2025-02-09T00:00:00"/>
    <x v="2"/>
    <s v="Американо"/>
    <x v="1"/>
    <n v="2"/>
    <n v="324"/>
    <s v="Елена В."/>
    <s v="Алия Гайнутдинова"/>
  </r>
  <r>
    <x v="1"/>
    <s v="Казань"/>
    <d v="2025-07-14T00:00:00"/>
    <x v="5"/>
    <s v="Синнабон"/>
    <x v="0"/>
    <n v="1"/>
    <n v="189"/>
    <s v="Елена В."/>
    <s v="Алия Гайнутдинова"/>
  </r>
  <r>
    <x v="1"/>
    <s v="Казань"/>
    <d v="2025-12-14T00:00:00"/>
    <x v="0"/>
    <s v="Салат Цезарь"/>
    <x v="2"/>
    <n v="2"/>
    <n v="740"/>
    <s v="Максим П."/>
    <s v="Алия Гайнутдинова"/>
  </r>
  <r>
    <x v="1"/>
    <s v="Казань"/>
    <d v="2025-12-23T00:00:00"/>
    <x v="0"/>
    <s v="Эспрессо"/>
    <x v="1"/>
    <n v="3"/>
    <n v="363"/>
    <s v="Виктор Л."/>
    <s v="Алия Гайнутдинова"/>
  </r>
  <r>
    <x v="1"/>
    <s v="Казань"/>
    <d v="2025-04-03T00:00:00"/>
    <x v="11"/>
    <s v="Синнабон"/>
    <x v="0"/>
    <n v="2"/>
    <n v="398"/>
    <s v="Игорь С."/>
    <s v="Алия Гайнутдинова"/>
  </r>
  <r>
    <x v="1"/>
    <s v="Казань"/>
    <d v="2025-03-28T00:00:00"/>
    <x v="6"/>
    <s v="Американо"/>
    <x v="1"/>
    <n v="1"/>
    <n v="195"/>
    <s v="Виктор Л."/>
    <s v="Алия Гайнутдинова"/>
  </r>
  <r>
    <x v="1"/>
    <s v="Казань"/>
    <d v="2025-04-11T00:00:00"/>
    <x v="11"/>
    <s v="Сэндвич"/>
    <x v="2"/>
    <n v="1"/>
    <n v="359"/>
    <s v="Виктор Л."/>
    <s v="Алия Гайнутдинова"/>
  </r>
  <r>
    <x v="1"/>
    <s v="Казань"/>
    <d v="2025-08-26T00:00:00"/>
    <x v="9"/>
    <s v="Какао"/>
    <x v="1"/>
    <n v="1"/>
    <n v="221"/>
    <s v="Максим П."/>
    <s v="Алия Гайнутдинова"/>
  </r>
  <r>
    <x v="1"/>
    <s v="Казань"/>
    <d v="2025-02-03T00:00:00"/>
    <x v="2"/>
    <s v="Латте"/>
    <x v="1"/>
    <n v="1"/>
    <n v="204"/>
    <s v="Наталья Р."/>
    <s v="Алия Гайнутдинова"/>
  </r>
  <r>
    <x v="1"/>
    <s v="Казань"/>
    <d v="2025-04-12T00:00:00"/>
    <x v="11"/>
    <s v="Матча латте"/>
    <x v="1"/>
    <n v="2"/>
    <n v="500"/>
    <s v="Елена В."/>
    <s v="Алия Гайнутдинова"/>
  </r>
  <r>
    <x v="1"/>
    <s v="Казань"/>
    <d v="2025-02-09T00:00:00"/>
    <x v="2"/>
    <s v="Капучино"/>
    <x v="1"/>
    <n v="3"/>
    <n v="612"/>
    <s v="Максим П."/>
    <s v="Алия Гайнутдинова"/>
  </r>
  <r>
    <x v="1"/>
    <s v="Казань"/>
    <d v="2025-12-25T00:00:00"/>
    <x v="0"/>
    <s v="Эспрессо"/>
    <x v="1"/>
    <n v="3"/>
    <n v="363"/>
    <s v="Елена В."/>
    <s v="Алия Гайнутдинова"/>
  </r>
  <r>
    <x v="1"/>
    <s v="Казань"/>
    <d v="2025-01-16T00:00:00"/>
    <x v="4"/>
    <s v="Капучино"/>
    <x v="1"/>
    <n v="1"/>
    <n v="181"/>
    <s v="Виктор Л."/>
    <s v="Алия Гайнутдинова"/>
  </r>
  <r>
    <x v="1"/>
    <s v="Казань"/>
    <d v="2025-04-01T00:00:00"/>
    <x v="11"/>
    <s v="Раф"/>
    <x v="1"/>
    <n v="1"/>
    <n v="234"/>
    <s v="Максим П."/>
    <s v="Алия Гайнутдинова"/>
  </r>
  <r>
    <x v="1"/>
    <s v="Казань"/>
    <d v="2025-01-15T00:00:00"/>
    <x v="4"/>
    <s v="Латте"/>
    <x v="1"/>
    <n v="2"/>
    <n v="476"/>
    <s v="Елена В."/>
    <s v="Алия Гайнутдинова"/>
  </r>
  <r>
    <x v="1"/>
    <s v="Казань"/>
    <d v="2025-12-26T00:00:00"/>
    <x v="0"/>
    <s v="Какао"/>
    <x v="1"/>
    <n v="2"/>
    <n v="400"/>
    <s v="Виктор Л."/>
    <s v="Алия Гайнутдинова"/>
  </r>
  <r>
    <x v="1"/>
    <s v="Казань"/>
    <d v="2025-01-10T00:00:00"/>
    <x v="4"/>
    <s v="Матча латте"/>
    <x v="1"/>
    <n v="2"/>
    <n v="528"/>
    <s v="Виктор Л."/>
    <s v="Алия Гайнутдинова"/>
  </r>
  <r>
    <x v="1"/>
    <s v="Казань"/>
    <d v="2025-03-26T00:00:00"/>
    <x v="6"/>
    <s v="Какао"/>
    <x v="1"/>
    <n v="1"/>
    <n v="208"/>
    <s v="Виктор Л."/>
    <s v="Алия Гайнутдинова"/>
  </r>
  <r>
    <x v="1"/>
    <s v="Казань"/>
    <d v="2025-03-02T00:00:00"/>
    <x v="6"/>
    <s v="Матча латте"/>
    <x v="1"/>
    <n v="2"/>
    <n v="606"/>
    <s v="Анна К."/>
    <s v="Алия Гайнутдинова"/>
  </r>
  <r>
    <x v="1"/>
    <s v="Казань"/>
    <d v="2025-01-15T00:00:00"/>
    <x v="4"/>
    <s v="Американо"/>
    <x v="1"/>
    <n v="3"/>
    <n v="462"/>
    <s v="Наталья Р."/>
    <s v="Алия Гайнутдинова"/>
  </r>
  <r>
    <x v="1"/>
    <s v="Казань"/>
    <d v="2025-08-25T00:00:00"/>
    <x v="9"/>
    <s v="Круассан"/>
    <x v="0"/>
    <n v="3"/>
    <n v="483"/>
    <s v="Анна К."/>
    <s v="Алия Гайнутдинова"/>
  </r>
  <r>
    <x v="1"/>
    <s v="Казань"/>
    <d v="2025-06-26T00:00:00"/>
    <x v="7"/>
    <s v="Американо"/>
    <x v="1"/>
    <n v="1"/>
    <n v="167"/>
    <s v="Виктор Л."/>
    <s v="Алия Гайнутдинова"/>
  </r>
  <r>
    <x v="1"/>
    <s v="Казань"/>
    <d v="2025-10-15T00:00:00"/>
    <x v="3"/>
    <s v="Латте"/>
    <x v="1"/>
    <n v="1"/>
    <n v="249"/>
    <s v="Максим П."/>
    <s v="Алия Гайнутдинова"/>
  </r>
  <r>
    <x v="1"/>
    <s v="Казань"/>
    <d v="2025-06-16T00:00:00"/>
    <x v="7"/>
    <s v="Американо"/>
    <x v="1"/>
    <n v="1"/>
    <n v="188"/>
    <s v="Виктор Л."/>
    <s v="Алия Гайнутдинова"/>
  </r>
  <r>
    <x v="1"/>
    <s v="Казань"/>
    <d v="2025-11-14T00:00:00"/>
    <x v="8"/>
    <s v="Круассан"/>
    <x v="0"/>
    <n v="1"/>
    <n v="181"/>
    <s v="Максим П."/>
    <s v="Алия Гайнутдинова"/>
  </r>
  <r>
    <x v="1"/>
    <s v="Казань"/>
    <d v="2025-01-19T00:00:00"/>
    <x v="4"/>
    <s v="Сэндвич"/>
    <x v="2"/>
    <n v="1"/>
    <n v="318"/>
    <s v="Виктор Л."/>
    <s v="Алия Гайнутдинова"/>
  </r>
  <r>
    <x v="1"/>
    <s v="Казань"/>
    <d v="2025-04-24T00:00:00"/>
    <x v="11"/>
    <s v="Матча латте"/>
    <x v="1"/>
    <n v="2"/>
    <n v="602"/>
    <s v="Виктор Л."/>
    <s v="Алия Гайнутдинова"/>
  </r>
  <r>
    <x v="1"/>
    <s v="Казань"/>
    <d v="2025-01-11T00:00:00"/>
    <x v="4"/>
    <s v="Сэндвич"/>
    <x v="2"/>
    <n v="2"/>
    <n v="656"/>
    <s v="Игорь С."/>
    <s v="Алия Гайнутдинова"/>
  </r>
  <r>
    <x v="1"/>
    <s v="Казань"/>
    <d v="2025-11-22T00:00:00"/>
    <x v="8"/>
    <s v="Матча латте"/>
    <x v="1"/>
    <n v="1"/>
    <n v="281"/>
    <s v="Виктор Л."/>
    <s v="Алия Гайнутдинова"/>
  </r>
  <r>
    <x v="1"/>
    <s v="Казань"/>
    <d v="2025-03-14T00:00:00"/>
    <x v="6"/>
    <s v="Сэндвич"/>
    <x v="2"/>
    <n v="1"/>
    <n v="324"/>
    <s v="Анна К."/>
    <s v="Алия Гайнутдинова"/>
  </r>
  <r>
    <x v="1"/>
    <s v="Казань"/>
    <d v="2025-03-08T00:00:00"/>
    <x v="6"/>
    <s v="Круассан"/>
    <x v="0"/>
    <n v="2"/>
    <n v="324"/>
    <s v="Виктор Л."/>
    <s v="Алия Гайнутдинова"/>
  </r>
  <r>
    <x v="1"/>
    <s v="Казань"/>
    <d v="2025-05-20T00:00:00"/>
    <x v="10"/>
    <s v="Сэндвич"/>
    <x v="2"/>
    <n v="1"/>
    <n v="292"/>
    <s v="Максим П."/>
    <s v="Алия Гайнутдинова"/>
  </r>
  <r>
    <x v="1"/>
    <s v="Казань"/>
    <d v="2025-11-03T00:00:00"/>
    <x v="8"/>
    <s v="Чизкейк"/>
    <x v="0"/>
    <n v="1"/>
    <n v="233"/>
    <s v="Наталья Р."/>
    <s v="Алия Гайнутдинова"/>
  </r>
  <r>
    <x v="1"/>
    <s v="Казань"/>
    <d v="2025-01-10T00:00:00"/>
    <x v="4"/>
    <s v="Капучино"/>
    <x v="1"/>
    <n v="2"/>
    <n v="456"/>
    <s v="Виктор Л."/>
    <s v="Алия Гайнутдинова"/>
  </r>
  <r>
    <x v="1"/>
    <s v="Казань"/>
    <d v="2025-05-05T00:00:00"/>
    <x v="10"/>
    <s v="Американо"/>
    <x v="1"/>
    <n v="2"/>
    <n v="330"/>
    <s v="Анна К."/>
    <s v="Алия Гайнутдинова"/>
  </r>
  <r>
    <x v="1"/>
    <s v="Казань"/>
    <d v="2025-03-22T00:00:00"/>
    <x v="6"/>
    <s v="Круассан"/>
    <x v="0"/>
    <n v="1"/>
    <n v="170"/>
    <s v="Анна К."/>
    <s v="Алия Гайнутдинова"/>
  </r>
  <r>
    <x v="1"/>
    <s v="Казань"/>
    <d v="2025-12-06T00:00:00"/>
    <x v="0"/>
    <s v="Американо"/>
    <x v="1"/>
    <n v="1"/>
    <n v="179"/>
    <s v="Максим П."/>
    <s v="Алия Гайнутдинова"/>
  </r>
  <r>
    <x v="1"/>
    <s v="Казань"/>
    <d v="2025-06-18T00:00:00"/>
    <x v="7"/>
    <s v="Сэндвич"/>
    <x v="2"/>
    <n v="2"/>
    <n v="616"/>
    <s v="Игорь С."/>
    <s v="Алия Гайнутдинова"/>
  </r>
  <r>
    <x v="1"/>
    <s v="Казань"/>
    <d v="2025-05-03T00:00:00"/>
    <x v="10"/>
    <s v="Американо"/>
    <x v="1"/>
    <n v="2"/>
    <n v="366"/>
    <s v="Максим П."/>
    <s v="Алия Гайнутдинова"/>
  </r>
  <r>
    <x v="1"/>
    <s v="Казань"/>
    <d v="2025-05-17T00:00:00"/>
    <x v="10"/>
    <s v="Салат Цезарь"/>
    <x v="2"/>
    <n v="1"/>
    <n v="382"/>
    <s v="Виктор Л."/>
    <s v="Алия Гайнутдинова"/>
  </r>
  <r>
    <x v="1"/>
    <s v="Казань"/>
    <d v="2025-05-26T00:00:00"/>
    <x v="10"/>
    <s v="Эспрессо"/>
    <x v="1"/>
    <n v="1"/>
    <n v="122"/>
    <s v="Виктор Л."/>
    <s v="Алия Гайнутдинова"/>
  </r>
  <r>
    <x v="1"/>
    <s v="Казань"/>
    <d v="2025-05-07T00:00:00"/>
    <x v="10"/>
    <s v="Матча латте"/>
    <x v="1"/>
    <n v="1"/>
    <n v="258"/>
    <s v="Максим П."/>
    <s v="Алия Гайнутдинова"/>
  </r>
  <r>
    <x v="1"/>
    <s v="Казань"/>
    <d v="2025-07-05T00:00:00"/>
    <x v="5"/>
    <s v="Эспрессо"/>
    <x v="1"/>
    <n v="1"/>
    <n v="137"/>
    <s v="Анна К."/>
    <s v="Алия Гайнутдинова"/>
  </r>
  <r>
    <x v="1"/>
    <s v="Казань"/>
    <d v="2025-04-18T00:00:00"/>
    <x v="11"/>
    <s v="Американо"/>
    <x v="1"/>
    <n v="1"/>
    <n v="160"/>
    <s v="Анна К."/>
    <s v="Алия Гайнутдинова"/>
  </r>
  <r>
    <x v="1"/>
    <s v="Казань"/>
    <d v="2025-07-23T00:00:00"/>
    <x v="5"/>
    <s v="Американо"/>
    <x v="1"/>
    <n v="1"/>
    <n v="175"/>
    <s v="Елена В."/>
    <s v="Алия Гайнутдинова"/>
  </r>
  <r>
    <x v="1"/>
    <s v="Казань"/>
    <d v="2025-06-16T00:00:00"/>
    <x v="7"/>
    <s v="Сэндвич"/>
    <x v="2"/>
    <n v="2"/>
    <n v="650"/>
    <s v="Виктор Л."/>
    <s v="Алия Гайнутдинова"/>
  </r>
  <r>
    <x v="1"/>
    <s v="Казань"/>
    <d v="2025-05-16T00:00:00"/>
    <x v="10"/>
    <s v="Латте"/>
    <x v="1"/>
    <n v="1"/>
    <n v="249"/>
    <s v="Игорь С."/>
    <s v="Алия Гайнутдинова"/>
  </r>
  <r>
    <x v="1"/>
    <s v="Казань"/>
    <d v="2025-12-01T00:00:00"/>
    <x v="0"/>
    <s v="Сэндвич"/>
    <x v="2"/>
    <n v="2"/>
    <n v="676"/>
    <s v="Игорь С."/>
    <s v="Алия Гайнутдинова"/>
  </r>
  <r>
    <x v="1"/>
    <s v="Казань"/>
    <d v="2025-10-10T00:00:00"/>
    <x v="3"/>
    <s v="Эспрессо"/>
    <x v="1"/>
    <n v="2"/>
    <n v="282"/>
    <s v="Наталья Р."/>
    <s v="Алия Гайнутдинова"/>
  </r>
  <r>
    <x v="1"/>
    <s v="Казань"/>
    <d v="2025-12-26T00:00:00"/>
    <x v="0"/>
    <s v="Американо"/>
    <x v="1"/>
    <n v="1"/>
    <n v="153"/>
    <s v="Анна К."/>
    <s v="Алия Гайнутдинова"/>
  </r>
  <r>
    <x v="1"/>
    <s v="Казань"/>
    <d v="2025-12-14T00:00:00"/>
    <x v="0"/>
    <s v="Капучино"/>
    <x v="1"/>
    <n v="1"/>
    <n v="238"/>
    <s v="Наталья Р."/>
    <s v="Алия Гайнутдинова"/>
  </r>
  <r>
    <x v="1"/>
    <s v="Казань"/>
    <d v="2025-12-04T00:00:00"/>
    <x v="0"/>
    <s v="Синнабон"/>
    <x v="0"/>
    <n v="1"/>
    <n v="191"/>
    <s v="Анна К."/>
    <s v="Алия Гайнутдинова"/>
  </r>
  <r>
    <x v="1"/>
    <s v="Казань"/>
    <d v="2025-05-09T00:00:00"/>
    <x v="10"/>
    <s v="Матча латте"/>
    <x v="1"/>
    <n v="3"/>
    <n v="849"/>
    <s v="Виктор Л."/>
    <s v="Алия Гайнутдинова"/>
  </r>
  <r>
    <x v="1"/>
    <s v="Казань"/>
    <d v="2025-04-28T00:00:00"/>
    <x v="11"/>
    <s v="Раф"/>
    <x v="1"/>
    <n v="1"/>
    <n v="237"/>
    <s v="Игорь С."/>
    <s v="Алия Гайнутдинова"/>
  </r>
  <r>
    <x v="1"/>
    <s v="Казань"/>
    <d v="2025-10-22T00:00:00"/>
    <x v="3"/>
    <s v="Чизкейк"/>
    <x v="0"/>
    <n v="1"/>
    <n v="257"/>
    <s v="Елена В."/>
    <s v="Алия Гайнутдинова"/>
  </r>
  <r>
    <x v="1"/>
    <s v="Казань"/>
    <d v="2025-11-26T00:00:00"/>
    <x v="8"/>
    <s v="Круассан"/>
    <x v="0"/>
    <n v="1"/>
    <n v="175"/>
    <s v="Виктор Л."/>
    <s v="Алия Гайнутдинова"/>
  </r>
  <r>
    <x v="1"/>
    <s v="Казань"/>
    <d v="2025-02-01T00:00:00"/>
    <x v="2"/>
    <s v="Сэндвич"/>
    <x v="2"/>
    <n v="1"/>
    <n v="359"/>
    <s v="Елена В."/>
    <s v="Алия Гайнутдинова"/>
  </r>
  <r>
    <x v="1"/>
    <s v="Казань"/>
    <d v="2025-01-03T00:00:00"/>
    <x v="4"/>
    <s v="Какао"/>
    <x v="1"/>
    <n v="3"/>
    <n v="651"/>
    <s v="Не указан"/>
    <s v="Алия Гайнутдинова"/>
  </r>
  <r>
    <x v="1"/>
    <s v="Казань"/>
    <d v="2025-07-02T00:00:00"/>
    <x v="5"/>
    <s v="Матча латте"/>
    <x v="1"/>
    <n v="2"/>
    <n v="578"/>
    <s v="Виктор Л."/>
    <s v="Алия Гайнутдинова"/>
  </r>
  <r>
    <x v="1"/>
    <s v="Казань"/>
    <d v="2025-03-21T00:00:00"/>
    <x v="6"/>
    <s v="Американо"/>
    <x v="1"/>
    <n v="1"/>
    <n v="190"/>
    <s v="Наталья Р."/>
    <s v="Алия Гайнутдинова"/>
  </r>
  <r>
    <x v="1"/>
    <s v="Казань"/>
    <d v="2025-10-18T00:00:00"/>
    <x v="3"/>
    <s v="Круассан"/>
    <x v="0"/>
    <n v="3"/>
    <n v="519"/>
    <s v="Наталья Р."/>
    <s v="Алия Гайнутдинова"/>
  </r>
  <r>
    <x v="1"/>
    <s v="Казань"/>
    <d v="2025-02-01T00:00:00"/>
    <x v="2"/>
    <s v="Американо"/>
    <x v="1"/>
    <n v="2"/>
    <n v="344"/>
    <s v="Елена В."/>
    <s v="Алия Гайнутдинова"/>
  </r>
  <r>
    <x v="1"/>
    <s v="Казань"/>
    <d v="2025-07-03T00:00:00"/>
    <x v="5"/>
    <s v="Синнабон"/>
    <x v="0"/>
    <n v="1"/>
    <n v="202"/>
    <s v="Наталья Р."/>
    <s v="Алия Гайнутдинова"/>
  </r>
  <r>
    <x v="1"/>
    <s v="Казань"/>
    <d v="2025-12-13T00:00:00"/>
    <x v="0"/>
    <s v="Синнабон"/>
    <x v="0"/>
    <n v="1"/>
    <n v="228"/>
    <s v="Елена В."/>
    <s v="Алия Гайнутдинова"/>
  </r>
  <r>
    <x v="1"/>
    <s v="Казань"/>
    <d v="2025-05-10T00:00:00"/>
    <x v="10"/>
    <s v="Латте"/>
    <x v="1"/>
    <n v="3"/>
    <n v="726"/>
    <s v="Игорь С."/>
    <s v="Алия Гайнутдинова"/>
  </r>
  <r>
    <x v="1"/>
    <s v="Казань"/>
    <d v="2025-04-24T00:00:00"/>
    <x v="11"/>
    <s v="Капучино"/>
    <x v="1"/>
    <n v="3"/>
    <n v="621"/>
    <s v="Максим П."/>
    <s v="Алия Гайнутдинова"/>
  </r>
  <r>
    <x v="1"/>
    <s v="Казань"/>
    <d v="2025-03-16T00:00:00"/>
    <x v="6"/>
    <s v="Сэндвич"/>
    <x v="2"/>
    <n v="3"/>
    <n v="975"/>
    <s v="Анна К."/>
    <s v="Алия Гайнутдинова"/>
  </r>
  <r>
    <x v="1"/>
    <s v="Казань"/>
    <d v="2025-12-20T00:00:00"/>
    <x v="0"/>
    <s v="Круассан"/>
    <x v="0"/>
    <n v="1"/>
    <n v="179"/>
    <s v="Виктор Л."/>
    <s v="Алия Гайнутдинова"/>
  </r>
  <r>
    <x v="1"/>
    <s v="Казань"/>
    <d v="2025-03-02T00:00:00"/>
    <x v="6"/>
    <s v="Капучино"/>
    <x v="1"/>
    <n v="1"/>
    <n v="220"/>
    <s v="Елена В."/>
    <s v="Алия Гайнутдинова"/>
  </r>
  <r>
    <x v="1"/>
    <s v="Казань"/>
    <d v="2025-05-23T00:00:00"/>
    <x v="10"/>
    <s v="Эспрессо"/>
    <x v="1"/>
    <n v="2"/>
    <n v="318"/>
    <s v="Наталья Р."/>
    <s v="Алия Гайнутдинова"/>
  </r>
  <r>
    <x v="1"/>
    <s v="Казань"/>
    <d v="2025-12-09T00:00:00"/>
    <x v="0"/>
    <s v="Матча латте"/>
    <x v="1"/>
    <n v="2"/>
    <n v="594"/>
    <s v="Анна К."/>
    <s v="Алия Гайнутдинова"/>
  </r>
  <r>
    <x v="1"/>
    <s v="Казань"/>
    <d v="2025-03-02T00:00:00"/>
    <x v="6"/>
    <s v="Салат Цезарь"/>
    <x v="2"/>
    <n v="1"/>
    <n v="352"/>
    <s v="Максим П."/>
    <s v="Алия Гайнутдинова"/>
  </r>
  <r>
    <x v="1"/>
    <s v="Казань"/>
    <d v="2025-03-11T00:00:00"/>
    <x v="6"/>
    <s v="Синнабон"/>
    <x v="0"/>
    <n v="2"/>
    <n v="414"/>
    <s v="Виктор Л."/>
    <s v="Алия Гайнутдинова"/>
  </r>
  <r>
    <x v="1"/>
    <s v="Казань"/>
    <d v="2025-01-11T00:00:00"/>
    <x v="4"/>
    <s v="Латте"/>
    <x v="1"/>
    <n v="1"/>
    <n v="239"/>
    <s v="Наталья Р."/>
    <s v="Алия Гайнутдинова"/>
  </r>
  <r>
    <x v="1"/>
    <s v="Казань"/>
    <d v="2025-08-23T00:00:00"/>
    <x v="9"/>
    <s v="Американо"/>
    <x v="1"/>
    <n v="1"/>
    <n v="178"/>
    <s v="Виктор Л."/>
    <s v="Алия Гайнутдинова"/>
  </r>
  <r>
    <x v="1"/>
    <s v="Казань"/>
    <d v="2025-07-26T00:00:00"/>
    <x v="5"/>
    <s v="Раф"/>
    <x v="1"/>
    <n v="3"/>
    <n v="792"/>
    <s v="Наталья Р."/>
    <s v="Алия Гайнутдинова"/>
  </r>
  <r>
    <x v="1"/>
    <s v="Казань"/>
    <d v="2025-11-05T00:00:00"/>
    <x v="8"/>
    <s v="Круассан"/>
    <x v="0"/>
    <n v="3"/>
    <n v="567"/>
    <s v="Виктор Л."/>
    <s v="Алия Гайнутдинова"/>
  </r>
  <r>
    <x v="1"/>
    <s v="Казань"/>
    <d v="2025-08-23T00:00:00"/>
    <x v="9"/>
    <s v="Салат Цезарь"/>
    <x v="2"/>
    <n v="2"/>
    <n v="754"/>
    <s v="Игорь С."/>
    <s v="Алия Гайнутдинова"/>
  </r>
  <r>
    <x v="1"/>
    <s v="Казань"/>
    <d v="2025-05-01T00:00:00"/>
    <x v="10"/>
    <s v="Матча латте"/>
    <x v="1"/>
    <n v="2"/>
    <n v="584"/>
    <s v="Елена В."/>
    <s v="Алия Гайнутдинова"/>
  </r>
  <r>
    <x v="1"/>
    <s v="Казань"/>
    <d v="2025-12-05T00:00:00"/>
    <x v="0"/>
    <s v="Синнабон"/>
    <x v="0"/>
    <n v="1"/>
    <n v="221"/>
    <s v="Виктор Л."/>
    <s v="Алия Гайнутдинова"/>
  </r>
  <r>
    <x v="1"/>
    <s v="Казань"/>
    <d v="2025-03-15T00:00:00"/>
    <x v="6"/>
    <s v="Чизкейк"/>
    <x v="0"/>
    <n v="2"/>
    <n v="468"/>
    <s v="Виктор Л."/>
    <s v="Алия Гайнутдинова"/>
  </r>
  <r>
    <x v="1"/>
    <s v="Казань"/>
    <d v="2025-06-01T00:00:00"/>
    <x v="7"/>
    <s v="Эспрессо"/>
    <x v="1"/>
    <n v="1"/>
    <n v="142"/>
    <s v="Анна К."/>
    <s v="Алия Гайнутдинова"/>
  </r>
  <r>
    <x v="1"/>
    <s v="Казань"/>
    <d v="2025-06-15T00:00:00"/>
    <x v="7"/>
    <s v="Латте"/>
    <x v="1"/>
    <n v="2"/>
    <n v="436"/>
    <s v="Наталья Р."/>
    <s v="Алия Гайнутдинова"/>
  </r>
  <r>
    <x v="1"/>
    <s v="Казань"/>
    <d v="2025-12-18T00:00:00"/>
    <x v="0"/>
    <s v="Раф"/>
    <x v="1"/>
    <n v="2"/>
    <n v="572"/>
    <s v="Максим П."/>
    <s v="Алия Гайнутдинова"/>
  </r>
  <r>
    <x v="1"/>
    <s v="Казань"/>
    <d v="2025-06-17T00:00:00"/>
    <x v="7"/>
    <s v="Салат Цезарь"/>
    <x v="2"/>
    <n v="1"/>
    <n v="362"/>
    <s v="Виктор Л."/>
    <s v="Алия Гайнутдинова"/>
  </r>
  <r>
    <x v="1"/>
    <s v="Казань"/>
    <d v="2025-12-02T00:00:00"/>
    <x v="0"/>
    <s v="Сэндвич"/>
    <x v="2"/>
    <n v="1"/>
    <n v="280"/>
    <s v="Игорь С."/>
    <s v="Алия Гайнутдинова"/>
  </r>
  <r>
    <x v="1"/>
    <s v="Казань"/>
    <d v="2025-06-16T00:00:00"/>
    <x v="7"/>
    <s v="Раф"/>
    <x v="1"/>
    <n v="3"/>
    <n v="783"/>
    <s v="Наталья Р."/>
    <s v="Алия Гайнутдинова"/>
  </r>
  <r>
    <x v="1"/>
    <s v="Казань"/>
    <d v="2025-11-12T00:00:00"/>
    <x v="8"/>
    <s v="Матча латте"/>
    <x v="1"/>
    <n v="1"/>
    <n v="309"/>
    <s v="Анна К."/>
    <s v="Алия Гайнутдинова"/>
  </r>
  <r>
    <x v="1"/>
    <s v="Казань"/>
    <d v="2025-09-12T00:00:00"/>
    <x v="1"/>
    <s v="Салат Цезарь"/>
    <x v="2"/>
    <n v="1"/>
    <n v="350"/>
    <s v="Анна К."/>
    <s v="Алия Гайнутдинова"/>
  </r>
  <r>
    <x v="1"/>
    <s v="Казань"/>
    <d v="2025-04-28T00:00:00"/>
    <x v="11"/>
    <s v="Круассан"/>
    <x v="0"/>
    <n v="2"/>
    <n v="336"/>
    <s v="Виктор Л."/>
    <s v="Алия Гайнутдинова"/>
  </r>
  <r>
    <x v="1"/>
    <s v="Казань"/>
    <d v="2025-02-23T00:00:00"/>
    <x v="2"/>
    <s v="Синнабон"/>
    <x v="0"/>
    <n v="3"/>
    <n v="576"/>
    <s v="Анна К."/>
    <s v="Алия Гайнутдинова"/>
  </r>
  <r>
    <x v="1"/>
    <s v="Казань"/>
    <d v="2025-05-03T00:00:00"/>
    <x v="10"/>
    <s v="Американо"/>
    <x v="1"/>
    <n v="1"/>
    <n v="153"/>
    <s v="Игорь С."/>
    <s v="Алия Гайнутдинова"/>
  </r>
  <r>
    <x v="1"/>
    <s v="Казань"/>
    <d v="2025-06-02T00:00:00"/>
    <x v="7"/>
    <s v="Капучино"/>
    <x v="1"/>
    <n v="1"/>
    <n v="227"/>
    <s v="Анна К."/>
    <s v="Алия Гайнутдинова"/>
  </r>
  <r>
    <x v="1"/>
    <s v="Казань"/>
    <d v="2025-06-27T00:00:00"/>
    <x v="7"/>
    <s v="Какао"/>
    <x v="1"/>
    <n v="1"/>
    <n v="199"/>
    <s v="Игорь С."/>
    <s v="Алия Гайнутдинова"/>
  </r>
  <r>
    <x v="1"/>
    <s v="Казань"/>
    <d v="2025-12-01T00:00:00"/>
    <x v="0"/>
    <s v="Чизкейк"/>
    <x v="0"/>
    <n v="2"/>
    <n v="444"/>
    <s v="Игорь С."/>
    <s v="Алия Гайнутдинова"/>
  </r>
  <r>
    <x v="1"/>
    <s v="Казань"/>
    <d v="2025-11-05T00:00:00"/>
    <x v="8"/>
    <s v="Латте"/>
    <x v="1"/>
    <n v="1"/>
    <n v="227"/>
    <s v="Игорь С."/>
    <s v="Алия Гайнутдинова"/>
  </r>
  <r>
    <x v="1"/>
    <s v="Казань"/>
    <d v="2025-11-27T00:00:00"/>
    <x v="8"/>
    <s v="Матча латте"/>
    <x v="1"/>
    <n v="2"/>
    <n v="538"/>
    <s v="Елена В."/>
    <s v="Алия Гайнутдинова"/>
  </r>
  <r>
    <x v="1"/>
    <s v="Казань"/>
    <d v="2025-08-01T00:00:00"/>
    <x v="9"/>
    <s v="Сэндвич"/>
    <x v="2"/>
    <n v="2"/>
    <n v="594"/>
    <s v="Игорь С."/>
    <s v="Алия Гайнутдинова"/>
  </r>
  <r>
    <x v="1"/>
    <s v="Казань"/>
    <d v="2025-12-16T00:00:00"/>
    <x v="0"/>
    <s v="Сэндвич"/>
    <x v="2"/>
    <n v="1"/>
    <n v="357"/>
    <s v="Анна К."/>
    <s v="Алия Гайнутдинова"/>
  </r>
  <r>
    <x v="1"/>
    <s v="Казань"/>
    <d v="2025-05-05T00:00:00"/>
    <x v="10"/>
    <s v="Салат Цезарь"/>
    <x v="2"/>
    <n v="2"/>
    <n v="680"/>
    <s v="Виктор Л."/>
    <s v="Алия Гайнутдинова"/>
  </r>
  <r>
    <x v="1"/>
    <s v="Казань"/>
    <d v="2025-12-01T00:00:00"/>
    <x v="0"/>
    <s v="Круассан"/>
    <x v="0"/>
    <n v="2"/>
    <n v="362"/>
    <s v="Виктор Л."/>
    <s v="Алия Гайнутдинова"/>
  </r>
  <r>
    <x v="1"/>
    <s v="Казань"/>
    <d v="2025-02-25T00:00:00"/>
    <x v="2"/>
    <s v="Салат Цезарь"/>
    <x v="2"/>
    <n v="3"/>
    <n v="1230"/>
    <s v="Максим П."/>
    <s v="Алия Гайнутдинова"/>
  </r>
  <r>
    <x v="1"/>
    <s v="Казань"/>
    <d v="2025-01-07T00:00:00"/>
    <x v="4"/>
    <s v="Какао"/>
    <x v="1"/>
    <n v="1"/>
    <n v="216"/>
    <s v="Виктор Л."/>
    <s v="Алия Гайнутдинова"/>
  </r>
  <r>
    <x v="1"/>
    <s v="Казань"/>
    <d v="2025-07-04T00:00:00"/>
    <x v="5"/>
    <s v="Какао"/>
    <x v="1"/>
    <n v="1"/>
    <n v="204"/>
    <s v="Максим П."/>
    <s v="Алия Гайнутдинова"/>
  </r>
  <r>
    <x v="1"/>
    <s v="Казань"/>
    <d v="2025-11-11T00:00:00"/>
    <x v="8"/>
    <s v="Латте"/>
    <x v="1"/>
    <n v="2"/>
    <n v="476"/>
    <s v="Игорь С."/>
    <s v="Алия Гайнутдинова"/>
  </r>
  <r>
    <x v="1"/>
    <s v="Казань"/>
    <d v="2025-05-02T00:00:00"/>
    <x v="10"/>
    <s v="Круассан"/>
    <x v="0"/>
    <n v="1"/>
    <n v="176"/>
    <s v="Анна К."/>
    <s v="Алия Гайнутдинова"/>
  </r>
  <r>
    <x v="1"/>
    <s v="Казань"/>
    <d v="2025-09-07T00:00:00"/>
    <x v="1"/>
    <s v="Латте"/>
    <x v="1"/>
    <n v="1"/>
    <n v="244"/>
    <s v="Анна К."/>
    <s v="Алия Гайнутдинова"/>
  </r>
  <r>
    <x v="1"/>
    <s v="Казань"/>
    <d v="2025-01-15T00:00:00"/>
    <x v="4"/>
    <s v="Какао"/>
    <x v="1"/>
    <n v="2"/>
    <n v="462"/>
    <s v="Максим П."/>
    <s v="Алия Гайнутдинова"/>
  </r>
  <r>
    <x v="1"/>
    <s v="Казань"/>
    <d v="2025-09-11T00:00:00"/>
    <x v="1"/>
    <s v="Матча латте"/>
    <x v="1"/>
    <n v="1"/>
    <n v="302"/>
    <s v="Виктор Л."/>
    <s v="Алия Гайнутдинова"/>
  </r>
  <r>
    <x v="1"/>
    <s v="Казань"/>
    <d v="2025-03-21T00:00:00"/>
    <x v="6"/>
    <s v="Какао"/>
    <x v="1"/>
    <n v="1"/>
    <n v="235"/>
    <s v="Не указан"/>
    <s v="Алия Гайнутдинова"/>
  </r>
  <r>
    <x v="1"/>
    <s v="Казань"/>
    <d v="2025-06-11T00:00:00"/>
    <x v="7"/>
    <s v="Какао"/>
    <x v="1"/>
    <n v="1"/>
    <n v="243"/>
    <s v="Анна К."/>
    <s v="Алия Гайнутдинова"/>
  </r>
  <r>
    <x v="1"/>
    <s v="Казань"/>
    <d v="2025-11-10T00:00:00"/>
    <x v="8"/>
    <s v="Сэндвич"/>
    <x v="2"/>
    <n v="1"/>
    <n v="337"/>
    <s v="Наталья Р."/>
    <s v="Алия Гайнутдинова"/>
  </r>
  <r>
    <x v="1"/>
    <s v="Казань"/>
    <d v="2025-07-02T00:00:00"/>
    <x v="5"/>
    <s v="Синнабон"/>
    <x v="0"/>
    <n v="3"/>
    <n v="675"/>
    <s v="Наталья Р."/>
    <s v="Алия Гайнутдинова"/>
  </r>
  <r>
    <x v="1"/>
    <s v="Казань"/>
    <d v="2025-06-04T00:00:00"/>
    <x v="7"/>
    <s v="Эспрессо"/>
    <x v="1"/>
    <n v="2"/>
    <n v="290"/>
    <s v="Максим П."/>
    <s v="Алия Гайнутдинова"/>
  </r>
  <r>
    <x v="1"/>
    <s v="Казань"/>
    <d v="2025-10-05T00:00:00"/>
    <x v="3"/>
    <s v="Сэндвич"/>
    <x v="2"/>
    <n v="3"/>
    <n v="933"/>
    <s v="Наталья Р."/>
    <s v="Алия Гайнутдинова"/>
  </r>
  <r>
    <x v="1"/>
    <s v="Казань"/>
    <d v="2025-02-19T00:00:00"/>
    <x v="2"/>
    <s v="Круассан"/>
    <x v="0"/>
    <n v="2"/>
    <n v="380"/>
    <s v="Виктор Л."/>
    <s v="Алия Гайнутдинова"/>
  </r>
  <r>
    <x v="1"/>
    <s v="Казань"/>
    <d v="2025-10-13T00:00:00"/>
    <x v="3"/>
    <s v="Салат Цезарь"/>
    <x v="2"/>
    <n v="1"/>
    <n v="418"/>
    <s v="Максим П."/>
    <s v="Алия Гайнутдинова"/>
  </r>
  <r>
    <x v="1"/>
    <s v="Казань"/>
    <d v="2025-03-08T00:00:00"/>
    <x v="6"/>
    <s v="Чизкейк"/>
    <x v="0"/>
    <n v="1"/>
    <n v="224"/>
    <s v="Виктор Л."/>
    <s v="Алия Гайнутдинова"/>
  </r>
  <r>
    <x v="1"/>
    <s v="Казань"/>
    <d v="2025-10-21T00:00:00"/>
    <x v="3"/>
    <s v="Матча латте"/>
    <x v="1"/>
    <n v="1"/>
    <n v="258"/>
    <s v="Виктор Л."/>
    <s v="Алия Гайнутдинова"/>
  </r>
  <r>
    <x v="1"/>
    <s v="Казань"/>
    <d v="2025-08-15T00:00:00"/>
    <x v="9"/>
    <s v="Чизкейк"/>
    <x v="0"/>
    <n v="1"/>
    <n v="274"/>
    <s v="Игорь С."/>
    <s v="Алия Гайнутдинова"/>
  </r>
  <r>
    <x v="1"/>
    <s v="Казань"/>
    <d v="2025-01-01T00:00:00"/>
    <x v="4"/>
    <s v="Матча латте"/>
    <x v="1"/>
    <n v="2"/>
    <n v="614"/>
    <s v="Анна К."/>
    <s v="Алия Гайнутдинова"/>
  </r>
  <r>
    <x v="1"/>
    <s v="Казань"/>
    <d v="2025-03-14T00:00:00"/>
    <x v="6"/>
    <s v="Раф"/>
    <x v="1"/>
    <n v="1"/>
    <n v="278"/>
    <s v="Максим П."/>
    <s v="Алия Гайнутдинова"/>
  </r>
  <r>
    <x v="1"/>
    <s v="Казань"/>
    <d v="2025-04-09T00:00:00"/>
    <x v="11"/>
    <s v="Раф"/>
    <x v="1"/>
    <n v="2"/>
    <n v="556"/>
    <s v="Виктор Л."/>
    <s v="Алия Гайнутдинова"/>
  </r>
  <r>
    <x v="1"/>
    <s v="Казань"/>
    <d v="2025-02-02T00:00:00"/>
    <x v="2"/>
    <s v="Эспрессо"/>
    <x v="1"/>
    <n v="2"/>
    <n v="284"/>
    <s v="Виктор Л."/>
    <s v="Алия Гайнутдинова"/>
  </r>
  <r>
    <x v="1"/>
    <s v="Казань"/>
    <d v="2025-10-06T00:00:00"/>
    <x v="3"/>
    <s v="Какао"/>
    <x v="1"/>
    <n v="1"/>
    <n v="202"/>
    <s v="Максим П."/>
    <s v="Алия Гайнутдинова"/>
  </r>
  <r>
    <x v="1"/>
    <s v="Казань"/>
    <d v="2025-04-02T00:00:00"/>
    <x v="11"/>
    <s v="Эспрессо"/>
    <x v="1"/>
    <n v="1"/>
    <n v="128"/>
    <s v="Виктор Л."/>
    <s v="Алия Гайнутдинова"/>
  </r>
  <r>
    <x v="1"/>
    <s v="Казань"/>
    <d v="2025-06-10T00:00:00"/>
    <x v="7"/>
    <s v="Круассан"/>
    <x v="0"/>
    <n v="2"/>
    <n v="336"/>
    <s v="Виктор Л."/>
    <s v="Алия Гайнутдинова"/>
  </r>
  <r>
    <x v="1"/>
    <s v="Казань"/>
    <d v="2025-10-01T00:00:00"/>
    <x v="3"/>
    <s v="Чизкейк"/>
    <x v="0"/>
    <n v="3"/>
    <n v="729"/>
    <s v="Игорь С."/>
    <s v="Алия Гайнутдинова"/>
  </r>
  <r>
    <x v="1"/>
    <s v="Казань"/>
    <d v="2025-02-02T00:00:00"/>
    <x v="2"/>
    <s v="Какао"/>
    <x v="1"/>
    <n v="2"/>
    <n v="432"/>
    <s v="Елена В."/>
    <s v="Алия Гайнутдинова"/>
  </r>
  <r>
    <x v="1"/>
    <s v="Казань"/>
    <d v="2025-07-08T00:00:00"/>
    <x v="5"/>
    <s v="Матча латте"/>
    <x v="1"/>
    <n v="2"/>
    <n v="526"/>
    <s v="Максим П."/>
    <s v="Алия Гайнутдинова"/>
  </r>
  <r>
    <x v="1"/>
    <s v="Казань"/>
    <d v="2025-07-09T00:00:00"/>
    <x v="5"/>
    <s v="Раф"/>
    <x v="1"/>
    <n v="2"/>
    <n v="512"/>
    <s v="Наталья Р."/>
    <s v="Алия Гайнутдинова"/>
  </r>
  <r>
    <x v="1"/>
    <s v="Казань"/>
    <d v="2025-09-25T00:00:00"/>
    <x v="1"/>
    <s v="Раф"/>
    <x v="1"/>
    <n v="2"/>
    <n v="470"/>
    <s v="Наталья Р."/>
    <s v="Алия Гайнутдинова"/>
  </r>
  <r>
    <x v="1"/>
    <s v="Казань"/>
    <d v="2025-01-03T00:00:00"/>
    <x v="4"/>
    <s v="Круассан"/>
    <x v="0"/>
    <n v="2"/>
    <n v="336"/>
    <s v="Виктор Л."/>
    <s v="Алия Гайнутдинова"/>
  </r>
  <r>
    <x v="1"/>
    <s v="Казань"/>
    <d v="2025-11-01T00:00:00"/>
    <x v="8"/>
    <s v="Американо"/>
    <x v="1"/>
    <n v="3"/>
    <n v="528"/>
    <s v="Анна К."/>
    <s v="Алия Гайнутдинова"/>
  </r>
  <r>
    <x v="1"/>
    <s v="Казань"/>
    <d v="2025-03-11T00:00:00"/>
    <x v="6"/>
    <s v="Капучино"/>
    <x v="1"/>
    <n v="2"/>
    <n v="382"/>
    <s v="Анна К."/>
    <s v="Алия Гайнутдинова"/>
  </r>
  <r>
    <x v="1"/>
    <s v="Казань"/>
    <d v="2025-08-03T00:00:00"/>
    <x v="9"/>
    <s v="Капучино"/>
    <x v="1"/>
    <n v="1"/>
    <n v="235"/>
    <s v="Игорь С."/>
    <s v="Алия Гайнутдинова"/>
  </r>
  <r>
    <x v="1"/>
    <s v="Казань"/>
    <d v="2025-05-24T00:00:00"/>
    <x v="10"/>
    <s v="Круассан"/>
    <x v="0"/>
    <n v="1"/>
    <n v="198"/>
    <s v="Елена В."/>
    <s v="Алия Гайнутдинова"/>
  </r>
  <r>
    <x v="1"/>
    <s v="Казань"/>
    <d v="2025-04-03T00:00:00"/>
    <x v="11"/>
    <s v="Раф"/>
    <x v="1"/>
    <n v="1"/>
    <n v="271"/>
    <s v="Анна К."/>
    <s v="Алия Гайнутдинова"/>
  </r>
  <r>
    <x v="1"/>
    <s v="Казань"/>
    <d v="2025-04-02T00:00:00"/>
    <x v="11"/>
    <s v="Американо"/>
    <x v="1"/>
    <n v="1"/>
    <n v="152"/>
    <s v="Елена В."/>
    <s v="Алия Гайнутдинова"/>
  </r>
  <r>
    <x v="1"/>
    <s v="Казань"/>
    <d v="2025-09-11T00:00:00"/>
    <x v="1"/>
    <s v="Круассан"/>
    <x v="0"/>
    <n v="1"/>
    <n v="165"/>
    <s v="Виктор Л."/>
    <s v="Алия Гайнутдинова"/>
  </r>
  <r>
    <x v="1"/>
    <s v="Казань"/>
    <d v="2025-06-15T00:00:00"/>
    <x v="7"/>
    <s v="Матча латте"/>
    <x v="1"/>
    <n v="2"/>
    <n v="602"/>
    <s v="Анна К."/>
    <s v="Алия Гайнутдинова"/>
  </r>
  <r>
    <x v="1"/>
    <s v="Казань"/>
    <d v="2025-02-04T00:00:00"/>
    <x v="2"/>
    <s v="Американо"/>
    <x v="1"/>
    <n v="3"/>
    <n v="528"/>
    <s v="Максим П."/>
    <s v="Алия Гайнутдинова"/>
  </r>
  <r>
    <x v="1"/>
    <s v="Казань"/>
    <d v="2025-02-16T00:00:00"/>
    <x v="2"/>
    <s v="Американо"/>
    <x v="1"/>
    <n v="2"/>
    <n v="298"/>
    <s v="Максим П."/>
    <s v="Алия Гайнутдинова"/>
  </r>
  <r>
    <x v="1"/>
    <s v="Казань"/>
    <d v="2025-10-27T00:00:00"/>
    <x v="3"/>
    <s v="Эспрессо"/>
    <x v="1"/>
    <n v="1"/>
    <n v="156"/>
    <s v="Игорь С."/>
    <s v="Алия Гайнутдинова"/>
  </r>
  <r>
    <x v="1"/>
    <s v="Казань"/>
    <d v="2025-12-27T00:00:00"/>
    <x v="0"/>
    <s v="Чизкейк"/>
    <x v="0"/>
    <n v="1"/>
    <n v="277"/>
    <s v="Виктор Л."/>
    <s v="Алия Гайнутдинова"/>
  </r>
  <r>
    <x v="1"/>
    <s v="Казань"/>
    <d v="2025-11-26T00:00:00"/>
    <x v="8"/>
    <s v="Синнабон"/>
    <x v="0"/>
    <n v="2"/>
    <n v="412"/>
    <s v="Игорь С."/>
    <s v="Алия Гайнутдинова"/>
  </r>
  <r>
    <x v="1"/>
    <s v="Казань"/>
    <d v="2025-11-04T00:00:00"/>
    <x v="8"/>
    <s v="Салат Цезарь"/>
    <x v="2"/>
    <n v="2"/>
    <n v="798"/>
    <s v="Виктор Л."/>
    <s v="Алия Гайнутдинова"/>
  </r>
  <r>
    <x v="1"/>
    <s v="Казань"/>
    <d v="2025-02-06T00:00:00"/>
    <x v="2"/>
    <s v="Салат Цезарь"/>
    <x v="2"/>
    <n v="1"/>
    <n v="397"/>
    <s v="Наталья Р."/>
    <s v="Алия Гайнутдинова"/>
  </r>
  <r>
    <x v="1"/>
    <s v="Казань"/>
    <d v="2025-02-17T00:00:00"/>
    <x v="2"/>
    <s v="Круассан"/>
    <x v="0"/>
    <n v="2"/>
    <n v="330"/>
    <s v="Наталья Р."/>
    <s v="Алия Гайнутдинова"/>
  </r>
  <r>
    <x v="1"/>
    <s v="Казань"/>
    <d v="2025-02-24T00:00:00"/>
    <x v="2"/>
    <s v="Салат Цезарь"/>
    <x v="2"/>
    <n v="2"/>
    <n v="746"/>
    <s v="Наталья Р."/>
    <s v="Алия Гайнутдинова"/>
  </r>
  <r>
    <x v="1"/>
    <s v="Казань"/>
    <d v="2025-10-05T00:00:00"/>
    <x v="3"/>
    <s v="Чизкейк"/>
    <x v="0"/>
    <n v="2"/>
    <n v="556"/>
    <s v="Виктор Л."/>
    <s v="Алия Гайнутдинова"/>
  </r>
  <r>
    <x v="1"/>
    <s v="Казань"/>
    <d v="2025-04-12T00:00:00"/>
    <x v="11"/>
    <s v="Раф"/>
    <x v="1"/>
    <n v="1"/>
    <n v="234"/>
    <s v="Елена В."/>
    <s v="Алия Гайнутдинова"/>
  </r>
  <r>
    <x v="1"/>
    <s v="Казань"/>
    <d v="2025-09-12T00:00:00"/>
    <x v="1"/>
    <s v="Латте"/>
    <x v="1"/>
    <n v="2"/>
    <n v="502"/>
    <s v="Наталья Р."/>
    <s v="Алия Гайнутдинова"/>
  </r>
  <r>
    <x v="1"/>
    <s v="Казань"/>
    <d v="2025-09-22T00:00:00"/>
    <x v="1"/>
    <s v="Какао"/>
    <x v="1"/>
    <n v="3"/>
    <n v="642"/>
    <s v="Наталья Р."/>
    <s v="Алия Гайнутдинова"/>
  </r>
  <r>
    <x v="1"/>
    <s v="Казань"/>
    <d v="2025-06-01T00:00:00"/>
    <x v="7"/>
    <s v="Латте"/>
    <x v="1"/>
    <n v="2"/>
    <n v="496"/>
    <s v="Наталья Р."/>
    <s v="Алия Гайнутдинова"/>
  </r>
  <r>
    <x v="1"/>
    <s v="Казань"/>
    <d v="2025-11-19T00:00:00"/>
    <x v="8"/>
    <s v="Латте"/>
    <x v="1"/>
    <n v="1"/>
    <n v="223"/>
    <s v="Елена В."/>
    <s v="Алия Гайнутдинова"/>
  </r>
  <r>
    <x v="1"/>
    <s v="Казань"/>
    <d v="2025-07-20T00:00:00"/>
    <x v="5"/>
    <s v="Круассан"/>
    <x v="0"/>
    <n v="1"/>
    <n v="175"/>
    <s v="Анна К."/>
    <s v="Алия Гайнутдинова"/>
  </r>
  <r>
    <x v="1"/>
    <s v="Казань"/>
    <d v="2025-05-08T00:00:00"/>
    <x v="10"/>
    <s v="Чизкейк"/>
    <x v="0"/>
    <n v="3"/>
    <n v="747"/>
    <s v="Анна К."/>
    <s v="Алия Гайнутдинова"/>
  </r>
  <r>
    <x v="1"/>
    <s v="Казань"/>
    <d v="2025-08-20T00:00:00"/>
    <x v="9"/>
    <s v="Раф"/>
    <x v="1"/>
    <n v="1"/>
    <n v="245"/>
    <s v="Игорь С."/>
    <s v="Алия Гайнутдинова"/>
  </r>
  <r>
    <x v="1"/>
    <s v="Казань"/>
    <d v="2025-03-16T00:00:00"/>
    <x v="6"/>
    <s v="Салат Цезарь"/>
    <x v="2"/>
    <n v="2"/>
    <n v="730"/>
    <s v="Игорь С."/>
    <s v="Алия Гайнутдинова"/>
  </r>
  <r>
    <x v="1"/>
    <s v="Казань"/>
    <d v="2025-09-14T00:00:00"/>
    <x v="1"/>
    <s v="Чизкейк"/>
    <x v="0"/>
    <n v="1"/>
    <n v="252"/>
    <s v="Игорь С."/>
    <s v="Алия Гайнутдинова"/>
  </r>
  <r>
    <x v="1"/>
    <s v="Казань"/>
    <d v="2025-03-07T00:00:00"/>
    <x v="6"/>
    <s v="Сэндвич"/>
    <x v="2"/>
    <n v="1"/>
    <n v="316"/>
    <s v="Игорь С."/>
    <s v="Алия Гайнутдинова"/>
  </r>
  <r>
    <x v="1"/>
    <s v="Казань"/>
    <d v="2025-01-19T00:00:00"/>
    <x v="4"/>
    <s v="Американо"/>
    <x v="1"/>
    <n v="3"/>
    <n v="549"/>
    <s v="Виктор Л."/>
    <s v="Алия Гайнутдинова"/>
  </r>
  <r>
    <x v="1"/>
    <s v="Казань"/>
    <d v="2025-02-17T00:00:00"/>
    <x v="2"/>
    <s v="Какао"/>
    <x v="1"/>
    <n v="2"/>
    <n v="390"/>
    <s v="Виктор Л."/>
    <s v="Алия Гайнутдинова"/>
  </r>
  <r>
    <x v="1"/>
    <s v="Казань"/>
    <d v="2025-12-26T00:00:00"/>
    <x v="0"/>
    <s v="Капучино"/>
    <x v="1"/>
    <n v="1"/>
    <n v="213"/>
    <s v="Максим П."/>
    <s v="Алия Гайнутдинова"/>
  </r>
  <r>
    <x v="1"/>
    <s v="Казань"/>
    <d v="2025-04-06T00:00:00"/>
    <x v="11"/>
    <s v="Раф"/>
    <x v="1"/>
    <n v="1"/>
    <n v="236"/>
    <s v="Елена В."/>
    <s v="Алия Гайнутдинова"/>
  </r>
  <r>
    <x v="1"/>
    <s v="Казань"/>
    <d v="2025-01-11T00:00:00"/>
    <x v="4"/>
    <s v="Синнабон"/>
    <x v="0"/>
    <n v="1"/>
    <n v="204"/>
    <s v="Максим П."/>
    <s v="Алия Гайнутдинова"/>
  </r>
  <r>
    <x v="1"/>
    <s v="Казань"/>
    <d v="2025-05-02T00:00:00"/>
    <x v="10"/>
    <s v="Матча латте"/>
    <x v="1"/>
    <n v="1"/>
    <n v="286"/>
    <s v="Наталья Р."/>
    <s v="Алия Гайнутдинова"/>
  </r>
  <r>
    <x v="1"/>
    <s v="Казань"/>
    <d v="2025-04-18T00:00:00"/>
    <x v="11"/>
    <s v="Раф"/>
    <x v="1"/>
    <n v="2"/>
    <n v="546"/>
    <s v="Максим П."/>
    <s v="Алия Гайнутдинова"/>
  </r>
  <r>
    <x v="1"/>
    <s v="Казань"/>
    <d v="2025-06-16T00:00:00"/>
    <x v="7"/>
    <s v="Латте"/>
    <x v="1"/>
    <n v="2"/>
    <n v="416"/>
    <s v="Елена В."/>
    <s v="Алия Гайнутдинова"/>
  </r>
  <r>
    <x v="1"/>
    <s v="Казань"/>
    <d v="2025-08-03T00:00:00"/>
    <x v="9"/>
    <s v="Матча латте"/>
    <x v="1"/>
    <n v="2"/>
    <n v="606"/>
    <s v="Анна К."/>
    <s v="Алия Гайнутдинова"/>
  </r>
  <r>
    <x v="1"/>
    <s v="Казань"/>
    <d v="2025-12-02T00:00:00"/>
    <x v="0"/>
    <s v="Синнабон"/>
    <x v="0"/>
    <n v="1"/>
    <n v="190"/>
    <s v="Анна К."/>
    <s v="Алия Гайнутдинова"/>
  </r>
  <r>
    <x v="1"/>
    <s v="Казань"/>
    <d v="2025-06-26T00:00:00"/>
    <x v="7"/>
    <s v="Сэндвич"/>
    <x v="2"/>
    <n v="2"/>
    <n v="686"/>
    <s v="Игорь С."/>
    <s v="Алия Гайнутдинова"/>
  </r>
  <r>
    <x v="1"/>
    <s v="Казань"/>
    <d v="2025-05-21T00:00:00"/>
    <x v="10"/>
    <s v="Раф"/>
    <x v="1"/>
    <n v="1"/>
    <n v="256"/>
    <s v="Елена В."/>
    <s v="Алия Гайнутдинова"/>
  </r>
  <r>
    <x v="1"/>
    <s v="Казань"/>
    <d v="2025-04-26T00:00:00"/>
    <x v="11"/>
    <s v="Круассан"/>
    <x v="0"/>
    <n v="2"/>
    <n v="366"/>
    <s v="Виктор Л."/>
    <s v="Алия Гайнутдинова"/>
  </r>
  <r>
    <x v="1"/>
    <s v="Казань"/>
    <d v="2025-07-10T00:00:00"/>
    <x v="5"/>
    <s v="Раф"/>
    <x v="1"/>
    <n v="1"/>
    <n v="233"/>
    <s v="Наталья Р."/>
    <s v="Алия Гайнутдинова"/>
  </r>
  <r>
    <x v="1"/>
    <s v="Казань"/>
    <d v="2025-05-28T00:00:00"/>
    <x v="10"/>
    <s v="Капучино"/>
    <x v="1"/>
    <n v="1"/>
    <n v="214"/>
    <s v="Игорь С."/>
    <s v="Алия Гайнутдинова"/>
  </r>
  <r>
    <x v="1"/>
    <s v="Казань"/>
    <d v="2025-05-16T00:00:00"/>
    <x v="10"/>
    <s v="Чизкейк"/>
    <x v="0"/>
    <n v="2"/>
    <n v="464"/>
    <s v="Елена В."/>
    <s v="Алия Гайнутдинова"/>
  </r>
  <r>
    <x v="1"/>
    <s v="Казань"/>
    <d v="2025-12-14T00:00:00"/>
    <x v="0"/>
    <s v="Американо"/>
    <x v="1"/>
    <n v="1"/>
    <n v="182"/>
    <s v="Наталья Р."/>
    <s v="Алия Гайнутдинова"/>
  </r>
  <r>
    <x v="1"/>
    <s v="Казань"/>
    <d v="2025-01-28T00:00:00"/>
    <x v="4"/>
    <s v="Синнабон"/>
    <x v="0"/>
    <n v="2"/>
    <n v="420"/>
    <s v="Максим П."/>
    <s v="Алия Гайнутдинова"/>
  </r>
  <r>
    <x v="1"/>
    <s v="Казань"/>
    <d v="2025-09-11T00:00:00"/>
    <x v="1"/>
    <s v="Круассан"/>
    <x v="0"/>
    <n v="3"/>
    <n v="498"/>
    <s v="Анна К."/>
    <s v="Алия Гайнутдинова"/>
  </r>
  <r>
    <x v="1"/>
    <s v="Казань"/>
    <d v="2025-05-20T00:00:00"/>
    <x v="10"/>
    <s v="Раф"/>
    <x v="1"/>
    <n v="1"/>
    <n v="255"/>
    <s v="Максим П."/>
    <s v="Алия Гайнутдинова"/>
  </r>
  <r>
    <x v="1"/>
    <s v="Казань"/>
    <d v="2025-11-09T00:00:00"/>
    <x v="8"/>
    <s v="Капучино"/>
    <x v="1"/>
    <n v="2"/>
    <n v="434"/>
    <s v="Максим П."/>
    <s v="Алия Гайнутдинова"/>
  </r>
  <r>
    <x v="1"/>
    <s v="Казань"/>
    <d v="2025-07-22T00:00:00"/>
    <x v="5"/>
    <s v="Синнабон"/>
    <x v="0"/>
    <n v="2"/>
    <n v="396"/>
    <s v="Виктор Л."/>
    <s v="Алия Гайнутдинова"/>
  </r>
  <r>
    <x v="1"/>
    <s v="Казань"/>
    <d v="2025-03-08T00:00:00"/>
    <x v="6"/>
    <s v="Эспрессо"/>
    <x v="1"/>
    <n v="1"/>
    <n v="140"/>
    <s v="Анна К."/>
    <s v="Алия Гайнутдинова"/>
  </r>
  <r>
    <x v="1"/>
    <s v="Казань"/>
    <d v="2025-03-24T00:00:00"/>
    <x v="6"/>
    <s v="Сэндвич"/>
    <x v="2"/>
    <n v="2"/>
    <n v="598"/>
    <s v="Наталья Р."/>
    <s v="Алия Гайнутдинова"/>
  </r>
  <r>
    <x v="1"/>
    <s v="Казань"/>
    <d v="2025-01-18T00:00:00"/>
    <x v="4"/>
    <s v="Салат Цезарь"/>
    <x v="2"/>
    <n v="1"/>
    <n v="376"/>
    <s v="Виктор Л."/>
    <s v="Алия Гайнутдинова"/>
  </r>
  <r>
    <x v="1"/>
    <s v="Казань"/>
    <d v="2025-09-07T00:00:00"/>
    <x v="1"/>
    <s v="Синнабон"/>
    <x v="0"/>
    <n v="3"/>
    <n v="666"/>
    <s v="Наталья Р."/>
    <s v="Алия Гайнутдинова"/>
  </r>
  <r>
    <x v="1"/>
    <s v="Казань"/>
    <d v="2025-02-22T00:00:00"/>
    <x v="2"/>
    <s v="Какао"/>
    <x v="1"/>
    <n v="2"/>
    <n v="420"/>
    <s v="Игорь С."/>
    <s v="Алия Гайнутдинова"/>
  </r>
  <r>
    <x v="1"/>
    <s v="Казань"/>
    <d v="2025-01-02T00:00:00"/>
    <x v="4"/>
    <s v="Капучино"/>
    <x v="1"/>
    <n v="1"/>
    <n v="239"/>
    <s v="Виктор Л."/>
    <s v="Алия Гайнутдинова"/>
  </r>
  <r>
    <x v="1"/>
    <s v="Казань"/>
    <d v="2025-09-20T00:00:00"/>
    <x v="1"/>
    <s v="Круассан"/>
    <x v="0"/>
    <n v="3"/>
    <n v="531"/>
    <s v="Виктор Л."/>
    <s v="Алия Гайнутдинова"/>
  </r>
  <r>
    <x v="1"/>
    <s v="Казань"/>
    <d v="2025-01-26T00:00:00"/>
    <x v="4"/>
    <s v="Круассан"/>
    <x v="0"/>
    <n v="2"/>
    <n v="322"/>
    <s v="Игорь С."/>
    <s v="Алия Гайнутдинова"/>
  </r>
  <r>
    <x v="1"/>
    <s v="Казань"/>
    <d v="2025-04-12T00:00:00"/>
    <x v="11"/>
    <s v="Раф"/>
    <x v="1"/>
    <n v="1"/>
    <n v="260"/>
    <s v="Елена В."/>
    <s v="Алия Гайнутдинова"/>
  </r>
  <r>
    <x v="1"/>
    <s v="Казань"/>
    <d v="2025-10-16T00:00:00"/>
    <x v="3"/>
    <s v="Капучино"/>
    <x v="1"/>
    <n v="2"/>
    <n v="410"/>
    <s v="Наталья Р."/>
    <s v="Алия Гайнутдинова"/>
  </r>
  <r>
    <x v="1"/>
    <s v="Казань"/>
    <d v="2025-05-17T00:00:00"/>
    <x v="10"/>
    <s v="Раф"/>
    <x v="1"/>
    <n v="2"/>
    <n v="570"/>
    <s v="Елена В."/>
    <s v="Алия Гайнутдинова"/>
  </r>
  <r>
    <x v="1"/>
    <s v="Казань"/>
    <d v="2025-09-21T00:00:00"/>
    <x v="1"/>
    <s v="Круассан"/>
    <x v="0"/>
    <n v="2"/>
    <n v="400"/>
    <s v="Наталья Р."/>
    <s v="Алия Гайнутдинова"/>
  </r>
  <r>
    <x v="1"/>
    <s v="Казань"/>
    <d v="2025-11-07T00:00:00"/>
    <x v="8"/>
    <s v="Какао"/>
    <x v="1"/>
    <n v="1"/>
    <n v="198"/>
    <s v="Максим П."/>
    <s v="Алия Гайнутдинова"/>
  </r>
  <r>
    <x v="1"/>
    <s v="Казань"/>
    <d v="2025-06-08T00:00:00"/>
    <x v="7"/>
    <s v="Чизкейк"/>
    <x v="0"/>
    <n v="3"/>
    <n v="777"/>
    <s v="Наталья Р."/>
    <s v="Алия Гайнутдинова"/>
  </r>
  <r>
    <x v="1"/>
    <s v="Казань"/>
    <d v="2025-05-01T00:00:00"/>
    <x v="10"/>
    <s v="Круассан"/>
    <x v="0"/>
    <n v="3"/>
    <n v="525"/>
    <s v="Анна К."/>
    <s v="Алия Гайнутдинова"/>
  </r>
  <r>
    <x v="2"/>
    <s v="Краснодар"/>
    <d v="2025-03-20T00:00:00"/>
    <x v="6"/>
    <s v="Американо"/>
    <x v="1"/>
    <n v="1"/>
    <n v="163"/>
    <s v="Светлана М."/>
    <s v="Павел Ткаченко"/>
  </r>
  <r>
    <x v="2"/>
    <s v="Краснодар"/>
    <d v="2025-07-04T00:00:00"/>
    <x v="5"/>
    <s v="Латте"/>
    <x v="1"/>
    <n v="1"/>
    <n v="211"/>
    <s v="Артём Б."/>
    <s v="Павел Ткаченко"/>
  </r>
  <r>
    <x v="2"/>
    <s v="Краснодар"/>
    <d v="2025-07-06T00:00:00"/>
    <x v="5"/>
    <s v="Раф"/>
    <x v="1"/>
    <n v="1"/>
    <n v="276"/>
    <s v="Артём Б."/>
    <s v="Павел Ткаченко"/>
  </r>
  <r>
    <x v="2"/>
    <s v="Краснодар"/>
    <d v="2025-03-04T00:00:00"/>
    <x v="6"/>
    <s v="Синнабон"/>
    <x v="0"/>
    <n v="1"/>
    <n v="201"/>
    <s v="Артём Б."/>
    <s v="Павел Ткаченко"/>
  </r>
  <r>
    <x v="2"/>
    <s v="Краснодар"/>
    <d v="2025-12-16T00:00:00"/>
    <x v="0"/>
    <s v="Раф"/>
    <x v="1"/>
    <n v="1"/>
    <n v="287"/>
    <s v="Артём Б."/>
    <s v="Павел Ткаченко"/>
  </r>
  <r>
    <x v="2"/>
    <s v="Краснодар"/>
    <d v="2025-11-08T00:00:00"/>
    <x v="8"/>
    <s v="Чизкейк"/>
    <x v="0"/>
    <n v="1"/>
    <n v="234"/>
    <s v="Артём Б."/>
    <s v="Павел Ткаченко"/>
  </r>
  <r>
    <x v="2"/>
    <s v="Краснодар"/>
    <d v="2025-02-01T00:00:00"/>
    <x v="2"/>
    <s v="Синнабон"/>
    <x v="0"/>
    <n v="3"/>
    <n v="702"/>
    <s v="Юлия Д."/>
    <s v="Павел Ткаченко"/>
  </r>
  <r>
    <x v="2"/>
    <s v="Краснодар"/>
    <d v="2025-11-20T00:00:00"/>
    <x v="8"/>
    <s v="Чизкейк"/>
    <x v="0"/>
    <n v="1"/>
    <n v="273"/>
    <s v="Юлия Д."/>
    <s v="Павел Ткаченко"/>
  </r>
  <r>
    <x v="2"/>
    <s v="Краснодар"/>
    <d v="2025-11-20T00:00:00"/>
    <x v="8"/>
    <s v="Латте"/>
    <x v="1"/>
    <n v="1"/>
    <n v="245"/>
    <s v="Артём Б."/>
    <s v="Павел Ткаченко"/>
  </r>
  <r>
    <x v="2"/>
    <s v="Краснодар"/>
    <d v="2025-09-14T00:00:00"/>
    <x v="1"/>
    <s v="Матча латте"/>
    <x v="1"/>
    <n v="3"/>
    <n v="945"/>
    <s v="Юлия Д."/>
    <s v="Павел Ткаченко"/>
  </r>
  <r>
    <x v="2"/>
    <s v="Краснодар"/>
    <d v="2025-12-04T00:00:00"/>
    <x v="0"/>
    <s v="Синнабон"/>
    <x v="0"/>
    <n v="1"/>
    <n v="233"/>
    <s v="Светлана М."/>
    <s v="Павел Ткаченко"/>
  </r>
  <r>
    <x v="2"/>
    <s v="Краснодар"/>
    <d v="2025-10-23T00:00:00"/>
    <x v="3"/>
    <s v="Салат Цезарь"/>
    <x v="2"/>
    <n v="1"/>
    <n v="405"/>
    <s v="Наталья Р."/>
    <s v="Павел Ткаченко"/>
  </r>
  <r>
    <x v="2"/>
    <s v="Краснодар"/>
    <d v="2025-03-11T00:00:00"/>
    <x v="6"/>
    <s v="Синнабон"/>
    <x v="0"/>
    <n v="2"/>
    <n v="438"/>
    <s v="Виктор Л."/>
    <s v="Павел Ткаченко"/>
  </r>
  <r>
    <x v="2"/>
    <s v="Краснодар"/>
    <d v="2025-06-05T00:00:00"/>
    <x v="7"/>
    <s v="Сэндвич"/>
    <x v="2"/>
    <n v="1"/>
    <n v="347"/>
    <s v="Роман Ф."/>
    <s v="Павел Ткаченко"/>
  </r>
  <r>
    <x v="2"/>
    <s v="Краснодар"/>
    <d v="2025-09-22T00:00:00"/>
    <x v="1"/>
    <s v="Раф"/>
    <x v="1"/>
    <n v="1"/>
    <n v="278"/>
    <s v="Юлия Д."/>
    <s v="Павел Ткаченко"/>
  </r>
  <r>
    <x v="2"/>
    <s v="Краснодар"/>
    <d v="2025-08-01T00:00:00"/>
    <x v="9"/>
    <s v="Капучино"/>
    <x v="1"/>
    <n v="2"/>
    <n v="384"/>
    <s v="Юлия Д."/>
    <s v="Павел Ткаченко"/>
  </r>
  <r>
    <x v="2"/>
    <s v="Краснодар"/>
    <d v="2025-11-09T00:00:00"/>
    <x v="8"/>
    <s v="Какао"/>
    <x v="1"/>
    <n v="1"/>
    <n v="200"/>
    <s v="Наталья Р."/>
    <s v="Павел Ткаченко"/>
  </r>
  <r>
    <x v="2"/>
    <s v="Краснодар"/>
    <d v="2025-09-27T00:00:00"/>
    <x v="1"/>
    <s v="Круассан"/>
    <x v="0"/>
    <n v="1"/>
    <n v="177"/>
    <s v="Артём Б."/>
    <s v="Павел Ткаченко"/>
  </r>
  <r>
    <x v="2"/>
    <s v="Краснодар"/>
    <d v="2025-01-05T00:00:00"/>
    <x v="4"/>
    <s v="Круассан"/>
    <x v="0"/>
    <n v="1"/>
    <n v="164"/>
    <s v="Виктор Л."/>
    <s v="Павел Ткаченко"/>
  </r>
  <r>
    <x v="2"/>
    <s v="Краснодар"/>
    <d v="2025-03-21T00:00:00"/>
    <x v="6"/>
    <s v="Салат Цезарь"/>
    <x v="2"/>
    <n v="3"/>
    <n v="1116"/>
    <s v="Виктор Л."/>
    <s v="Павел Ткаченко"/>
  </r>
  <r>
    <x v="2"/>
    <s v="Краснодар"/>
    <d v="2025-01-21T00:00:00"/>
    <x v="4"/>
    <s v="Латте"/>
    <x v="1"/>
    <n v="1"/>
    <n v="226"/>
    <s v="Наталья Р."/>
    <s v="Павел Ткаченко"/>
  </r>
  <r>
    <x v="2"/>
    <s v="Краснодар"/>
    <d v="2025-10-28T00:00:00"/>
    <x v="3"/>
    <s v="Сэндвич"/>
    <x v="2"/>
    <n v="3"/>
    <n v="849"/>
    <s v="Роман Ф."/>
    <s v="Павел Ткаченко"/>
  </r>
  <r>
    <x v="2"/>
    <s v="Краснодар"/>
    <d v="2025-08-12T00:00:00"/>
    <x v="9"/>
    <s v="Капучино"/>
    <x v="1"/>
    <n v="3"/>
    <n v="717"/>
    <s v="Роман Ф."/>
    <s v="Павел Ткаченко"/>
  </r>
  <r>
    <x v="2"/>
    <s v="Краснодар"/>
    <d v="2025-06-14T00:00:00"/>
    <x v="7"/>
    <s v="Какао"/>
    <x v="1"/>
    <n v="3"/>
    <n v="660"/>
    <s v="Юлия Д."/>
    <s v="Павел Ткаченко"/>
  </r>
  <r>
    <x v="2"/>
    <s v="Краснодар"/>
    <d v="2025-12-03T00:00:00"/>
    <x v="0"/>
    <s v="Какао"/>
    <x v="1"/>
    <n v="2"/>
    <n v="414"/>
    <s v="Наталья Р."/>
    <s v="Павел Ткаченко"/>
  </r>
  <r>
    <x v="2"/>
    <s v="Краснодар"/>
    <d v="2025-07-18T00:00:00"/>
    <x v="5"/>
    <s v="Раф"/>
    <x v="1"/>
    <n v="2"/>
    <n v="564"/>
    <s v="Артём Б."/>
    <s v="Павел Ткаченко"/>
  </r>
  <r>
    <x v="2"/>
    <s v="Краснодар"/>
    <d v="2025-08-25T00:00:00"/>
    <x v="9"/>
    <s v="Салат Цезарь"/>
    <x v="2"/>
    <n v="1"/>
    <n v="419"/>
    <s v="Артём Б."/>
    <s v="Павел Ткаченко"/>
  </r>
  <r>
    <x v="2"/>
    <s v="Краснодар"/>
    <d v="2025-02-16T00:00:00"/>
    <x v="2"/>
    <s v="Капучино"/>
    <x v="1"/>
    <n v="2"/>
    <n v="364"/>
    <s v="Наталья Р."/>
    <s v="Павел Ткаченко"/>
  </r>
  <r>
    <x v="2"/>
    <s v="Краснодар"/>
    <d v="2025-02-03T00:00:00"/>
    <x v="2"/>
    <s v="Американо"/>
    <x v="1"/>
    <n v="1"/>
    <n v="152"/>
    <s v="Роман Ф."/>
    <s v="Павел Ткаченко"/>
  </r>
  <r>
    <x v="2"/>
    <s v="Краснодар"/>
    <d v="2025-10-04T00:00:00"/>
    <x v="3"/>
    <s v="Какао"/>
    <x v="1"/>
    <n v="1"/>
    <n v="228"/>
    <s v="Юлия Д."/>
    <s v="Павел Ткаченко"/>
  </r>
  <r>
    <x v="2"/>
    <s v="Краснодар"/>
    <d v="2025-10-02T00:00:00"/>
    <x v="3"/>
    <s v="Капучино"/>
    <x v="1"/>
    <n v="1"/>
    <n v="218"/>
    <s v="Наталья Р."/>
    <s v="Павел Ткаченко"/>
  </r>
  <r>
    <x v="2"/>
    <s v="Краснодар"/>
    <d v="2025-02-05T00:00:00"/>
    <x v="2"/>
    <s v="Салат Цезарь"/>
    <x v="2"/>
    <n v="2"/>
    <n v="808"/>
    <s v="Светлана М."/>
    <s v="Павел Ткаченко"/>
  </r>
  <r>
    <x v="2"/>
    <s v="Краснодар"/>
    <d v="2025-10-24T00:00:00"/>
    <x v="3"/>
    <s v="Капучино"/>
    <x v="1"/>
    <n v="1"/>
    <n v="226"/>
    <s v="Виктор Л."/>
    <s v="Павел Ткаченко"/>
  </r>
  <r>
    <x v="2"/>
    <s v="Краснодар"/>
    <d v="2025-06-05T00:00:00"/>
    <x v="7"/>
    <s v="Эспрессо"/>
    <x v="1"/>
    <n v="1"/>
    <n v="149"/>
    <s v="Роман Ф."/>
    <s v="Павел Ткаченко"/>
  </r>
  <r>
    <x v="2"/>
    <s v="Краснодар"/>
    <d v="2025-08-10T00:00:00"/>
    <x v="9"/>
    <s v="Эспрессо"/>
    <x v="1"/>
    <n v="1"/>
    <n v="137"/>
    <s v="Юлия Д."/>
    <s v="Павел Ткаченко"/>
  </r>
  <r>
    <x v="2"/>
    <s v="Краснодар"/>
    <d v="2025-02-14T00:00:00"/>
    <x v="2"/>
    <s v="Матча латте"/>
    <x v="1"/>
    <n v="1"/>
    <n v="283"/>
    <s v="Юлия Д."/>
    <s v="Павел Ткаченко"/>
  </r>
  <r>
    <x v="2"/>
    <s v="Краснодар"/>
    <d v="2025-01-05T00:00:00"/>
    <x v="4"/>
    <s v="Раф"/>
    <x v="1"/>
    <n v="1"/>
    <n v="267"/>
    <s v="Светлана М."/>
    <s v="Павел Ткаченко"/>
  </r>
  <r>
    <x v="2"/>
    <s v="Краснодар"/>
    <d v="2025-12-03T00:00:00"/>
    <x v="0"/>
    <s v="Раф"/>
    <x v="1"/>
    <n v="3"/>
    <n v="804"/>
    <s v="Роман Ф."/>
    <s v="Павел Ткаченко"/>
  </r>
  <r>
    <x v="2"/>
    <s v="Краснодар"/>
    <d v="2025-09-07T00:00:00"/>
    <x v="1"/>
    <s v="Эспрессо"/>
    <x v="1"/>
    <n v="3"/>
    <n v="399"/>
    <s v="Светлана М."/>
    <s v="Павел Ткаченко"/>
  </r>
  <r>
    <x v="2"/>
    <s v="Краснодар"/>
    <d v="2025-12-19T00:00:00"/>
    <x v="0"/>
    <s v="Синнабон"/>
    <x v="0"/>
    <n v="2"/>
    <n v="450"/>
    <s v="Виктор Л."/>
    <s v="Павел Ткаченко"/>
  </r>
  <r>
    <x v="2"/>
    <s v="Краснодар"/>
    <d v="2025-06-02T00:00:00"/>
    <x v="7"/>
    <s v="Сэндвич"/>
    <x v="2"/>
    <n v="1"/>
    <n v="320"/>
    <s v="Артём Б."/>
    <s v="Павел Ткаченко"/>
  </r>
  <r>
    <x v="2"/>
    <s v="Краснодар"/>
    <d v="2025-02-02T00:00:00"/>
    <x v="2"/>
    <s v="Сэндвич"/>
    <x v="2"/>
    <n v="2"/>
    <n v="710"/>
    <s v="Роман Ф."/>
    <s v="Павел Ткаченко"/>
  </r>
  <r>
    <x v="2"/>
    <s v="Краснодар"/>
    <d v="2025-02-09T00:00:00"/>
    <x v="2"/>
    <s v="Раф"/>
    <x v="1"/>
    <n v="1"/>
    <n v="272"/>
    <s v="Виктор Л."/>
    <s v="Павел Ткаченко"/>
  </r>
  <r>
    <x v="2"/>
    <s v="Краснодар"/>
    <d v="2025-04-13T00:00:00"/>
    <x v="11"/>
    <s v="Синнабон"/>
    <x v="0"/>
    <n v="3"/>
    <n v="684"/>
    <s v="Виктор Л."/>
    <s v="Павел Ткаченко"/>
  </r>
  <r>
    <x v="2"/>
    <s v="Краснодар"/>
    <d v="2025-01-11T00:00:00"/>
    <x v="4"/>
    <s v="Синнабон"/>
    <x v="0"/>
    <n v="2"/>
    <n v="466"/>
    <s v="Наталья Р."/>
    <s v="Павел Ткаченко"/>
  </r>
  <r>
    <x v="2"/>
    <s v="Краснодар"/>
    <d v="2025-07-26T00:00:00"/>
    <x v="5"/>
    <s v="Какао"/>
    <x v="1"/>
    <n v="2"/>
    <n v="470"/>
    <s v="Наталья Р."/>
    <s v="Павел Ткаченко"/>
  </r>
  <r>
    <x v="2"/>
    <s v="Краснодар"/>
    <d v="2025-08-06T00:00:00"/>
    <x v="9"/>
    <s v="Чизкейк"/>
    <x v="0"/>
    <n v="1"/>
    <n v="236"/>
    <s v="Юлия Д."/>
    <s v="Павел Ткаченко"/>
  </r>
  <r>
    <x v="2"/>
    <s v="Краснодар"/>
    <d v="2025-12-27T00:00:00"/>
    <x v="0"/>
    <s v="Салат Цезарь"/>
    <x v="2"/>
    <n v="2"/>
    <n v="830"/>
    <s v="Артём Б."/>
    <s v="Павел Ткаченко"/>
  </r>
  <r>
    <x v="2"/>
    <s v="Краснодар"/>
    <d v="2025-04-04T00:00:00"/>
    <x v="11"/>
    <s v="Капучино"/>
    <x v="1"/>
    <n v="1"/>
    <n v="197"/>
    <s v="Юлия Д."/>
    <s v="Павел Ткаченко"/>
  </r>
  <r>
    <x v="2"/>
    <s v="Краснодар"/>
    <d v="2025-04-09T00:00:00"/>
    <x v="11"/>
    <s v="Чизкейк"/>
    <x v="0"/>
    <n v="2"/>
    <n v="544"/>
    <s v="Юлия Д."/>
    <s v="Павел Ткаченко"/>
  </r>
  <r>
    <x v="2"/>
    <s v="Краснодар"/>
    <d v="2025-11-05T00:00:00"/>
    <x v="8"/>
    <s v="Раф"/>
    <x v="1"/>
    <n v="1"/>
    <n v="276"/>
    <s v="Артём Б."/>
    <s v="Павел Ткаченко"/>
  </r>
  <r>
    <x v="2"/>
    <s v="Краснодар"/>
    <d v="2025-02-23T00:00:00"/>
    <x v="2"/>
    <s v="Салат Цезарь"/>
    <x v="2"/>
    <n v="1"/>
    <n v="422"/>
    <s v="Светлана М."/>
    <s v="Павел Ткаченко"/>
  </r>
  <r>
    <x v="2"/>
    <s v="Краснодар"/>
    <d v="2025-10-21T00:00:00"/>
    <x v="3"/>
    <s v="Чизкейк"/>
    <x v="0"/>
    <n v="2"/>
    <n v="490"/>
    <s v="Юлия Д."/>
    <s v="Павел Ткаченко"/>
  </r>
  <r>
    <x v="2"/>
    <s v="Краснодар"/>
    <d v="2025-12-23T00:00:00"/>
    <x v="0"/>
    <s v="Синнабон"/>
    <x v="0"/>
    <n v="1"/>
    <n v="186"/>
    <s v="Артём Б."/>
    <s v="Павел Ткаченко"/>
  </r>
  <r>
    <x v="2"/>
    <s v="Краснодар"/>
    <d v="2025-03-21T00:00:00"/>
    <x v="6"/>
    <s v="Какао"/>
    <x v="1"/>
    <n v="1"/>
    <n v="224"/>
    <s v="Светлана М."/>
    <s v="Павел Ткаченко"/>
  </r>
  <r>
    <x v="2"/>
    <s v="Краснодар"/>
    <d v="2025-08-09T00:00:00"/>
    <x v="9"/>
    <s v="Капучино"/>
    <x v="1"/>
    <n v="3"/>
    <n v="639"/>
    <s v="Юлия Д."/>
    <s v="Павел Ткаченко"/>
  </r>
  <r>
    <x v="2"/>
    <s v="Краснодар"/>
    <d v="2025-09-05T00:00:00"/>
    <x v="1"/>
    <s v="Матча латте"/>
    <x v="1"/>
    <n v="1"/>
    <n v="302"/>
    <s v="Виктор Л."/>
    <s v="Павел Ткаченко"/>
  </r>
  <r>
    <x v="2"/>
    <s v="Краснодар"/>
    <d v="2025-10-28T00:00:00"/>
    <x v="3"/>
    <s v="Капучино"/>
    <x v="1"/>
    <n v="2"/>
    <n v="422"/>
    <s v="Виктор Л."/>
    <s v="Павел Ткаченко"/>
  </r>
  <r>
    <x v="2"/>
    <s v="Краснодар"/>
    <d v="2025-02-05T00:00:00"/>
    <x v="2"/>
    <s v="Сэндвич"/>
    <x v="2"/>
    <n v="3"/>
    <n v="1014"/>
    <s v="Роман Ф."/>
    <s v="Павел Ткаченко"/>
  </r>
  <r>
    <x v="2"/>
    <s v="Краснодар"/>
    <d v="2025-12-08T00:00:00"/>
    <x v="0"/>
    <s v="Сэндвич"/>
    <x v="2"/>
    <n v="1"/>
    <n v="323"/>
    <s v="Артём Б."/>
    <s v="Павел Ткаченко"/>
  </r>
  <r>
    <x v="2"/>
    <s v="Краснодар"/>
    <d v="2025-02-21T00:00:00"/>
    <x v="2"/>
    <s v="Салат Цезарь"/>
    <x v="2"/>
    <n v="2"/>
    <n v="670"/>
    <s v="Наталья Р."/>
    <s v="Павел Ткаченко"/>
  </r>
  <r>
    <x v="2"/>
    <s v="Краснодар"/>
    <d v="2025-12-08T00:00:00"/>
    <x v="0"/>
    <s v="Какао"/>
    <x v="1"/>
    <n v="1"/>
    <n v="208"/>
    <s v="Роман Ф."/>
    <s v="Павел Ткаченко"/>
  </r>
  <r>
    <x v="2"/>
    <s v="Краснодар"/>
    <d v="2025-01-07T00:00:00"/>
    <x v="4"/>
    <s v="Матча латте"/>
    <x v="1"/>
    <n v="2"/>
    <n v="552"/>
    <s v="Светлана М."/>
    <s v="Павел Ткаченко"/>
  </r>
  <r>
    <x v="2"/>
    <s v="Краснодар"/>
    <d v="2025-11-17T00:00:00"/>
    <x v="8"/>
    <s v="Латте"/>
    <x v="1"/>
    <n v="2"/>
    <n v="496"/>
    <s v="Артём Б."/>
    <s v="Павел Ткаченко"/>
  </r>
  <r>
    <x v="2"/>
    <s v="Краснодар"/>
    <d v="2025-09-13T00:00:00"/>
    <x v="1"/>
    <s v="Матча латте"/>
    <x v="1"/>
    <n v="1"/>
    <n v="297"/>
    <s v="Роман Ф."/>
    <s v="Павел Ткаченко"/>
  </r>
  <r>
    <x v="2"/>
    <s v="Краснодар"/>
    <d v="2025-03-23T00:00:00"/>
    <x v="6"/>
    <s v="Какао"/>
    <x v="1"/>
    <n v="3"/>
    <n v="696"/>
    <s v="Юлия Д."/>
    <s v="Павел Ткаченко"/>
  </r>
  <r>
    <x v="2"/>
    <s v="Краснодар"/>
    <d v="2025-09-10T00:00:00"/>
    <x v="1"/>
    <s v="Салат Цезарь"/>
    <x v="2"/>
    <n v="2"/>
    <n v="804"/>
    <s v="Виктор Л."/>
    <s v="Павел Ткаченко"/>
  </r>
  <r>
    <x v="2"/>
    <s v="Краснодар"/>
    <d v="2025-12-25T00:00:00"/>
    <x v="0"/>
    <s v="Сэндвич"/>
    <x v="2"/>
    <n v="3"/>
    <n v="894"/>
    <s v="Виктор Л."/>
    <s v="Павел Ткаченко"/>
  </r>
  <r>
    <x v="2"/>
    <s v="Краснодар"/>
    <d v="2025-01-10T00:00:00"/>
    <x v="4"/>
    <s v="Эспрессо"/>
    <x v="1"/>
    <n v="2"/>
    <n v="242"/>
    <s v="Наталья Р."/>
    <s v="Павел Ткаченко"/>
  </r>
  <r>
    <x v="2"/>
    <s v="Краснодар"/>
    <d v="2025-09-20T00:00:00"/>
    <x v="1"/>
    <s v="Латте"/>
    <x v="1"/>
    <n v="2"/>
    <n v="460"/>
    <s v="Виктор Л."/>
    <s v="Павел Ткаченко"/>
  </r>
  <r>
    <x v="2"/>
    <s v="Краснодар"/>
    <d v="2025-03-04T00:00:00"/>
    <x v="6"/>
    <s v="Круассан"/>
    <x v="0"/>
    <n v="2"/>
    <n v="346"/>
    <s v="Виктор Л."/>
    <s v="Павел Ткаченко"/>
  </r>
  <r>
    <x v="2"/>
    <s v="Краснодар"/>
    <d v="2025-02-22T00:00:00"/>
    <x v="2"/>
    <s v="Эспрессо"/>
    <x v="1"/>
    <n v="1"/>
    <n v="145"/>
    <s v="Артём Б."/>
    <s v="Павел Ткаченко"/>
  </r>
  <r>
    <x v="2"/>
    <s v="Краснодар"/>
    <d v="2025-02-15T00:00:00"/>
    <x v="2"/>
    <s v="Латте"/>
    <x v="1"/>
    <n v="2"/>
    <n v="422"/>
    <s v="Светлана М."/>
    <s v="Павел Ткаченко"/>
  </r>
  <r>
    <x v="2"/>
    <s v="Краснодар"/>
    <d v="2025-08-23T00:00:00"/>
    <x v="9"/>
    <s v="Раф"/>
    <x v="1"/>
    <n v="1"/>
    <n v="241"/>
    <s v="Наталья Р."/>
    <s v="Павел Ткаченко"/>
  </r>
  <r>
    <x v="2"/>
    <s v="Краснодар"/>
    <d v="2025-10-10T00:00:00"/>
    <x v="3"/>
    <s v="Сэндвич"/>
    <x v="2"/>
    <n v="1"/>
    <n v="326"/>
    <s v="Виктор Л."/>
    <s v="Павел Ткаченко"/>
  </r>
  <r>
    <x v="2"/>
    <s v="Краснодар"/>
    <d v="2025-06-23T00:00:00"/>
    <x v="7"/>
    <s v="Круассан"/>
    <x v="0"/>
    <n v="1"/>
    <n v="166"/>
    <s v="Юлия Д."/>
    <s v="Павел Ткаченко"/>
  </r>
  <r>
    <x v="2"/>
    <s v="Краснодар"/>
    <d v="2025-01-24T00:00:00"/>
    <x v="4"/>
    <s v="Эспрессо"/>
    <x v="1"/>
    <n v="1"/>
    <n v="160"/>
    <s v="Роман Ф."/>
    <s v="Павел Ткаченко"/>
  </r>
  <r>
    <x v="2"/>
    <s v="Краснодар"/>
    <d v="2025-01-26T00:00:00"/>
    <x v="4"/>
    <s v="Салат Цезарь"/>
    <x v="2"/>
    <n v="1"/>
    <n v="402"/>
    <s v="Юлия Д."/>
    <s v="Павел Ткаченко"/>
  </r>
  <r>
    <x v="2"/>
    <s v="Краснодар"/>
    <d v="2025-02-12T00:00:00"/>
    <x v="2"/>
    <s v="Сэндвич"/>
    <x v="2"/>
    <n v="2"/>
    <n v="664"/>
    <s v="Артём Б."/>
    <s v="Павел Ткаченко"/>
  </r>
  <r>
    <x v="2"/>
    <s v="Краснодар"/>
    <d v="2025-09-01T00:00:00"/>
    <x v="1"/>
    <s v="Сэндвич"/>
    <x v="2"/>
    <n v="2"/>
    <n v="694"/>
    <s v="Виктор Л."/>
    <s v="Павел Ткаченко"/>
  </r>
  <r>
    <x v="2"/>
    <s v="Краснодар"/>
    <d v="2025-11-20T00:00:00"/>
    <x v="8"/>
    <s v="Американо"/>
    <x v="1"/>
    <n v="3"/>
    <n v="510"/>
    <s v="Роман Ф."/>
    <s v="Павел Ткаченко"/>
  </r>
  <r>
    <x v="2"/>
    <s v="Краснодар"/>
    <d v="2025-03-01T00:00:00"/>
    <x v="6"/>
    <s v="Круассан"/>
    <x v="0"/>
    <n v="2"/>
    <n v="350"/>
    <s v="Артём Б."/>
    <s v="Павел Ткаченко"/>
  </r>
  <r>
    <x v="2"/>
    <s v="Краснодар"/>
    <d v="2025-12-17T00:00:00"/>
    <x v="0"/>
    <s v="Матча латте"/>
    <x v="1"/>
    <n v="1"/>
    <n v="300"/>
    <s v="Юлия Д."/>
    <s v="Павел Ткаченко"/>
  </r>
  <r>
    <x v="2"/>
    <s v="Краснодар"/>
    <d v="2025-04-18T00:00:00"/>
    <x v="11"/>
    <s v="Синнабон"/>
    <x v="0"/>
    <n v="2"/>
    <n v="372"/>
    <s v="Светлана М."/>
    <s v="Павел Ткаченко"/>
  </r>
  <r>
    <x v="2"/>
    <s v="Краснодар"/>
    <d v="2025-11-19T00:00:00"/>
    <x v="8"/>
    <s v="Чизкейк"/>
    <x v="0"/>
    <n v="3"/>
    <n v="807"/>
    <s v="Светлана М."/>
    <s v="Павел Ткаченко"/>
  </r>
  <r>
    <x v="2"/>
    <s v="Краснодар"/>
    <d v="2025-03-06T00:00:00"/>
    <x v="6"/>
    <s v="Салат Цезарь"/>
    <x v="2"/>
    <n v="2"/>
    <n v="794"/>
    <s v="Артём Б."/>
    <s v="Павел Ткаченко"/>
  </r>
  <r>
    <x v="2"/>
    <s v="Краснодар"/>
    <d v="2025-04-02T00:00:00"/>
    <x v="11"/>
    <s v="Капучино"/>
    <x v="1"/>
    <n v="3"/>
    <n v="648"/>
    <s v="Наталья Р."/>
    <s v="Павел Ткаченко"/>
  </r>
  <r>
    <x v="2"/>
    <s v="Краснодар"/>
    <d v="2025-03-17T00:00:00"/>
    <x v="6"/>
    <s v="Эспрессо"/>
    <x v="1"/>
    <n v="2"/>
    <n v="314"/>
    <s v="Виктор Л."/>
    <s v="Павел Ткаченко"/>
  </r>
  <r>
    <x v="2"/>
    <s v="Краснодар"/>
    <d v="2025-10-21T00:00:00"/>
    <x v="3"/>
    <s v="Эспрессо"/>
    <x v="1"/>
    <n v="2"/>
    <n v="284"/>
    <s v="Светлана М."/>
    <s v="Павел Ткаченко"/>
  </r>
  <r>
    <x v="2"/>
    <s v="Краснодар"/>
    <d v="2025-10-09T00:00:00"/>
    <x v="3"/>
    <s v="Американо"/>
    <x v="1"/>
    <n v="1"/>
    <n v="148"/>
    <s v="Наталья Р."/>
    <s v="Павел Ткаченко"/>
  </r>
  <r>
    <x v="2"/>
    <s v="Краснодар"/>
    <d v="2025-04-20T00:00:00"/>
    <x v="11"/>
    <s v="Салат Цезарь"/>
    <x v="2"/>
    <n v="1"/>
    <n v="346"/>
    <s v="Роман Ф."/>
    <s v="Павел Ткаченко"/>
  </r>
  <r>
    <x v="2"/>
    <s v="Краснодар"/>
    <d v="2025-04-14T00:00:00"/>
    <x v="11"/>
    <s v="Эспрессо"/>
    <x v="1"/>
    <n v="1"/>
    <n v="123"/>
    <s v="Роман Ф."/>
    <s v="Павел Ткаченко"/>
  </r>
  <r>
    <x v="2"/>
    <s v="Краснодар"/>
    <d v="2025-10-14T00:00:00"/>
    <x v="3"/>
    <s v="Синнабон"/>
    <x v="0"/>
    <n v="2"/>
    <n v="378"/>
    <s v="Роман Ф."/>
    <s v="Павел Ткаченко"/>
  </r>
  <r>
    <x v="2"/>
    <s v="Краснодар"/>
    <d v="2025-01-08T00:00:00"/>
    <x v="4"/>
    <s v="Круассан"/>
    <x v="0"/>
    <n v="1"/>
    <n v="162"/>
    <s v="Виктор Л."/>
    <s v="Павел Ткаченко"/>
  </r>
  <r>
    <x v="2"/>
    <s v="Краснодар"/>
    <d v="2025-03-06T00:00:00"/>
    <x v="6"/>
    <s v="Американо"/>
    <x v="1"/>
    <n v="1"/>
    <n v="181"/>
    <s v="Роман Ф."/>
    <s v="Павел Ткаченко"/>
  </r>
  <r>
    <x v="2"/>
    <s v="Краснодар"/>
    <d v="2025-04-09T00:00:00"/>
    <x v="11"/>
    <s v="Латте"/>
    <x v="1"/>
    <n v="1"/>
    <n v="251"/>
    <s v="Артём Б."/>
    <s v="Павел Ткаченко"/>
  </r>
  <r>
    <x v="2"/>
    <s v="Краснодар"/>
    <d v="2025-10-18T00:00:00"/>
    <x v="3"/>
    <s v="Раф"/>
    <x v="1"/>
    <n v="1"/>
    <n v="251"/>
    <s v="Виктор Л."/>
    <s v="Павел Ткаченко"/>
  </r>
  <r>
    <x v="2"/>
    <s v="Краснодар"/>
    <d v="2025-03-19T00:00:00"/>
    <x v="6"/>
    <s v="Матча латте"/>
    <x v="1"/>
    <n v="1"/>
    <n v="275"/>
    <s v="Виктор Л."/>
    <s v="Павел Ткаченко"/>
  </r>
  <r>
    <x v="2"/>
    <s v="Краснодар"/>
    <d v="2025-05-27T00:00:00"/>
    <x v="10"/>
    <s v="Синнабон"/>
    <x v="0"/>
    <n v="1"/>
    <n v="207"/>
    <s v="Юлия Д."/>
    <s v="Павел Ткаченко"/>
  </r>
  <r>
    <x v="2"/>
    <s v="Краснодар"/>
    <d v="2025-07-19T00:00:00"/>
    <x v="5"/>
    <s v="Какао"/>
    <x v="1"/>
    <n v="2"/>
    <n v="466"/>
    <s v="Виктор Л."/>
    <s v="Павел Ткаченко"/>
  </r>
  <r>
    <x v="2"/>
    <s v="Краснодар"/>
    <d v="2025-01-03T00:00:00"/>
    <x v="4"/>
    <s v="Матча латте"/>
    <x v="1"/>
    <n v="2"/>
    <n v="610"/>
    <s v="Наталья Р."/>
    <s v="Павел Ткаченко"/>
  </r>
  <r>
    <x v="2"/>
    <s v="Краснодар"/>
    <d v="2025-01-07T00:00:00"/>
    <x v="4"/>
    <s v="Синнабон"/>
    <x v="0"/>
    <n v="1"/>
    <n v="229"/>
    <s v="Виктор Л."/>
    <s v="Павел Ткаченко"/>
  </r>
  <r>
    <x v="2"/>
    <s v="Краснодар"/>
    <d v="2025-01-07T00:00:00"/>
    <x v="4"/>
    <s v="Эспрессо"/>
    <x v="1"/>
    <n v="2"/>
    <n v="244"/>
    <s v="Виктор Л."/>
    <s v="Павел Ткаченко"/>
  </r>
  <r>
    <x v="2"/>
    <s v="Краснодар"/>
    <d v="2025-04-26T00:00:00"/>
    <x v="11"/>
    <s v="Сэндвич"/>
    <x v="2"/>
    <n v="2"/>
    <n v="670"/>
    <s v="Юлия Д."/>
    <s v="Павел Ткаченко"/>
  </r>
  <r>
    <x v="2"/>
    <s v="Краснодар"/>
    <d v="2025-01-20T00:00:00"/>
    <x v="4"/>
    <s v="Круассан"/>
    <x v="0"/>
    <n v="2"/>
    <n v="390"/>
    <s v="Светлана М."/>
    <s v="Павел Ткаченко"/>
  </r>
  <r>
    <x v="2"/>
    <s v="Краснодар"/>
    <d v="2025-02-03T00:00:00"/>
    <x v="2"/>
    <s v="Раф"/>
    <x v="1"/>
    <n v="2"/>
    <n v="470"/>
    <s v="Виктор Л."/>
    <s v="Павел Ткаченко"/>
  </r>
  <r>
    <x v="2"/>
    <s v="Краснодар"/>
    <d v="2025-05-07T00:00:00"/>
    <x v="10"/>
    <s v="Эспрессо"/>
    <x v="1"/>
    <n v="2"/>
    <n v="312"/>
    <s v="Артём Б."/>
    <s v="Павел Ткаченко"/>
  </r>
  <r>
    <x v="2"/>
    <s v="Краснодар"/>
    <d v="2025-07-03T00:00:00"/>
    <x v="5"/>
    <s v="Латте"/>
    <x v="1"/>
    <n v="1"/>
    <n v="250"/>
    <s v="Светлана М."/>
    <s v="Павел Ткаченко"/>
  </r>
  <r>
    <x v="2"/>
    <s v="Краснодар"/>
    <d v="2025-12-25T00:00:00"/>
    <x v="0"/>
    <s v="Американо"/>
    <x v="1"/>
    <n v="3"/>
    <n v="510"/>
    <s v="Артём Б."/>
    <s v="Павел Ткаченко"/>
  </r>
  <r>
    <x v="2"/>
    <s v="Краснодар"/>
    <d v="2025-03-02T00:00:00"/>
    <x v="6"/>
    <s v="Чизкейк"/>
    <x v="0"/>
    <n v="3"/>
    <n v="798"/>
    <s v="Светлана М."/>
    <s v="Павел Ткаченко"/>
  </r>
  <r>
    <x v="2"/>
    <s v="Краснодар"/>
    <d v="2025-09-05T00:00:00"/>
    <x v="1"/>
    <s v="Чизкейк"/>
    <x v="0"/>
    <n v="2"/>
    <n v="522"/>
    <s v="Наталья Р."/>
    <s v="Павел Ткаченко"/>
  </r>
  <r>
    <x v="2"/>
    <s v="Краснодар"/>
    <d v="2025-05-17T00:00:00"/>
    <x v="10"/>
    <s v="Чизкейк"/>
    <x v="0"/>
    <n v="2"/>
    <n v="522"/>
    <s v="Светлана М."/>
    <s v="Павел Ткаченко"/>
  </r>
  <r>
    <x v="2"/>
    <s v="Краснодар"/>
    <d v="2025-05-06T00:00:00"/>
    <x v="10"/>
    <s v="Латте"/>
    <x v="1"/>
    <n v="1"/>
    <n v="229"/>
    <s v="Роман Ф."/>
    <s v="Павел Ткаченко"/>
  </r>
  <r>
    <x v="2"/>
    <s v="Краснодар"/>
    <d v="2025-12-16T00:00:00"/>
    <x v="0"/>
    <s v="Какао"/>
    <x v="1"/>
    <n v="2"/>
    <n v="402"/>
    <s v="Роман Ф."/>
    <s v="Павел Ткаченко"/>
  </r>
  <r>
    <x v="2"/>
    <s v="Краснодар"/>
    <d v="2025-06-06T00:00:00"/>
    <x v="7"/>
    <s v="Какао"/>
    <x v="1"/>
    <n v="1"/>
    <n v="237"/>
    <s v="Роман Ф."/>
    <s v="Павел Ткаченко"/>
  </r>
  <r>
    <x v="2"/>
    <s v="Краснодар"/>
    <d v="2025-03-06T00:00:00"/>
    <x v="6"/>
    <s v="Какао"/>
    <x v="1"/>
    <n v="1"/>
    <n v="214"/>
    <s v="Виктор Л."/>
    <s v="Павел Ткаченко"/>
  </r>
  <r>
    <x v="2"/>
    <s v="Краснодар"/>
    <d v="2025-02-02T00:00:00"/>
    <x v="2"/>
    <s v="Круассан"/>
    <x v="0"/>
    <n v="2"/>
    <n v="340"/>
    <s v="Светлана М."/>
    <s v="Павел Ткаченко"/>
  </r>
  <r>
    <x v="2"/>
    <s v="Краснодар"/>
    <d v="2025-12-14T00:00:00"/>
    <x v="0"/>
    <s v="Латте"/>
    <x v="1"/>
    <n v="3"/>
    <n v="624"/>
    <s v="Наталья Р."/>
    <s v="Павел Ткаченко"/>
  </r>
  <r>
    <x v="2"/>
    <s v="Краснодар"/>
    <d v="2025-10-24T00:00:00"/>
    <x v="3"/>
    <s v="Американо"/>
    <x v="1"/>
    <n v="1"/>
    <n v="159"/>
    <s v="Наталья Р."/>
    <s v="Павел Ткаченко"/>
  </r>
  <r>
    <x v="2"/>
    <s v="Краснодар"/>
    <d v="2025-04-17T00:00:00"/>
    <x v="11"/>
    <s v="Матча латте"/>
    <x v="1"/>
    <n v="1"/>
    <n v="308"/>
    <s v="Юлия Д."/>
    <s v="Павел Ткаченко"/>
  </r>
  <r>
    <x v="2"/>
    <s v="Краснодар"/>
    <d v="2025-03-01T00:00:00"/>
    <x v="6"/>
    <s v="Капучино"/>
    <x v="1"/>
    <n v="2"/>
    <n v="460"/>
    <s v="Наталья Р."/>
    <s v="Павел Ткаченко"/>
  </r>
  <r>
    <x v="2"/>
    <s v="Краснодар"/>
    <d v="2025-07-25T00:00:00"/>
    <x v="5"/>
    <s v="Чизкейк"/>
    <x v="0"/>
    <n v="3"/>
    <n v="810"/>
    <s v="Роман Ф."/>
    <s v="Павел Ткаченко"/>
  </r>
  <r>
    <x v="2"/>
    <s v="Краснодар"/>
    <d v="2025-01-27T00:00:00"/>
    <x v="4"/>
    <s v="Матча латте"/>
    <x v="1"/>
    <n v="1"/>
    <n v="285"/>
    <s v="Роман Ф."/>
    <s v="Павел Ткаченко"/>
  </r>
  <r>
    <x v="2"/>
    <s v="Краснодар"/>
    <d v="2025-03-13T00:00:00"/>
    <x v="6"/>
    <s v="Американо"/>
    <x v="1"/>
    <n v="3"/>
    <n v="567"/>
    <s v="Наталья Р."/>
    <s v="Павел Ткаченко"/>
  </r>
  <r>
    <x v="2"/>
    <s v="Краснодар"/>
    <d v="2025-02-04T00:00:00"/>
    <x v="2"/>
    <s v="Эспрессо"/>
    <x v="1"/>
    <n v="2"/>
    <n v="292"/>
    <s v="Наталья Р."/>
    <s v="Павел Ткаченко"/>
  </r>
  <r>
    <x v="2"/>
    <s v="Краснодар"/>
    <d v="2025-01-03T00:00:00"/>
    <x v="4"/>
    <s v="Капучино"/>
    <x v="1"/>
    <n v="1"/>
    <n v="224"/>
    <s v="Юлия Д."/>
    <s v="Павел Ткаченко"/>
  </r>
  <r>
    <x v="2"/>
    <s v="Краснодар"/>
    <d v="2025-11-01T00:00:00"/>
    <x v="8"/>
    <s v="Какао"/>
    <x v="1"/>
    <n v="1"/>
    <n v="205"/>
    <s v="Виктор Л."/>
    <s v="Павел Ткаченко"/>
  </r>
  <r>
    <x v="2"/>
    <s v="Краснодар"/>
    <d v="2025-03-01T00:00:00"/>
    <x v="6"/>
    <s v="Салат Цезарь"/>
    <x v="2"/>
    <n v="2"/>
    <n v="814"/>
    <s v="Артём Б."/>
    <s v="Павел Ткаченко"/>
  </r>
  <r>
    <x v="2"/>
    <s v="Краснодар"/>
    <d v="2025-05-26T00:00:00"/>
    <x v="10"/>
    <s v="Круассан"/>
    <x v="0"/>
    <n v="2"/>
    <n v="362"/>
    <s v="Юлия Д."/>
    <s v="Павел Ткаченко"/>
  </r>
  <r>
    <x v="2"/>
    <s v="Краснодар"/>
    <d v="2025-07-23T00:00:00"/>
    <x v="5"/>
    <s v="Капучино"/>
    <x v="1"/>
    <n v="3"/>
    <n v="609"/>
    <s v="Светлана М."/>
    <s v="Павел Ткаченко"/>
  </r>
  <r>
    <x v="2"/>
    <s v="Краснодар"/>
    <d v="2025-05-14T00:00:00"/>
    <x v="10"/>
    <s v="Чизкейк"/>
    <x v="0"/>
    <n v="2"/>
    <n v="560"/>
    <s v="Виктор Л."/>
    <s v="Павел Ткаченко"/>
  </r>
  <r>
    <x v="2"/>
    <s v="Краснодар"/>
    <d v="2025-08-27T00:00:00"/>
    <x v="9"/>
    <s v="Эспрессо"/>
    <x v="1"/>
    <n v="1"/>
    <n v="154"/>
    <s v="Артём Б."/>
    <s v="Павел Ткаченко"/>
  </r>
  <r>
    <x v="2"/>
    <s v="Краснодар"/>
    <d v="2025-07-08T00:00:00"/>
    <x v="5"/>
    <s v="Американо"/>
    <x v="1"/>
    <n v="1"/>
    <n v="153"/>
    <s v="Юлия Д."/>
    <s v="Павел Ткаченко"/>
  </r>
  <r>
    <x v="2"/>
    <s v="Краснодар"/>
    <d v="2025-04-25T00:00:00"/>
    <x v="11"/>
    <s v="Чизкейк"/>
    <x v="0"/>
    <n v="2"/>
    <n v="480"/>
    <s v="Виктор Л."/>
    <s v="Павел Ткаченко"/>
  </r>
  <r>
    <x v="2"/>
    <s v="Краснодар"/>
    <d v="2025-12-25T00:00:00"/>
    <x v="0"/>
    <s v="Синнабон"/>
    <x v="0"/>
    <n v="1"/>
    <n v="210"/>
    <s v="Юлия Д."/>
    <s v="Павел Ткаченко"/>
  </r>
  <r>
    <x v="2"/>
    <s v="Краснодар"/>
    <d v="2025-01-15T00:00:00"/>
    <x v="4"/>
    <s v="Латте"/>
    <x v="1"/>
    <n v="2"/>
    <n v="462"/>
    <s v="Юлия Д."/>
    <s v="Павел Ткаченко"/>
  </r>
  <r>
    <x v="2"/>
    <s v="Краснодар"/>
    <d v="2025-05-08T00:00:00"/>
    <x v="10"/>
    <s v="Эспрессо"/>
    <x v="1"/>
    <n v="1"/>
    <n v="121"/>
    <s v="Артём Б."/>
    <s v="Павел Ткаченко"/>
  </r>
  <r>
    <x v="2"/>
    <s v="Краснодар"/>
    <d v="2025-10-24T00:00:00"/>
    <x v="3"/>
    <s v="Матча латте"/>
    <x v="1"/>
    <n v="1"/>
    <n v="272"/>
    <s v="Наталья Р."/>
    <s v="Павел Ткаченко"/>
  </r>
  <r>
    <x v="2"/>
    <s v="Краснодар"/>
    <d v="2025-02-27T00:00:00"/>
    <x v="2"/>
    <s v="Латте"/>
    <x v="1"/>
    <n v="1"/>
    <n v="246"/>
    <s v="Светлана М."/>
    <s v="Павел Ткаченко"/>
  </r>
  <r>
    <x v="2"/>
    <s v="Краснодар"/>
    <d v="2025-11-13T00:00:00"/>
    <x v="8"/>
    <s v="Сэндвич"/>
    <x v="2"/>
    <n v="1"/>
    <n v="340"/>
    <s v="Светлана М."/>
    <s v="Павел Ткаченко"/>
  </r>
  <r>
    <x v="2"/>
    <s v="Краснодар"/>
    <d v="2025-06-06T00:00:00"/>
    <x v="7"/>
    <s v="Капучино"/>
    <x v="1"/>
    <n v="1"/>
    <n v="210"/>
    <s v="Наталья Р."/>
    <s v="Павел Ткаченко"/>
  </r>
  <r>
    <x v="2"/>
    <s v="Краснодар"/>
    <d v="2025-01-01T00:00:00"/>
    <x v="4"/>
    <s v="Эспрессо"/>
    <x v="1"/>
    <n v="1"/>
    <n v="160"/>
    <s v="Светлана М."/>
    <s v="Павел Ткаченко"/>
  </r>
  <r>
    <x v="2"/>
    <s v="Краснодар"/>
    <d v="2025-04-09T00:00:00"/>
    <x v="11"/>
    <s v="Раф"/>
    <x v="1"/>
    <n v="1"/>
    <n v="288"/>
    <s v="Артём Б."/>
    <s v="Павел Ткаченко"/>
  </r>
  <r>
    <x v="2"/>
    <s v="Краснодар"/>
    <d v="2025-11-19T00:00:00"/>
    <x v="8"/>
    <s v="Салат Цезарь"/>
    <x v="2"/>
    <n v="1"/>
    <n v="401"/>
    <s v="Роман Ф."/>
    <s v="Павел Ткаченко"/>
  </r>
  <r>
    <x v="2"/>
    <s v="Краснодар"/>
    <d v="2025-04-02T00:00:00"/>
    <x v="11"/>
    <s v="Эспрессо"/>
    <x v="1"/>
    <n v="1"/>
    <n v="159"/>
    <s v="Юлия Д."/>
    <s v="Павел Ткаченко"/>
  </r>
  <r>
    <x v="2"/>
    <s v="Краснодар"/>
    <d v="2025-01-17T00:00:00"/>
    <x v="4"/>
    <s v="Матча латте"/>
    <x v="1"/>
    <n v="2"/>
    <n v="500"/>
    <s v="Наталья Р."/>
    <s v="Павел Ткаченко"/>
  </r>
  <r>
    <x v="2"/>
    <s v="Краснодар"/>
    <d v="2025-06-16T00:00:00"/>
    <x v="7"/>
    <s v="Американо"/>
    <x v="1"/>
    <n v="2"/>
    <n v="344"/>
    <s v="Наталья Р."/>
    <s v="Павел Ткаченко"/>
  </r>
  <r>
    <x v="2"/>
    <s v="Краснодар"/>
    <d v="2025-10-23T00:00:00"/>
    <x v="3"/>
    <s v="Капучино"/>
    <x v="1"/>
    <n v="1"/>
    <n v="227"/>
    <s v="Юлия Д."/>
    <s v="Павел Ткаченко"/>
  </r>
  <r>
    <x v="2"/>
    <s v="Краснодар"/>
    <d v="2025-03-18T00:00:00"/>
    <x v="6"/>
    <s v="Чизкейк"/>
    <x v="0"/>
    <n v="3"/>
    <n v="780"/>
    <s v="Наталья Р."/>
    <s v="Павел Ткаченко"/>
  </r>
  <r>
    <x v="2"/>
    <s v="Краснодар"/>
    <d v="2025-01-23T00:00:00"/>
    <x v="4"/>
    <s v="Чизкейк"/>
    <x v="0"/>
    <n v="1"/>
    <n v="280"/>
    <s v="Виктор Л."/>
    <s v="Павел Ткаченко"/>
  </r>
  <r>
    <x v="2"/>
    <s v="Краснодар"/>
    <d v="2025-08-17T00:00:00"/>
    <x v="9"/>
    <s v="Американо"/>
    <x v="1"/>
    <n v="1"/>
    <n v="183"/>
    <s v="Юлия Д."/>
    <s v="Павел Ткаченко"/>
  </r>
  <r>
    <x v="2"/>
    <s v="Краснодар"/>
    <d v="2025-06-16T00:00:00"/>
    <x v="7"/>
    <s v="Какао"/>
    <x v="1"/>
    <n v="1"/>
    <n v="221"/>
    <s v="Наталья Р."/>
    <s v="Павел Ткаченко"/>
  </r>
  <r>
    <x v="2"/>
    <s v="Краснодар"/>
    <d v="2025-10-22T00:00:00"/>
    <x v="3"/>
    <s v="Сэндвич"/>
    <x v="2"/>
    <n v="2"/>
    <n v="564"/>
    <s v="Светлана М."/>
    <s v="Павел Ткаченко"/>
  </r>
  <r>
    <x v="2"/>
    <s v="Краснодар"/>
    <d v="2025-04-28T00:00:00"/>
    <x v="11"/>
    <s v="Какао"/>
    <x v="1"/>
    <n v="2"/>
    <n v="466"/>
    <s v="Артём Б."/>
    <s v="Павел Ткаченко"/>
  </r>
  <r>
    <x v="2"/>
    <s v="Краснодар"/>
    <d v="2025-12-24T00:00:00"/>
    <x v="0"/>
    <s v="Раф"/>
    <x v="1"/>
    <n v="2"/>
    <n v="580"/>
    <s v="Виктор Л."/>
    <s v="Павел Ткаченко"/>
  </r>
  <r>
    <x v="2"/>
    <s v="Краснодар"/>
    <d v="2025-10-01T00:00:00"/>
    <x v="3"/>
    <s v="Синнабон"/>
    <x v="0"/>
    <n v="1"/>
    <n v="235"/>
    <s v="Юлия Д."/>
    <s v="Павел Ткаченко"/>
  </r>
  <r>
    <x v="2"/>
    <s v="Краснодар"/>
    <d v="2025-10-09T00:00:00"/>
    <x v="3"/>
    <s v="Матча латте"/>
    <x v="1"/>
    <n v="3"/>
    <n v="933"/>
    <s v="Юлия Д."/>
    <s v="Павел Ткаченко"/>
  </r>
  <r>
    <x v="2"/>
    <s v="Краснодар"/>
    <d v="2025-11-17T00:00:00"/>
    <x v="8"/>
    <s v="Какао"/>
    <x v="1"/>
    <n v="1"/>
    <n v="224"/>
    <s v="Артём Б."/>
    <s v="Павел Ткаченко"/>
  </r>
  <r>
    <x v="2"/>
    <s v="Краснодар"/>
    <d v="2025-05-10T00:00:00"/>
    <x v="10"/>
    <s v="Матча латте"/>
    <x v="1"/>
    <n v="2"/>
    <n v="572"/>
    <s v="Светлана М."/>
    <s v="Павел Ткаченко"/>
  </r>
  <r>
    <x v="2"/>
    <s v="Краснодар"/>
    <d v="2025-01-26T00:00:00"/>
    <x v="4"/>
    <s v="Матча латте"/>
    <x v="1"/>
    <n v="3"/>
    <n v="915"/>
    <s v="Светлана М."/>
    <s v="Павел Ткаченко"/>
  </r>
  <r>
    <x v="2"/>
    <s v="Краснодар"/>
    <d v="2025-05-26T00:00:00"/>
    <x v="10"/>
    <s v="Латте"/>
    <x v="1"/>
    <n v="1"/>
    <n v="252"/>
    <s v="Виктор Л."/>
    <s v="Павел Ткаченко"/>
  </r>
  <r>
    <x v="2"/>
    <s v="Краснодар"/>
    <d v="2025-10-02T00:00:00"/>
    <x v="3"/>
    <s v="Чизкейк"/>
    <x v="0"/>
    <n v="3"/>
    <n v="729"/>
    <s v="Роман Ф."/>
    <s v="Павел Ткаченко"/>
  </r>
  <r>
    <x v="2"/>
    <s v="Краснодар"/>
    <d v="2025-02-12T00:00:00"/>
    <x v="2"/>
    <s v="Капучино"/>
    <x v="1"/>
    <n v="2"/>
    <n v="400"/>
    <s v="Наталья Р."/>
    <s v="Павел Ткаченко"/>
  </r>
  <r>
    <x v="2"/>
    <s v="Краснодар"/>
    <d v="2025-02-02T00:00:00"/>
    <x v="2"/>
    <s v="Американо"/>
    <x v="1"/>
    <n v="1"/>
    <n v="181"/>
    <s v="Роман Ф."/>
    <s v="Павел Ткаченко"/>
  </r>
  <r>
    <x v="2"/>
    <s v="Краснодар"/>
    <d v="2025-03-05T00:00:00"/>
    <x v="6"/>
    <s v="Сэндвич"/>
    <x v="2"/>
    <n v="1"/>
    <n v="345"/>
    <s v="Наталья Р."/>
    <s v="Павел Ткаченко"/>
  </r>
  <r>
    <x v="2"/>
    <s v="Краснодар"/>
    <d v="2025-03-07T00:00:00"/>
    <x v="6"/>
    <s v="Чизкейк"/>
    <x v="0"/>
    <n v="1"/>
    <n v="234"/>
    <s v="Виктор Л."/>
    <s v="Павел Ткаченко"/>
  </r>
  <r>
    <x v="2"/>
    <s v="Краснодар"/>
    <d v="2025-12-27T00:00:00"/>
    <x v="0"/>
    <s v="Эспрессо"/>
    <x v="1"/>
    <n v="1"/>
    <n v="131"/>
    <s v="Виктор Л."/>
    <s v="Павел Ткаченко"/>
  </r>
  <r>
    <x v="2"/>
    <s v="Краснодар"/>
    <d v="2025-01-23T00:00:00"/>
    <x v="4"/>
    <s v="Сэндвич"/>
    <x v="2"/>
    <n v="2"/>
    <n v="618"/>
    <s v="Юлия Д."/>
    <s v="Павел Ткаченко"/>
  </r>
  <r>
    <x v="2"/>
    <s v="Краснодар"/>
    <d v="2025-11-02T00:00:00"/>
    <x v="8"/>
    <s v="Салат Цезарь"/>
    <x v="2"/>
    <n v="1"/>
    <n v="404"/>
    <s v="Юлия Д."/>
    <s v="Павел Ткаченко"/>
  </r>
  <r>
    <x v="2"/>
    <s v="Краснодар"/>
    <d v="2025-09-15T00:00:00"/>
    <x v="1"/>
    <s v="Какао"/>
    <x v="1"/>
    <n v="1"/>
    <n v="208"/>
    <s v="Артём Б."/>
    <s v="Павел Ткаченко"/>
  </r>
  <r>
    <x v="2"/>
    <s v="Краснодар"/>
    <d v="2025-11-08T00:00:00"/>
    <x v="8"/>
    <s v="Американо"/>
    <x v="1"/>
    <n v="2"/>
    <n v="390"/>
    <s v="Роман Ф."/>
    <s v="Павел Ткаченко"/>
  </r>
  <r>
    <x v="2"/>
    <s v="Краснодар"/>
    <d v="2025-03-10T00:00:00"/>
    <x v="6"/>
    <s v="Чизкейк"/>
    <x v="0"/>
    <n v="2"/>
    <n v="480"/>
    <s v="Артём Б."/>
    <s v="Павел Ткаченко"/>
  </r>
  <r>
    <x v="2"/>
    <s v="Краснодар"/>
    <d v="2025-12-01T00:00:00"/>
    <x v="0"/>
    <s v="Эспрессо"/>
    <x v="1"/>
    <n v="1"/>
    <n v="155"/>
    <s v="Юлия Д."/>
    <s v="Павел Ткаченко"/>
  </r>
  <r>
    <x v="2"/>
    <s v="Краснодар"/>
    <d v="2025-03-07T00:00:00"/>
    <x v="6"/>
    <s v="Эспрессо"/>
    <x v="1"/>
    <n v="2"/>
    <n v="266"/>
    <s v="Роман Ф."/>
    <s v="Павел Ткаченко"/>
  </r>
  <r>
    <x v="2"/>
    <s v="Краснодар"/>
    <d v="2025-01-06T00:00:00"/>
    <x v="4"/>
    <s v="Какао"/>
    <x v="1"/>
    <n v="3"/>
    <n v="693"/>
    <s v="Наталья Р."/>
    <s v="Павел Ткаченко"/>
  </r>
  <r>
    <x v="2"/>
    <s v="Краснодар"/>
    <d v="2025-10-03T00:00:00"/>
    <x v="3"/>
    <s v="Эспрессо"/>
    <x v="1"/>
    <n v="2"/>
    <n v="310"/>
    <s v="Светлана М."/>
    <s v="Павел Ткаченко"/>
  </r>
  <r>
    <x v="2"/>
    <s v="Краснодар"/>
    <d v="2025-02-12T00:00:00"/>
    <x v="2"/>
    <s v="Латте"/>
    <x v="1"/>
    <n v="2"/>
    <n v="520"/>
    <s v="Роман Ф."/>
    <s v="Павел Ткаченко"/>
  </r>
  <r>
    <x v="2"/>
    <s v="Краснодар"/>
    <d v="2025-05-25T00:00:00"/>
    <x v="10"/>
    <s v="Капучино"/>
    <x v="1"/>
    <n v="1"/>
    <n v="207"/>
    <s v="Роман Ф."/>
    <s v="Павел Ткаченко"/>
  </r>
  <r>
    <x v="2"/>
    <s v="Краснодар"/>
    <d v="2025-03-06T00:00:00"/>
    <x v="6"/>
    <s v="Синнабон"/>
    <x v="0"/>
    <n v="3"/>
    <n v="618"/>
    <s v="Роман Ф."/>
    <s v="Павел Ткаченко"/>
  </r>
  <r>
    <x v="2"/>
    <s v="Краснодар"/>
    <d v="2025-09-16T00:00:00"/>
    <x v="1"/>
    <s v="Капучино"/>
    <x v="1"/>
    <n v="1"/>
    <n v="221"/>
    <s v="Артём Б."/>
    <s v="Павел Ткаченко"/>
  </r>
  <r>
    <x v="2"/>
    <s v="Краснодар"/>
    <d v="2025-10-14T00:00:00"/>
    <x v="3"/>
    <s v="Синнабон"/>
    <x v="0"/>
    <n v="1"/>
    <n v="185"/>
    <s v="Роман Ф."/>
    <s v="Павел Ткаченко"/>
  </r>
  <r>
    <x v="2"/>
    <s v="Краснодар"/>
    <d v="2025-04-08T00:00:00"/>
    <x v="11"/>
    <s v="Эспрессо"/>
    <x v="1"/>
    <n v="3"/>
    <n v="414"/>
    <s v="Артём Б."/>
    <s v="Павел Ткаченко"/>
  </r>
  <r>
    <x v="2"/>
    <s v="Краснодар"/>
    <d v="2025-12-21T00:00:00"/>
    <x v="0"/>
    <s v="Матча латте"/>
    <x v="1"/>
    <n v="3"/>
    <n v="873"/>
    <s v="Виктор Л."/>
    <s v="Павел Ткаченко"/>
  </r>
  <r>
    <x v="2"/>
    <s v="Краснодар"/>
    <d v="2025-05-14T00:00:00"/>
    <x v="10"/>
    <s v="Раф"/>
    <x v="1"/>
    <n v="1"/>
    <n v="268"/>
    <s v="Артём Б."/>
    <s v="Павел Ткаченко"/>
  </r>
  <r>
    <x v="2"/>
    <s v="Краснодар"/>
    <d v="2025-12-25T00:00:00"/>
    <x v="0"/>
    <s v="Чизкейк"/>
    <x v="0"/>
    <n v="3"/>
    <n v="774"/>
    <s v="Юлия Д."/>
    <s v="Павел Ткаченко"/>
  </r>
  <r>
    <x v="2"/>
    <s v="Краснодар"/>
    <d v="2025-10-03T00:00:00"/>
    <x v="3"/>
    <s v="Латте"/>
    <x v="1"/>
    <n v="1"/>
    <n v="213"/>
    <s v="Виктор Л."/>
    <s v="Павел Ткаченко"/>
  </r>
  <r>
    <x v="2"/>
    <s v="Краснодар"/>
    <d v="2025-08-12T00:00:00"/>
    <x v="9"/>
    <s v="Какао"/>
    <x v="1"/>
    <n v="1"/>
    <n v="236"/>
    <s v="Виктор Л."/>
    <s v="Павел Ткаченко"/>
  </r>
  <r>
    <x v="2"/>
    <s v="Краснодар"/>
    <d v="2025-07-03T00:00:00"/>
    <x v="5"/>
    <s v="Капучино"/>
    <x v="1"/>
    <n v="3"/>
    <n v="621"/>
    <s v="Светлана М."/>
    <s v="Павел Ткаченко"/>
  </r>
  <r>
    <x v="2"/>
    <s v="Краснодар"/>
    <d v="2025-10-25T00:00:00"/>
    <x v="3"/>
    <s v="Какао"/>
    <x v="1"/>
    <n v="1"/>
    <n v="219"/>
    <s v="Юлия Д."/>
    <s v="Павел Ткаченко"/>
  </r>
  <r>
    <x v="2"/>
    <s v="Краснодар"/>
    <d v="2025-11-19T00:00:00"/>
    <x v="8"/>
    <s v="Раф"/>
    <x v="1"/>
    <n v="1"/>
    <n v="262"/>
    <s v="Юлия Д."/>
    <s v="Павел Ткаченко"/>
  </r>
  <r>
    <x v="2"/>
    <s v="Краснодар"/>
    <d v="2025-09-08T00:00:00"/>
    <x v="1"/>
    <s v="Раф"/>
    <x v="1"/>
    <n v="1"/>
    <n v="260"/>
    <s v="Артём Б."/>
    <s v="Павел Ткаченко"/>
  </r>
  <r>
    <x v="2"/>
    <s v="Краснодар"/>
    <d v="2025-06-06T00:00:00"/>
    <x v="7"/>
    <s v="Раф"/>
    <x v="1"/>
    <n v="1"/>
    <n v="245"/>
    <s v="Юлия Д."/>
    <s v="Павел Ткаченко"/>
  </r>
  <r>
    <x v="2"/>
    <s v="Краснодар"/>
    <d v="2025-03-12T00:00:00"/>
    <x v="6"/>
    <s v="Круассан"/>
    <x v="0"/>
    <n v="3"/>
    <n v="582"/>
    <s v="Юлия Д."/>
    <s v="Павел Ткаченко"/>
  </r>
  <r>
    <x v="2"/>
    <s v="Краснодар"/>
    <d v="2025-12-28T00:00:00"/>
    <x v="0"/>
    <s v="Синнабон"/>
    <x v="0"/>
    <n v="2"/>
    <n v="418"/>
    <s v="Роман Ф."/>
    <s v="Павел Ткаченко"/>
  </r>
  <r>
    <x v="2"/>
    <s v="Краснодар"/>
    <d v="2025-02-13T00:00:00"/>
    <x v="2"/>
    <s v="Чизкейк"/>
    <x v="0"/>
    <n v="3"/>
    <n v="816"/>
    <s v="Виктор Л."/>
    <s v="Павел Ткаченко"/>
  </r>
  <r>
    <x v="2"/>
    <s v="Краснодар"/>
    <d v="2025-09-07T00:00:00"/>
    <x v="1"/>
    <s v="Эспрессо"/>
    <x v="1"/>
    <n v="2"/>
    <n v="284"/>
    <s v="Роман Ф."/>
    <s v="Павел Ткаченко"/>
  </r>
  <r>
    <x v="2"/>
    <s v="Краснодар"/>
    <d v="2025-08-07T00:00:00"/>
    <x v="9"/>
    <s v="Синнабон"/>
    <x v="0"/>
    <n v="3"/>
    <n v="627"/>
    <s v="Юлия Д."/>
    <s v="Павел Ткаченко"/>
  </r>
  <r>
    <x v="2"/>
    <s v="Краснодар"/>
    <d v="2025-05-17T00:00:00"/>
    <x v="10"/>
    <s v="Чизкейк"/>
    <x v="0"/>
    <n v="1"/>
    <n v="260"/>
    <s v="Светлана М."/>
    <s v="Павел Ткаченко"/>
  </r>
  <r>
    <x v="2"/>
    <s v="Краснодар"/>
    <d v="2025-02-01T00:00:00"/>
    <x v="2"/>
    <s v="Чизкейк"/>
    <x v="0"/>
    <n v="1"/>
    <n v="256"/>
    <s v="Светлана М."/>
    <s v="Павел Ткаченко"/>
  </r>
  <r>
    <x v="2"/>
    <s v="Краснодар"/>
    <d v="2025-08-28T00:00:00"/>
    <x v="9"/>
    <s v="Чизкейк"/>
    <x v="0"/>
    <n v="2"/>
    <n v="516"/>
    <s v="Наталья Р."/>
    <s v="Павел Ткаченко"/>
  </r>
  <r>
    <x v="2"/>
    <s v="Краснодар"/>
    <d v="2025-09-08T00:00:00"/>
    <x v="1"/>
    <s v="Американо"/>
    <x v="1"/>
    <n v="3"/>
    <n v="441"/>
    <s v="Виктор Л."/>
    <s v="Павел Ткаченко"/>
  </r>
  <r>
    <x v="2"/>
    <s v="Краснодар"/>
    <d v="2025-12-27T00:00:00"/>
    <x v="0"/>
    <s v="Сэндвич"/>
    <x v="2"/>
    <n v="2"/>
    <n v="564"/>
    <s v="Светлана М."/>
    <s v="Павел Ткаченко"/>
  </r>
  <r>
    <x v="2"/>
    <s v="Краснодар"/>
    <d v="2025-11-19T00:00:00"/>
    <x v="8"/>
    <s v="Эспрессо"/>
    <x v="1"/>
    <n v="2"/>
    <n v="272"/>
    <s v="Светлана М."/>
    <s v="Павел Ткаченко"/>
  </r>
  <r>
    <x v="2"/>
    <s v="Краснодар"/>
    <d v="2025-02-08T00:00:00"/>
    <x v="2"/>
    <s v="Круассан"/>
    <x v="0"/>
    <n v="2"/>
    <n v="362"/>
    <s v="Юлия Д."/>
    <s v="Павел Ткаченко"/>
  </r>
  <r>
    <x v="2"/>
    <s v="Краснодар"/>
    <d v="2025-06-08T00:00:00"/>
    <x v="7"/>
    <s v="Латте"/>
    <x v="1"/>
    <n v="1"/>
    <n v="235"/>
    <s v="Виктор Л."/>
    <s v="Павел Ткаченко"/>
  </r>
  <r>
    <x v="2"/>
    <s v="Краснодар"/>
    <d v="2025-07-10T00:00:00"/>
    <x v="5"/>
    <s v="Чизкейк"/>
    <x v="0"/>
    <n v="3"/>
    <n v="765"/>
    <s v="Наталья Р."/>
    <s v="Павел Ткаченко"/>
  </r>
  <r>
    <x v="2"/>
    <s v="Краснодар"/>
    <d v="2025-03-21T00:00:00"/>
    <x v="6"/>
    <s v="Чизкейк"/>
    <x v="0"/>
    <n v="2"/>
    <n v="518"/>
    <s v="Наталья Р."/>
    <s v="Павел Ткаченко"/>
  </r>
  <r>
    <x v="2"/>
    <s v="Краснодар"/>
    <d v="2025-03-10T00:00:00"/>
    <x v="6"/>
    <s v="Эспрессо"/>
    <x v="1"/>
    <n v="2"/>
    <n v="306"/>
    <s v="Артём Б."/>
    <s v="Павел Ткаченко"/>
  </r>
  <r>
    <x v="2"/>
    <s v="Краснодар"/>
    <d v="2025-01-19T00:00:00"/>
    <x v="4"/>
    <s v="Салат Цезарь"/>
    <x v="2"/>
    <n v="3"/>
    <n v="1086"/>
    <s v="Светлана М."/>
    <s v="Павел Ткаченко"/>
  </r>
  <r>
    <x v="2"/>
    <s v="Краснодар"/>
    <d v="2025-01-01T00:00:00"/>
    <x v="4"/>
    <s v="Капучино"/>
    <x v="1"/>
    <n v="1"/>
    <n v="239"/>
    <s v="Светлана М."/>
    <s v="Павел Ткаченко"/>
  </r>
  <r>
    <x v="2"/>
    <s v="Краснодар"/>
    <d v="2025-05-03T00:00:00"/>
    <x v="10"/>
    <s v="Американо"/>
    <x v="1"/>
    <n v="1"/>
    <n v="158"/>
    <s v="Юлия Д."/>
    <s v="Павел Ткаченко"/>
  </r>
  <r>
    <x v="2"/>
    <s v="Краснодар"/>
    <d v="2025-09-15T00:00:00"/>
    <x v="1"/>
    <s v="Латте"/>
    <x v="1"/>
    <n v="3"/>
    <n v="705"/>
    <s v="Роман Ф."/>
    <s v="Павел Ткаченко"/>
  </r>
  <r>
    <x v="2"/>
    <s v="Краснодар"/>
    <d v="2025-12-05T00:00:00"/>
    <x v="0"/>
    <s v="Латте"/>
    <x v="1"/>
    <n v="2"/>
    <n v="436"/>
    <s v="Юлия Д."/>
    <s v="Павел Ткаченко"/>
  </r>
  <r>
    <x v="2"/>
    <s v="Краснодар"/>
    <d v="2025-06-27T00:00:00"/>
    <x v="7"/>
    <s v="Синнабон"/>
    <x v="0"/>
    <n v="1"/>
    <n v="199"/>
    <s v="Наталья Р."/>
    <s v="Павел Ткаченко"/>
  </r>
  <r>
    <x v="2"/>
    <s v="Краснодар"/>
    <d v="2025-05-21T00:00:00"/>
    <x v="10"/>
    <s v="Круассан"/>
    <x v="0"/>
    <n v="2"/>
    <n v="336"/>
    <s v="Светлана М."/>
    <s v="Павел Ткаченко"/>
  </r>
  <r>
    <x v="2"/>
    <s v="Краснодар"/>
    <d v="2025-08-07T00:00:00"/>
    <x v="9"/>
    <s v="Сэндвич"/>
    <x v="2"/>
    <n v="1"/>
    <n v="340"/>
    <s v="Роман Ф."/>
    <s v="Павел Ткаченко"/>
  </r>
  <r>
    <x v="2"/>
    <s v="Краснодар"/>
    <d v="2025-04-09T00:00:00"/>
    <x v="11"/>
    <s v="Какао"/>
    <x v="1"/>
    <n v="1"/>
    <n v="222"/>
    <s v="Светлана М."/>
    <s v="Павел Ткаченко"/>
  </r>
  <r>
    <x v="2"/>
    <s v="Краснодар"/>
    <d v="2025-03-24T00:00:00"/>
    <x v="6"/>
    <s v="Капучино"/>
    <x v="1"/>
    <n v="1"/>
    <n v="222"/>
    <s v="Светлана М."/>
    <s v="Павел Ткаченко"/>
  </r>
  <r>
    <x v="2"/>
    <s v="Краснодар"/>
    <d v="2025-11-24T00:00:00"/>
    <x v="8"/>
    <s v="Салат Цезарь"/>
    <x v="2"/>
    <n v="1"/>
    <n v="382"/>
    <s v="Роман Ф."/>
    <s v="Павел Ткаченко"/>
  </r>
  <r>
    <x v="2"/>
    <s v="Краснодар"/>
    <d v="2025-01-25T00:00:00"/>
    <x v="4"/>
    <s v="Круассан"/>
    <x v="0"/>
    <n v="1"/>
    <n v="167"/>
    <s v="Светлана М."/>
    <s v="Павел Ткаченко"/>
  </r>
  <r>
    <x v="2"/>
    <s v="Краснодар"/>
    <d v="2025-06-05T00:00:00"/>
    <x v="7"/>
    <s v="Латте"/>
    <x v="1"/>
    <n v="2"/>
    <n v="416"/>
    <s v="Роман Ф."/>
    <s v="Павел Ткаченко"/>
  </r>
  <r>
    <x v="2"/>
    <s v="Краснодар"/>
    <d v="2025-02-09T00:00:00"/>
    <x v="2"/>
    <s v="Круассан"/>
    <x v="0"/>
    <n v="2"/>
    <n v="390"/>
    <s v="Светлана М."/>
    <s v="Павел Ткаченко"/>
  </r>
  <r>
    <x v="2"/>
    <s v="Краснодар"/>
    <d v="2025-07-22T00:00:00"/>
    <x v="5"/>
    <s v="Эспрессо"/>
    <x v="1"/>
    <n v="1"/>
    <n v="141"/>
    <s v="Роман Ф."/>
    <s v="Павел Ткаченко"/>
  </r>
  <r>
    <x v="2"/>
    <s v="Краснодар"/>
    <d v="2025-11-28T00:00:00"/>
    <x v="8"/>
    <s v="Эспрессо"/>
    <x v="1"/>
    <n v="1"/>
    <n v="146"/>
    <s v="Наталья Р."/>
    <s v="Павел Ткаченко"/>
  </r>
  <r>
    <x v="2"/>
    <s v="Краснодар"/>
    <d v="2025-10-08T00:00:00"/>
    <x v="3"/>
    <s v="Капучино"/>
    <x v="1"/>
    <n v="3"/>
    <n v="624"/>
    <s v="Юлия Д."/>
    <s v="Павел Ткаченко"/>
  </r>
  <r>
    <x v="2"/>
    <s v="Краснодар"/>
    <d v="2025-03-16T00:00:00"/>
    <x v="6"/>
    <s v="Матча латте"/>
    <x v="1"/>
    <n v="1"/>
    <n v="295"/>
    <s v="Роман Ф."/>
    <s v="Павел Ткаченко"/>
  </r>
  <r>
    <x v="2"/>
    <s v="Краснодар"/>
    <d v="2025-05-01T00:00:00"/>
    <x v="10"/>
    <s v="Латте"/>
    <x v="1"/>
    <n v="2"/>
    <n v="416"/>
    <s v="Светлана М."/>
    <s v="Павел Ткаченко"/>
  </r>
  <r>
    <x v="2"/>
    <s v="Краснодар"/>
    <d v="2025-05-14T00:00:00"/>
    <x v="10"/>
    <s v="Раф"/>
    <x v="1"/>
    <n v="2"/>
    <n v="578"/>
    <s v="Виктор Л."/>
    <s v="Павел Ткаченко"/>
  </r>
  <r>
    <x v="2"/>
    <s v="Краснодар"/>
    <d v="2025-10-17T00:00:00"/>
    <x v="3"/>
    <s v="Какао"/>
    <x v="1"/>
    <n v="2"/>
    <n v="394"/>
    <s v="Артём Б."/>
    <s v="Павел Ткаченко"/>
  </r>
  <r>
    <x v="2"/>
    <s v="Краснодар"/>
    <d v="2025-01-01T00:00:00"/>
    <x v="4"/>
    <s v="Эспрессо"/>
    <x v="1"/>
    <n v="1"/>
    <n v="155"/>
    <s v="Наталья Р."/>
    <s v="Павел Ткаченко"/>
  </r>
  <r>
    <x v="2"/>
    <s v="Краснодар"/>
    <d v="2025-12-06T00:00:00"/>
    <x v="0"/>
    <s v="Капучино"/>
    <x v="1"/>
    <n v="3"/>
    <n v="624"/>
    <s v="Роман Ф."/>
    <s v="Павел Ткаченко"/>
  </r>
  <r>
    <x v="2"/>
    <s v="Краснодар"/>
    <d v="2025-11-07T00:00:00"/>
    <x v="8"/>
    <s v="Американо"/>
    <x v="1"/>
    <n v="3"/>
    <n v="465"/>
    <s v="Юлия Д."/>
    <s v="Павел Ткаченко"/>
  </r>
  <r>
    <x v="2"/>
    <s v="Краснодар"/>
    <d v="2025-03-23T00:00:00"/>
    <x v="6"/>
    <s v="Синнабон"/>
    <x v="0"/>
    <n v="1"/>
    <n v="234"/>
    <s v="Светлана М."/>
    <s v="Павел Ткаченко"/>
  </r>
  <r>
    <x v="2"/>
    <s v="Краснодар"/>
    <d v="2025-08-07T00:00:00"/>
    <x v="9"/>
    <s v="Латте"/>
    <x v="1"/>
    <n v="1"/>
    <n v="236"/>
    <s v="Юлия Д."/>
    <s v="Павел Ткаченко"/>
  </r>
  <r>
    <x v="2"/>
    <s v="Краснодар"/>
    <d v="2025-06-12T00:00:00"/>
    <x v="7"/>
    <s v="Американо"/>
    <x v="1"/>
    <n v="2"/>
    <n v="314"/>
    <s v="Наталья Р."/>
    <s v="Павел Ткаченко"/>
  </r>
  <r>
    <x v="2"/>
    <s v="Краснодар"/>
    <d v="2025-03-27T00:00:00"/>
    <x v="6"/>
    <s v="Сэндвич"/>
    <x v="2"/>
    <n v="1"/>
    <n v="308"/>
    <s v="Светлана М."/>
    <s v="Павел Ткаченко"/>
  </r>
  <r>
    <x v="2"/>
    <s v="Краснодар"/>
    <d v="2025-05-15T00:00:00"/>
    <x v="10"/>
    <s v="Латте"/>
    <x v="1"/>
    <n v="1"/>
    <n v="242"/>
    <s v="Светлана М."/>
    <s v="Павел Ткаченко"/>
  </r>
  <r>
    <x v="2"/>
    <s v="Краснодар"/>
    <d v="2025-07-22T00:00:00"/>
    <x v="5"/>
    <s v="Чизкейк"/>
    <x v="0"/>
    <n v="1"/>
    <n v="250"/>
    <s v="Юлия Д."/>
    <s v="Павел Ткаченко"/>
  </r>
  <r>
    <x v="2"/>
    <s v="Краснодар"/>
    <d v="2025-08-03T00:00:00"/>
    <x v="9"/>
    <s v="Салат Цезарь"/>
    <x v="2"/>
    <n v="1"/>
    <n v="352"/>
    <s v="Наталья Р."/>
    <s v="Павел Ткаченко"/>
  </r>
  <r>
    <x v="2"/>
    <s v="Краснодар"/>
    <d v="2025-02-24T00:00:00"/>
    <x v="2"/>
    <s v="Раф"/>
    <x v="1"/>
    <n v="1"/>
    <n v="744"/>
    <s v="Артём Б."/>
    <s v="Павел Ткаченко"/>
  </r>
  <r>
    <x v="2"/>
    <s v="Краснодар"/>
    <d v="2025-09-10T00:00:00"/>
    <x v="1"/>
    <s v="Латте"/>
    <x v="1"/>
    <n v="1"/>
    <n v="209"/>
    <s v="Светлана М."/>
    <s v="Павел Ткаченко"/>
  </r>
  <r>
    <x v="2"/>
    <s v="Краснодар"/>
    <d v="2025-10-08T00:00:00"/>
    <x v="3"/>
    <s v="Капучино"/>
    <x v="1"/>
    <n v="2"/>
    <n v="386"/>
    <s v="Артём Б."/>
    <s v="Павел Ткаченко"/>
  </r>
  <r>
    <x v="2"/>
    <s v="Краснодар"/>
    <d v="2025-12-16T00:00:00"/>
    <x v="0"/>
    <s v="Эспрессо"/>
    <x v="1"/>
    <n v="1"/>
    <n v="155"/>
    <s v="Артём Б."/>
    <s v="Павел Ткаченко"/>
  </r>
  <r>
    <x v="2"/>
    <s v="Краснодар"/>
    <d v="2025-04-21T00:00:00"/>
    <x v="11"/>
    <s v="Американо"/>
    <x v="1"/>
    <n v="1"/>
    <n v="182"/>
    <s v="Юлия Д."/>
    <s v="Павел Ткаченко"/>
  </r>
  <r>
    <x v="2"/>
    <s v="Краснодар"/>
    <d v="2025-06-19T00:00:00"/>
    <x v="7"/>
    <s v="Матча латте"/>
    <x v="1"/>
    <n v="1"/>
    <n v="249"/>
    <s v="Наталья Р."/>
    <s v="Павел Ткаченко"/>
  </r>
  <r>
    <x v="2"/>
    <s v="Краснодар"/>
    <d v="2025-01-09T00:00:00"/>
    <x v="4"/>
    <s v="Матча латте"/>
    <x v="1"/>
    <n v="1"/>
    <n v="286"/>
    <s v="Артём Б."/>
    <s v="Павел Ткаченко"/>
  </r>
  <r>
    <x v="2"/>
    <s v="Краснодар"/>
    <d v="2025-03-21T00:00:00"/>
    <x v="6"/>
    <s v="Синнабон"/>
    <x v="0"/>
    <n v="2"/>
    <n v="422"/>
    <s v="Роман Ф."/>
    <s v="Павел Ткаченко"/>
  </r>
  <r>
    <x v="2"/>
    <s v="Краснодар"/>
    <d v="2025-12-03T00:00:00"/>
    <x v="0"/>
    <s v="Синнабон"/>
    <x v="0"/>
    <n v="2"/>
    <n v="460"/>
    <s v="Светлана М."/>
    <s v="Павел Ткаченко"/>
  </r>
  <r>
    <x v="2"/>
    <s v="Краснодар"/>
    <d v="2025-09-28T00:00:00"/>
    <x v="1"/>
    <s v="Круассан"/>
    <x v="0"/>
    <n v="3"/>
    <n v="516"/>
    <s v="Роман Ф."/>
    <s v="Павел Ткаченко"/>
  </r>
  <r>
    <x v="2"/>
    <s v="Краснодар"/>
    <d v="2025-01-07T00:00:00"/>
    <x v="4"/>
    <s v="Чизкейк"/>
    <x v="0"/>
    <n v="1"/>
    <n v="245"/>
    <s v="Виктор Л."/>
    <s v="Павел Ткаченко"/>
  </r>
  <r>
    <x v="2"/>
    <s v="Краснодар"/>
    <d v="2025-11-05T00:00:00"/>
    <x v="8"/>
    <s v="Какао"/>
    <x v="1"/>
    <n v="1"/>
    <n v="210"/>
    <s v="Роман Ф."/>
    <s v="Павел Ткаченко"/>
  </r>
  <r>
    <x v="2"/>
    <s v="Краснодар"/>
    <d v="2025-11-12T00:00:00"/>
    <x v="8"/>
    <s v="Эспрессо"/>
    <x v="1"/>
    <n v="3"/>
    <n v="378"/>
    <s v="Виктор Л."/>
    <s v="Павел Ткаченко"/>
  </r>
  <r>
    <x v="2"/>
    <s v="Краснодар"/>
    <d v="2025-08-02T00:00:00"/>
    <x v="9"/>
    <s v="Круассан"/>
    <x v="0"/>
    <n v="2"/>
    <n v="350"/>
    <s v="Артём Б."/>
    <s v="Павел Ткаченко"/>
  </r>
  <r>
    <x v="2"/>
    <s v="Краснодар"/>
    <d v="2025-09-23T00:00:00"/>
    <x v="1"/>
    <s v="Салат Цезарь"/>
    <x v="2"/>
    <n v="2"/>
    <n v="734"/>
    <s v="Светлана М."/>
    <s v="Павел Ткаченко"/>
  </r>
  <r>
    <x v="2"/>
    <s v="Краснодар"/>
    <d v="2025-09-01T00:00:00"/>
    <x v="1"/>
    <s v="Раф"/>
    <x v="1"/>
    <n v="1"/>
    <n v="266"/>
    <s v="Роман Ф."/>
    <s v="Павел Ткаченко"/>
  </r>
  <r>
    <x v="2"/>
    <s v="Краснодар"/>
    <d v="2025-08-04T00:00:00"/>
    <x v="9"/>
    <s v="Чизкейк"/>
    <x v="0"/>
    <n v="3"/>
    <n v="717"/>
    <s v="Артём Б."/>
    <s v="Павел Ткаченко"/>
  </r>
  <r>
    <x v="2"/>
    <s v="Краснодар"/>
    <d v="2025-04-14T00:00:00"/>
    <x v="11"/>
    <s v="Раф"/>
    <x v="1"/>
    <n v="1"/>
    <n v="284"/>
    <s v="Светлана М."/>
    <s v="Павел Ткаченко"/>
  </r>
  <r>
    <x v="2"/>
    <s v="Краснодар"/>
    <d v="2025-07-05T00:00:00"/>
    <x v="5"/>
    <s v="Круассан"/>
    <x v="0"/>
    <n v="1"/>
    <n v="166"/>
    <s v="Роман Ф."/>
    <s v="Павел Ткаченко"/>
  </r>
  <r>
    <x v="2"/>
    <s v="Краснодар"/>
    <d v="2025-04-12T00:00:00"/>
    <x v="11"/>
    <s v="Эспрессо"/>
    <x v="1"/>
    <n v="1"/>
    <n v="140"/>
    <s v="Артём Б."/>
    <s v="Павел Ткаченко"/>
  </r>
  <r>
    <x v="2"/>
    <s v="Краснодар"/>
    <d v="2025-01-10T00:00:00"/>
    <x v="4"/>
    <s v="Синнабон"/>
    <x v="0"/>
    <n v="2"/>
    <n v="384"/>
    <s v="Роман Ф."/>
    <s v="Павел Ткаченко"/>
  </r>
  <r>
    <x v="2"/>
    <s v="Краснодар"/>
    <d v="2025-09-28T00:00:00"/>
    <x v="1"/>
    <s v="Раф"/>
    <x v="1"/>
    <n v="1"/>
    <n v="269"/>
    <s v="Наталья Р."/>
    <s v="Павел Ткаченко"/>
  </r>
  <r>
    <x v="2"/>
    <s v="Краснодар"/>
    <d v="2025-01-14T00:00:00"/>
    <x v="4"/>
    <s v="Чизкейк"/>
    <x v="0"/>
    <n v="1"/>
    <n v="260"/>
    <s v="Роман Ф."/>
    <s v="Павел Ткаченко"/>
  </r>
  <r>
    <x v="2"/>
    <s v="Краснодар"/>
    <d v="2025-04-16T00:00:00"/>
    <x v="11"/>
    <s v="Матча латте"/>
    <x v="1"/>
    <n v="2"/>
    <n v="494"/>
    <s v="Артём Б."/>
    <s v="Павел Ткаченко"/>
  </r>
  <r>
    <x v="2"/>
    <s v="Краснодар"/>
    <d v="2025-12-24T00:00:00"/>
    <x v="0"/>
    <s v="Чизкейк"/>
    <x v="0"/>
    <n v="1"/>
    <n v="238"/>
    <s v="Наталья Р."/>
    <s v="Павел Ткаченко"/>
  </r>
  <r>
    <x v="2"/>
    <s v="Краснодар"/>
    <d v="2025-12-19T00:00:00"/>
    <x v="0"/>
    <s v="Американо"/>
    <x v="1"/>
    <n v="2"/>
    <n v="340"/>
    <s v="Юлия Д."/>
    <s v="Павел Ткаченко"/>
  </r>
  <r>
    <x v="2"/>
    <s v="Краснодар"/>
    <d v="2025-05-02T00:00:00"/>
    <x v="10"/>
    <s v="Какао"/>
    <x v="1"/>
    <n v="1"/>
    <n v="205"/>
    <s v="Артём Б."/>
    <s v="Павел Ткаченко"/>
  </r>
  <r>
    <x v="2"/>
    <s v="Краснодар"/>
    <d v="2025-12-14T00:00:00"/>
    <x v="0"/>
    <s v="Синнабон"/>
    <x v="0"/>
    <n v="2"/>
    <n v="452"/>
    <s v="Роман Ф."/>
    <s v="Павел Ткаченко"/>
  </r>
  <r>
    <x v="2"/>
    <s v="Краснодар"/>
    <d v="2025-06-28T00:00:00"/>
    <x v="7"/>
    <s v="Какао"/>
    <x v="1"/>
    <n v="1"/>
    <n v="245"/>
    <s v="Светлана М."/>
    <s v="Павел Ткаченко"/>
  </r>
  <r>
    <x v="2"/>
    <s v="Краснодар"/>
    <d v="2025-04-14T00:00:00"/>
    <x v="11"/>
    <s v="Синнабон"/>
    <x v="0"/>
    <n v="1"/>
    <n v="215"/>
    <s v="Артём Б."/>
    <s v="Павел Ткаченко"/>
  </r>
  <r>
    <x v="2"/>
    <s v="Краснодар"/>
    <d v="2025-07-10T00:00:00"/>
    <x v="5"/>
    <s v="Чизкейк"/>
    <x v="0"/>
    <n v="2"/>
    <n v="444"/>
    <s v="Светлана М."/>
    <s v="Павел Ткаченко"/>
  </r>
  <r>
    <x v="2"/>
    <s v="Краснодар"/>
    <d v="2025-08-22T00:00:00"/>
    <x v="9"/>
    <s v="Раф"/>
    <x v="1"/>
    <n v="2"/>
    <n v="470"/>
    <s v="Светлана М."/>
    <s v="Павел Ткаченко"/>
  </r>
  <r>
    <x v="2"/>
    <s v="Краснодар"/>
    <d v="2025-07-15T00:00:00"/>
    <x v="5"/>
    <s v="Какао"/>
    <x v="1"/>
    <n v="3"/>
    <n v="591"/>
    <s v="Роман Ф."/>
    <s v="Павел Ткаченко"/>
  </r>
  <r>
    <x v="2"/>
    <s v="Краснодар"/>
    <d v="2025-07-11T00:00:00"/>
    <x v="5"/>
    <s v="Какао"/>
    <x v="1"/>
    <n v="2"/>
    <n v="482"/>
    <s v="Виктор Л."/>
    <s v="Павел Ткаченко"/>
  </r>
  <r>
    <x v="2"/>
    <s v="Краснодар"/>
    <d v="2025-06-23T00:00:00"/>
    <x v="7"/>
    <s v="Американо"/>
    <x v="1"/>
    <n v="3"/>
    <n v="582"/>
    <s v="Юлия Д."/>
    <s v="Павел Ткаченко"/>
  </r>
  <r>
    <x v="2"/>
    <s v="Краснодар"/>
    <d v="2025-12-03T00:00:00"/>
    <x v="0"/>
    <s v="Американо"/>
    <x v="1"/>
    <n v="3"/>
    <n v="522"/>
    <s v="Светлана М."/>
    <s v="Павел Ткаченко"/>
  </r>
  <r>
    <x v="2"/>
    <s v="Краснодар"/>
    <d v="2025-08-10T00:00:00"/>
    <x v="9"/>
    <s v="Капучино"/>
    <x v="1"/>
    <n v="1"/>
    <n v="183"/>
    <s v="Роман Ф."/>
    <s v="Павел Ткаченко"/>
  </r>
  <r>
    <x v="2"/>
    <s v="Краснодар"/>
    <d v="2025-02-11T00:00:00"/>
    <x v="2"/>
    <s v="Синнабон"/>
    <x v="0"/>
    <n v="1"/>
    <n v="193"/>
    <s v="Светлана М."/>
    <s v="Павел Ткаченко"/>
  </r>
  <r>
    <x v="2"/>
    <s v="Краснодар"/>
    <d v="2025-10-22T00:00:00"/>
    <x v="3"/>
    <s v="Капучино"/>
    <x v="1"/>
    <n v="2"/>
    <n v="382"/>
    <s v="Артём Б."/>
    <s v="Павел Ткаченко"/>
  </r>
  <r>
    <x v="2"/>
    <s v="Краснодар"/>
    <d v="2025-06-22T00:00:00"/>
    <x v="7"/>
    <s v="Раф"/>
    <x v="1"/>
    <n v="1"/>
    <n v="273"/>
    <s v="Роман Ф."/>
    <s v="Павел Ткаченко"/>
  </r>
  <r>
    <x v="2"/>
    <s v="Краснодар"/>
    <d v="2025-12-22T00:00:00"/>
    <x v="0"/>
    <s v="Синнабон"/>
    <x v="0"/>
    <n v="1"/>
    <n v="219"/>
    <s v="Виктор Л."/>
    <s v="Павел Ткаченко"/>
  </r>
  <r>
    <x v="2"/>
    <s v="Краснодар"/>
    <d v="2025-09-10T00:00:00"/>
    <x v="1"/>
    <s v="Синнабон"/>
    <x v="0"/>
    <n v="2"/>
    <n v="414"/>
    <s v="Роман Ф."/>
    <s v="Павел Ткаченко"/>
  </r>
  <r>
    <x v="2"/>
    <s v="Краснодар"/>
    <d v="2025-08-25T00:00:00"/>
    <x v="9"/>
    <s v="Латте"/>
    <x v="1"/>
    <n v="1"/>
    <n v="216"/>
    <s v="Светлана М."/>
    <s v="Павел Ткаченко"/>
  </r>
  <r>
    <x v="2"/>
    <s v="Краснодар"/>
    <d v="2025-04-06T00:00:00"/>
    <x v="11"/>
    <s v="Эспрессо"/>
    <x v="1"/>
    <n v="2"/>
    <n v="278"/>
    <s v="Юлия Д."/>
    <s v="Павел Ткаченко"/>
  </r>
  <r>
    <x v="2"/>
    <s v="Краснодар"/>
    <d v="2025-10-03T00:00:00"/>
    <x v="3"/>
    <s v="Эспрессо"/>
    <x v="1"/>
    <n v="3"/>
    <n v="480"/>
    <s v="Юлия Д."/>
    <s v="Павел Ткаченко"/>
  </r>
  <r>
    <x v="2"/>
    <s v="Краснодар"/>
    <d v="2025-06-11T00:00:00"/>
    <x v="7"/>
    <s v="Раф"/>
    <x v="1"/>
    <n v="1"/>
    <n v="274"/>
    <s v="Юлия Д."/>
    <s v="Павел Ткаченко"/>
  </r>
  <r>
    <x v="2"/>
    <s v="Краснодар"/>
    <d v="2025-06-26T00:00:00"/>
    <x v="7"/>
    <s v="Раф"/>
    <x v="1"/>
    <n v="1"/>
    <n v="269"/>
    <s v="Виктор Л."/>
    <s v="Павел Ткаченко"/>
  </r>
  <r>
    <x v="2"/>
    <s v="Краснодар"/>
    <d v="2025-05-09T00:00:00"/>
    <x v="10"/>
    <s v="Какао"/>
    <x v="1"/>
    <n v="2"/>
    <n v="462"/>
    <s v="Виктор Л."/>
    <s v="Павел Ткаченко"/>
  </r>
  <r>
    <x v="2"/>
    <s v="Краснодар"/>
    <d v="2025-01-18T00:00:00"/>
    <x v="4"/>
    <s v="Латте"/>
    <x v="1"/>
    <n v="2"/>
    <n v="450"/>
    <s v="Наталья Р."/>
    <s v="Павел Ткаченко"/>
  </r>
  <r>
    <x v="2"/>
    <s v="Краснодар"/>
    <d v="2025-01-18T00:00:00"/>
    <x v="4"/>
    <s v="Сэндвич"/>
    <x v="2"/>
    <n v="3"/>
    <n v="999"/>
    <s v="Наталья Р."/>
    <s v="Павел Ткаченко"/>
  </r>
  <r>
    <x v="2"/>
    <s v="Краснодар"/>
    <d v="2025-12-26T00:00:00"/>
    <x v="0"/>
    <s v="Сэндвич"/>
    <x v="2"/>
    <n v="1"/>
    <n v="291"/>
    <s v="Юлия Д."/>
    <s v="Павел Ткаченко"/>
  </r>
  <r>
    <x v="2"/>
    <s v="Краснодар"/>
    <d v="2025-03-14T00:00:00"/>
    <x v="6"/>
    <s v="Какао"/>
    <x v="1"/>
    <n v="2"/>
    <n v="392"/>
    <s v="Наталья Р."/>
    <s v="Павел Ткаченко"/>
  </r>
  <r>
    <x v="2"/>
    <s v="Краснодар"/>
    <d v="2025-07-26T00:00:00"/>
    <x v="5"/>
    <s v="Латте"/>
    <x v="1"/>
    <n v="2"/>
    <n v="498"/>
    <s v="Артём Б."/>
    <s v="Павел Ткаченко"/>
  </r>
  <r>
    <x v="2"/>
    <s v="Краснодар"/>
    <d v="2025-01-05T00:00:00"/>
    <x v="4"/>
    <s v="Синнабон"/>
    <x v="0"/>
    <n v="2"/>
    <n v="440"/>
    <s v="Светлана М."/>
    <s v="Павел Ткаченко"/>
  </r>
  <r>
    <x v="2"/>
    <s v="Краснодар"/>
    <d v="2025-11-11T00:00:00"/>
    <x v="8"/>
    <s v="Эспрессо"/>
    <x v="1"/>
    <n v="3"/>
    <n v="432"/>
    <s v="Артём Б."/>
    <s v="Павел Ткаченко"/>
  </r>
  <r>
    <x v="2"/>
    <s v="Краснодар"/>
    <d v="2025-09-04T00:00:00"/>
    <x v="1"/>
    <s v="Капучино"/>
    <x v="1"/>
    <n v="1"/>
    <n v="216"/>
    <s v="Виктор Л."/>
    <s v="Павел Ткаченко"/>
  </r>
  <r>
    <x v="2"/>
    <s v="Краснодар"/>
    <d v="2025-02-20T00:00:00"/>
    <x v="2"/>
    <s v="Какао"/>
    <x v="1"/>
    <n v="3"/>
    <n v="696"/>
    <s v="Светлана М."/>
    <s v="Павел Ткаченко"/>
  </r>
  <r>
    <x v="2"/>
    <s v="Краснодар"/>
    <d v="2025-10-18T00:00:00"/>
    <x v="3"/>
    <s v="Круассан"/>
    <x v="0"/>
    <n v="1"/>
    <n v="198"/>
    <s v="Роман Ф."/>
    <s v="Павел Ткаченко"/>
  </r>
  <r>
    <x v="2"/>
    <s v="Краснодар"/>
    <d v="2025-05-23T00:00:00"/>
    <x v="10"/>
    <s v="Капучино"/>
    <x v="1"/>
    <n v="1"/>
    <n v="218"/>
    <s v="Наталья Р."/>
    <s v="Павел Ткаченко"/>
  </r>
  <r>
    <x v="2"/>
    <s v="Краснодар"/>
    <d v="2025-09-26T00:00:00"/>
    <x v="1"/>
    <s v="Раф"/>
    <x v="1"/>
    <n v="3"/>
    <n v="789"/>
    <s v="Светлана М."/>
    <s v="Павел Ткаченко"/>
  </r>
  <r>
    <x v="2"/>
    <s v="Краснодар"/>
    <d v="2025-05-27T00:00:00"/>
    <x v="10"/>
    <s v="Американо"/>
    <x v="1"/>
    <n v="1"/>
    <n v="183"/>
    <s v="Светлана М."/>
    <s v="Павел Ткаченко"/>
  </r>
  <r>
    <x v="2"/>
    <s v="Краснодар"/>
    <d v="2025-10-28T00:00:00"/>
    <x v="3"/>
    <s v="Эспрессо"/>
    <x v="1"/>
    <n v="1"/>
    <n v="152"/>
    <s v="Юлия Д."/>
    <s v="Павел Ткаченко"/>
  </r>
  <r>
    <x v="2"/>
    <s v="Краснодар"/>
    <d v="2025-12-05T00:00:00"/>
    <x v="0"/>
    <s v="Раф"/>
    <x v="1"/>
    <n v="2"/>
    <n v="528"/>
    <s v="Виктор Л."/>
    <s v="Павел Ткаченко"/>
  </r>
  <r>
    <x v="2"/>
    <s v="Краснодар"/>
    <d v="2025-02-21T00:00:00"/>
    <x v="2"/>
    <s v="Раф"/>
    <x v="1"/>
    <n v="1"/>
    <n v="264"/>
    <s v="Наталья Р."/>
    <s v="Павел Ткаченко"/>
  </r>
  <r>
    <x v="2"/>
    <s v="Краснодар"/>
    <d v="2025-04-12T00:00:00"/>
    <x v="11"/>
    <s v="Круассан"/>
    <x v="0"/>
    <n v="2"/>
    <n v="346"/>
    <s v="Виктор Л."/>
    <s v="Павел Ткаченко"/>
  </r>
  <r>
    <x v="2"/>
    <s v="Краснодар"/>
    <d v="2025-01-01T00:00:00"/>
    <x v="4"/>
    <s v="Сэндвич"/>
    <x v="2"/>
    <n v="1"/>
    <n v="337"/>
    <s v="Артём Б."/>
    <s v="Павел Ткаченко"/>
  </r>
  <r>
    <x v="2"/>
    <s v="Краснодар"/>
    <d v="2025-05-09T00:00:00"/>
    <x v="10"/>
    <s v="Салат Цезарь"/>
    <x v="2"/>
    <n v="3"/>
    <n v="1218"/>
    <s v="Наталья Р."/>
    <s v="Павел Ткаченко"/>
  </r>
  <r>
    <x v="2"/>
    <s v="Краснодар"/>
    <d v="2025-01-10T00:00:00"/>
    <x v="4"/>
    <s v="Раф"/>
    <x v="1"/>
    <n v="1"/>
    <n v="239"/>
    <s v="Наталья Р."/>
    <s v="Павел Ткаченко"/>
  </r>
  <r>
    <x v="2"/>
    <s v="Краснодар"/>
    <d v="2025-05-10T00:00:00"/>
    <x v="10"/>
    <s v="Эспрессо"/>
    <x v="1"/>
    <n v="1"/>
    <n v="122"/>
    <s v="Наталья Р."/>
    <s v="Павел Ткаченко"/>
  </r>
  <r>
    <x v="2"/>
    <s v="Краснодар"/>
    <d v="2025-08-12T00:00:00"/>
    <x v="9"/>
    <s v="Какао"/>
    <x v="1"/>
    <n v="1"/>
    <n v="228"/>
    <s v="Наталья Р."/>
    <s v="Павел Ткаченко"/>
  </r>
  <r>
    <x v="2"/>
    <s v="Краснодар"/>
    <d v="2025-08-06T00:00:00"/>
    <x v="9"/>
    <s v="Латте"/>
    <x v="1"/>
    <n v="1"/>
    <n v="210"/>
    <s v="Роман Ф."/>
    <s v="Павел Ткаченко"/>
  </r>
  <r>
    <x v="2"/>
    <s v="Краснодар"/>
    <d v="2025-12-05T00:00:00"/>
    <x v="0"/>
    <s v="Какао"/>
    <x v="1"/>
    <n v="2"/>
    <n v="472"/>
    <s v="Юлия Д."/>
    <s v="Павел Ткаченко"/>
  </r>
  <r>
    <x v="2"/>
    <s v="Краснодар"/>
    <d v="2025-04-28T00:00:00"/>
    <x v="11"/>
    <s v="Эспрессо"/>
    <x v="1"/>
    <n v="1"/>
    <n v="126"/>
    <s v="Наталья Р."/>
    <s v="Павел Ткаченко"/>
  </r>
  <r>
    <x v="2"/>
    <s v="Краснодар"/>
    <d v="2025-12-08T00:00:00"/>
    <x v="0"/>
    <s v="Эспрессо"/>
    <x v="1"/>
    <n v="1"/>
    <n v="139"/>
    <s v="Артём Б."/>
    <s v="Павел Ткаченко"/>
  </r>
  <r>
    <x v="2"/>
    <s v="Краснодар"/>
    <d v="2025-09-09T00:00:00"/>
    <x v="1"/>
    <s v="Капучино"/>
    <x v="1"/>
    <n v="2"/>
    <n v="448"/>
    <s v="Юлия Д."/>
    <s v="Павел Ткаченко"/>
  </r>
  <r>
    <x v="2"/>
    <s v="Краснодар"/>
    <d v="2025-01-18T00:00:00"/>
    <x v="4"/>
    <s v="Сэндвич"/>
    <x v="2"/>
    <n v="2"/>
    <n v="598"/>
    <s v="Наталья Р."/>
    <s v="Павел Ткаченко"/>
  </r>
  <r>
    <x v="2"/>
    <s v="Краснодар"/>
    <d v="2025-07-16T00:00:00"/>
    <x v="5"/>
    <s v="Матча латте"/>
    <x v="1"/>
    <n v="1"/>
    <n v="258"/>
    <s v="Юлия Д."/>
    <s v="Павел Ткаченко"/>
  </r>
  <r>
    <x v="2"/>
    <s v="Краснодар"/>
    <d v="2025-11-14T00:00:00"/>
    <x v="8"/>
    <s v="Американо"/>
    <x v="1"/>
    <n v="2"/>
    <n v="358"/>
    <s v="Роман Ф."/>
    <s v="Павел Ткаченко"/>
  </r>
  <r>
    <x v="2"/>
    <s v="Краснодар"/>
    <d v="2025-07-11T00:00:00"/>
    <x v="5"/>
    <s v="Сэндвич"/>
    <x v="2"/>
    <n v="1"/>
    <n v="283"/>
    <s v="Артём Б."/>
    <s v="Павел Ткаченко"/>
  </r>
  <r>
    <x v="2"/>
    <s v="Краснодар"/>
    <d v="2025-12-04T00:00:00"/>
    <x v="0"/>
    <s v="Американо"/>
    <x v="1"/>
    <n v="2"/>
    <n v="370"/>
    <s v="Артём Б."/>
    <s v="Павел Ткаченко"/>
  </r>
  <r>
    <x v="2"/>
    <s v="Краснодар"/>
    <d v="2025-11-28T00:00:00"/>
    <x v="8"/>
    <s v="Сэндвич"/>
    <x v="2"/>
    <n v="3"/>
    <n v="939"/>
    <s v="Роман Ф."/>
    <s v="Павел Ткаченко"/>
  </r>
  <r>
    <x v="2"/>
    <s v="Краснодар"/>
    <d v="2025-03-23T00:00:00"/>
    <x v="6"/>
    <s v="Сэндвич"/>
    <x v="2"/>
    <n v="3"/>
    <n v="978"/>
    <s v="Юлия Д."/>
    <s v="Павел Ткаченко"/>
  </r>
  <r>
    <x v="2"/>
    <s v="Краснодар"/>
    <d v="2025-02-27T00:00:00"/>
    <x v="2"/>
    <s v="Капучино"/>
    <x v="1"/>
    <n v="2"/>
    <n v="414"/>
    <s v="Артём Б."/>
    <s v="Павел Ткаченко"/>
  </r>
  <r>
    <x v="2"/>
    <s v="Краснодар"/>
    <d v="2025-03-11T00:00:00"/>
    <x v="6"/>
    <s v="Раф"/>
    <x v="1"/>
    <n v="1"/>
    <n v="282"/>
    <s v="Юлия Д."/>
    <s v="Павел Ткаченко"/>
  </r>
  <r>
    <x v="2"/>
    <s v="Краснодар"/>
    <d v="2025-06-02T00:00:00"/>
    <x v="7"/>
    <s v="Сэндвич"/>
    <x v="2"/>
    <n v="2"/>
    <n v="582"/>
    <s v="Виктор Л."/>
    <s v="Павел Ткаченко"/>
  </r>
  <r>
    <x v="2"/>
    <s v="Краснодар"/>
    <d v="2025-12-07T00:00:00"/>
    <x v="0"/>
    <s v="Латте"/>
    <x v="1"/>
    <n v="1"/>
    <n v="249"/>
    <s v="Светлана М."/>
    <s v="Павел Ткаченко"/>
  </r>
  <r>
    <x v="2"/>
    <s v="Краснодар"/>
    <d v="2025-07-27T00:00:00"/>
    <x v="5"/>
    <s v="Латте"/>
    <x v="1"/>
    <n v="2"/>
    <n v="498"/>
    <s v="Юлия Д."/>
    <s v="Павел Ткаченко"/>
  </r>
  <r>
    <x v="2"/>
    <s v="Краснодар"/>
    <d v="2025-05-21T00:00:00"/>
    <x v="10"/>
    <s v="Матча латте"/>
    <x v="1"/>
    <n v="2"/>
    <n v="588"/>
    <s v="Артём Б."/>
    <s v="Павел Ткаченко"/>
  </r>
  <r>
    <x v="2"/>
    <s v="Краснодар"/>
    <d v="2025-01-25T00:00:00"/>
    <x v="4"/>
    <s v="Салат Цезарь"/>
    <x v="2"/>
    <n v="1"/>
    <n v="360"/>
    <s v="Юлия Д."/>
    <s v="Павел Ткаченко"/>
  </r>
  <r>
    <x v="2"/>
    <s v="Краснодар"/>
    <d v="2025-10-08T00:00:00"/>
    <x v="3"/>
    <s v="Американо"/>
    <x v="1"/>
    <n v="1"/>
    <n v="177"/>
    <s v="Светлана М."/>
    <s v="Павел Ткаченко"/>
  </r>
  <r>
    <x v="2"/>
    <s v="Краснодар"/>
    <d v="2025-07-09T00:00:00"/>
    <x v="5"/>
    <s v="Какао"/>
    <x v="1"/>
    <n v="1"/>
    <n v="229"/>
    <s v="Роман Ф."/>
    <s v="Павел Ткаченко"/>
  </r>
  <r>
    <x v="2"/>
    <s v="Краснодар"/>
    <d v="2025-01-23T00:00:00"/>
    <x v="4"/>
    <s v="Эспрессо"/>
    <x v="1"/>
    <n v="2"/>
    <n v="294"/>
    <s v="Наталья Р."/>
    <s v="Павел Ткаченко"/>
  </r>
  <r>
    <x v="2"/>
    <s v="Краснодар"/>
    <d v="2025-04-08T00:00:00"/>
    <x v="11"/>
    <s v="Чизкейк"/>
    <x v="0"/>
    <n v="1"/>
    <n v="273"/>
    <s v="Виктор Л."/>
    <s v="Павел Ткаченко"/>
  </r>
  <r>
    <x v="2"/>
    <s v="Краснодар"/>
    <d v="2025-01-03T00:00:00"/>
    <x v="4"/>
    <s v="Сэндвич"/>
    <x v="2"/>
    <n v="3"/>
    <n v="999"/>
    <s v="Светлана М."/>
    <s v="Павел Ткаченко"/>
  </r>
  <r>
    <x v="2"/>
    <s v="Краснодар"/>
    <d v="2025-02-03T00:00:00"/>
    <x v="2"/>
    <s v="Салат Цезарь"/>
    <x v="2"/>
    <n v="2"/>
    <n v="792"/>
    <s v="Роман Ф."/>
    <s v="Павел Ткаченко"/>
  </r>
  <r>
    <x v="2"/>
    <s v="Краснодар"/>
    <d v="2025-10-06T00:00:00"/>
    <x v="3"/>
    <s v="Салат Цезарь"/>
    <x v="2"/>
    <n v="1"/>
    <n v="393"/>
    <s v="Роман Ф."/>
    <s v="Павел Ткаченко"/>
  </r>
  <r>
    <x v="2"/>
    <s v="Краснодар"/>
    <d v="2025-01-25T00:00:00"/>
    <x v="4"/>
    <s v="Чизкейк"/>
    <x v="0"/>
    <n v="1"/>
    <n v="244"/>
    <s v="Виктор Л."/>
    <s v="Павел Ткаченко"/>
  </r>
  <r>
    <x v="2"/>
    <s v="Краснодар"/>
    <d v="2025-11-25T00:00:00"/>
    <x v="8"/>
    <s v="Эспрессо"/>
    <x v="1"/>
    <n v="1"/>
    <n v="139"/>
    <s v="Светлана М."/>
    <s v="Павел Ткаченко"/>
  </r>
  <r>
    <x v="2"/>
    <s v="Краснодар"/>
    <d v="2025-03-28T00:00:00"/>
    <x v="6"/>
    <s v="Сэндвич"/>
    <x v="2"/>
    <n v="1"/>
    <n v="314"/>
    <s v="Светлана М."/>
    <s v="Павел Ткаченко"/>
  </r>
  <r>
    <x v="2"/>
    <s v="Краснодар"/>
    <d v="2025-06-15T00:00:00"/>
    <x v="7"/>
    <s v="Сэндвич"/>
    <x v="2"/>
    <n v="2"/>
    <n v="642"/>
    <s v="Виктор Л."/>
    <s v="Павел Ткаченко"/>
  </r>
  <r>
    <x v="2"/>
    <s v="Краснодар"/>
    <d v="2025-07-18T00:00:00"/>
    <x v="5"/>
    <s v="Американо"/>
    <x v="1"/>
    <n v="2"/>
    <n v="378"/>
    <s v="Виктор Л."/>
    <s v="Павел Ткаченко"/>
  </r>
  <r>
    <x v="2"/>
    <s v="Краснодар"/>
    <d v="2025-08-11T00:00:00"/>
    <x v="9"/>
    <s v="Какао"/>
    <x v="1"/>
    <n v="3"/>
    <n v="585"/>
    <s v="Артём Б."/>
    <s v="Павел Ткаченко"/>
  </r>
  <r>
    <x v="2"/>
    <s v="Краснодар"/>
    <d v="2025-12-02T00:00:00"/>
    <x v="0"/>
    <s v="Синнабон"/>
    <x v="0"/>
    <n v="3"/>
    <n v="576"/>
    <s v="Наталья Р."/>
    <s v="Павел Ткаченко"/>
  </r>
  <r>
    <x v="2"/>
    <s v="Краснодар"/>
    <d v="2025-10-01T00:00:00"/>
    <x v="3"/>
    <s v="Американо"/>
    <x v="1"/>
    <n v="2"/>
    <n v="338"/>
    <s v="Виктор Л."/>
    <s v="Павел Ткаченко"/>
  </r>
  <r>
    <x v="2"/>
    <s v="Краснодар"/>
    <d v="2025-03-24T00:00:00"/>
    <x v="6"/>
    <s v="Круассан"/>
    <x v="0"/>
    <n v="2"/>
    <n v="348"/>
    <s v="Виктор Л."/>
    <s v="Павел Ткаченко"/>
  </r>
  <r>
    <x v="2"/>
    <s v="Краснодар"/>
    <d v="2025-12-24T00:00:00"/>
    <x v="0"/>
    <s v="Какао"/>
    <x v="1"/>
    <n v="2"/>
    <n v="490"/>
    <s v="Наталья Р."/>
    <s v="Павел Ткаченко"/>
  </r>
  <r>
    <x v="2"/>
    <s v="Краснодар"/>
    <d v="2025-07-24T00:00:00"/>
    <x v="5"/>
    <s v="Американо"/>
    <x v="1"/>
    <n v="2"/>
    <n v="316"/>
    <s v="Виктор Л."/>
    <s v="Павел Ткаченко"/>
  </r>
  <r>
    <x v="2"/>
    <s v="Краснодар"/>
    <d v="2025-07-17T00:00:00"/>
    <x v="5"/>
    <s v="Чизкейк"/>
    <x v="0"/>
    <n v="2"/>
    <n v="552"/>
    <s v="Юлия Д."/>
    <s v="Павел Ткаченко"/>
  </r>
  <r>
    <x v="2"/>
    <s v="Краснодар"/>
    <d v="2025-01-13T00:00:00"/>
    <x v="4"/>
    <s v="Американо"/>
    <x v="1"/>
    <n v="2"/>
    <n v="370"/>
    <s v="Юлия Д."/>
    <s v="Павел Ткаченко"/>
  </r>
  <r>
    <x v="2"/>
    <s v="Краснодар"/>
    <d v="2025-07-04T00:00:00"/>
    <x v="5"/>
    <s v="Латте"/>
    <x v="1"/>
    <n v="1"/>
    <n v="255"/>
    <s v="Наталья Р."/>
    <s v="Павел Ткаченко"/>
  </r>
  <r>
    <x v="2"/>
    <s v="Краснодар"/>
    <d v="2025-05-13T00:00:00"/>
    <x v="10"/>
    <s v="Эспрессо"/>
    <x v="1"/>
    <n v="1"/>
    <n v="159"/>
    <s v="Светлана М."/>
    <s v="Павел Ткаченко"/>
  </r>
  <r>
    <x v="2"/>
    <s v="Краснодар"/>
    <d v="2025-12-07T00:00:00"/>
    <x v="0"/>
    <s v="Эспрессо"/>
    <x v="1"/>
    <n v="1"/>
    <n v="153"/>
    <s v="Светлана М."/>
    <s v="Павел Ткаченко"/>
  </r>
  <r>
    <x v="2"/>
    <s v="Краснодар"/>
    <d v="2025-07-09T00:00:00"/>
    <x v="5"/>
    <s v="Синнабон"/>
    <x v="0"/>
    <n v="1"/>
    <n v="213"/>
    <s v="Светлана М."/>
    <s v="Павел Ткаченко"/>
  </r>
  <r>
    <x v="2"/>
    <s v="Краснодар"/>
    <d v="2025-09-19T00:00:00"/>
    <x v="1"/>
    <s v="Салат Цезарь"/>
    <x v="2"/>
    <n v="1"/>
    <n v="348"/>
    <s v="Виктор Л."/>
    <s v="Павел Ткаченко"/>
  </r>
  <r>
    <x v="2"/>
    <s v="Краснодар"/>
    <d v="2025-02-26T00:00:00"/>
    <x v="2"/>
    <s v="Чизкейк"/>
    <x v="0"/>
    <n v="3"/>
    <n v="753"/>
    <s v="Виктор Л."/>
    <s v="Павел Ткаченко"/>
  </r>
  <r>
    <x v="2"/>
    <s v="Краснодар"/>
    <d v="2025-07-02T00:00:00"/>
    <x v="5"/>
    <s v="Капучино"/>
    <x v="1"/>
    <n v="2"/>
    <n v="388"/>
    <s v="Виктор Л."/>
    <s v="Павел Ткаченко"/>
  </r>
  <r>
    <x v="2"/>
    <s v="Краснодар"/>
    <d v="2025-09-26T00:00:00"/>
    <x v="1"/>
    <s v="Какао"/>
    <x v="1"/>
    <n v="1"/>
    <n v="225"/>
    <s v="Юлия Д."/>
    <s v="Павел Ткаченко"/>
  </r>
  <r>
    <x v="2"/>
    <s v="Краснодар"/>
    <d v="2025-02-26T00:00:00"/>
    <x v="2"/>
    <s v="Салат Цезарь"/>
    <x v="2"/>
    <n v="1"/>
    <n v="399"/>
    <s v="Наталья Р."/>
    <s v="Павел Ткаченко"/>
  </r>
  <r>
    <x v="2"/>
    <s v="Краснодар"/>
    <d v="2025-08-28T00:00:00"/>
    <x v="9"/>
    <s v="Салат Цезарь"/>
    <x v="2"/>
    <n v="2"/>
    <n v="816"/>
    <s v="Роман Ф."/>
    <s v="Павел Ткаченко"/>
  </r>
  <r>
    <x v="2"/>
    <s v="Краснодар"/>
    <d v="2025-06-10T00:00:00"/>
    <x v="7"/>
    <s v="Круассан"/>
    <x v="0"/>
    <n v="1"/>
    <n v="192"/>
    <s v="Светлана М."/>
    <s v="Павел Ткаченко"/>
  </r>
  <r>
    <x v="2"/>
    <s v="Краснодар"/>
    <d v="2025-01-11T00:00:00"/>
    <x v="4"/>
    <s v="Американо"/>
    <x v="1"/>
    <n v="2"/>
    <n v="330"/>
    <s v="Артём Б."/>
    <s v="Павел Ткаченко"/>
  </r>
  <r>
    <x v="2"/>
    <s v="Краснодар"/>
    <d v="2025-12-05T00:00:00"/>
    <x v="0"/>
    <s v="Матча латте"/>
    <x v="1"/>
    <n v="2"/>
    <n v="520"/>
    <s v="Роман Ф."/>
    <s v="Павел Ткаченко"/>
  </r>
  <r>
    <x v="2"/>
    <s v="Краснодар"/>
    <d v="2025-07-09T00:00:00"/>
    <x v="5"/>
    <s v="Эспрессо"/>
    <x v="1"/>
    <n v="3"/>
    <n v="471"/>
    <s v="Артём Б."/>
    <s v="Павел Ткаченко"/>
  </r>
  <r>
    <x v="2"/>
    <s v="Краснодар"/>
    <d v="2025-10-05T00:00:00"/>
    <x v="3"/>
    <s v="Сэндвич"/>
    <x v="2"/>
    <n v="1"/>
    <n v="335"/>
    <s v="Роман Ф."/>
    <s v="Павел Ткаченко"/>
  </r>
  <r>
    <x v="2"/>
    <s v="Краснодар"/>
    <d v="2025-12-03T00:00:00"/>
    <x v="0"/>
    <s v="Синнабон"/>
    <x v="0"/>
    <n v="2"/>
    <n v="418"/>
    <s v="Наталья Р."/>
    <s v="Павел Ткаченко"/>
  </r>
  <r>
    <x v="2"/>
    <s v="Краснодар"/>
    <d v="2025-11-08T00:00:00"/>
    <x v="8"/>
    <s v="Чизкейк"/>
    <x v="0"/>
    <n v="2"/>
    <n v="502"/>
    <s v="Юлия Д."/>
    <s v="Павел Ткаченко"/>
  </r>
  <r>
    <x v="2"/>
    <s v="Краснодар"/>
    <d v="2025-01-13T00:00:00"/>
    <x v="4"/>
    <s v="Салат Цезарь"/>
    <x v="2"/>
    <n v="1"/>
    <n v="393"/>
    <s v="Юлия Д."/>
    <s v="Павел Ткаченко"/>
  </r>
  <r>
    <x v="2"/>
    <s v="Краснодар"/>
    <d v="2025-05-15T00:00:00"/>
    <x v="10"/>
    <s v="Чизкейк"/>
    <x v="0"/>
    <n v="2"/>
    <n v="454"/>
    <s v="Артём Б."/>
    <s v="Павел Ткаченко"/>
  </r>
  <r>
    <x v="2"/>
    <s v="Краснодар"/>
    <d v="2025-10-03T00:00:00"/>
    <x v="3"/>
    <s v="Какао"/>
    <x v="1"/>
    <n v="1"/>
    <n v="201"/>
    <s v="Юлия Д."/>
    <s v="Павел Ткаченко"/>
  </r>
  <r>
    <x v="2"/>
    <s v="Краснодар"/>
    <d v="2025-04-20T00:00:00"/>
    <x v="11"/>
    <s v="Какао"/>
    <x v="1"/>
    <n v="1"/>
    <n v="229"/>
    <s v="Наталья Р."/>
    <s v="Павел Ткаченко"/>
  </r>
  <r>
    <x v="2"/>
    <s v="Краснодар"/>
    <d v="2025-10-05T00:00:00"/>
    <x v="3"/>
    <s v="Эспрессо"/>
    <x v="1"/>
    <n v="1"/>
    <n v="132"/>
    <s v="Светлана М."/>
    <s v="Павел Ткаченко"/>
  </r>
  <r>
    <x v="2"/>
    <s v="Краснодар"/>
    <d v="2025-04-13T00:00:00"/>
    <x v="11"/>
    <s v="Круассан"/>
    <x v="0"/>
    <n v="3"/>
    <n v="483"/>
    <s v="Юлия Д."/>
    <s v="Павел Ткаченко"/>
  </r>
  <r>
    <x v="2"/>
    <s v="Краснодар"/>
    <d v="2025-09-03T00:00:00"/>
    <x v="1"/>
    <s v="Матча латте"/>
    <x v="1"/>
    <n v="1"/>
    <n v="260"/>
    <s v="Светлана М."/>
    <s v="Павел Ткаченко"/>
  </r>
  <r>
    <x v="2"/>
    <s v="Краснодар"/>
    <d v="2025-09-16T00:00:00"/>
    <x v="1"/>
    <s v="Раф"/>
    <x v="1"/>
    <n v="3"/>
    <n v="804"/>
    <s v="Наталья Р."/>
    <s v="Павел Ткаченко"/>
  </r>
  <r>
    <x v="2"/>
    <s v="Краснодар"/>
    <d v="2025-05-24T00:00:00"/>
    <x v="10"/>
    <s v="Круассан"/>
    <x v="0"/>
    <n v="2"/>
    <n v="366"/>
    <s v="Виктор Л."/>
    <s v="Павел Ткаченко"/>
  </r>
  <r>
    <x v="2"/>
    <s v="Краснодар"/>
    <d v="2025-01-27T00:00:00"/>
    <x v="4"/>
    <s v="Чизкейк"/>
    <x v="0"/>
    <n v="2"/>
    <n v="460"/>
    <s v="Виктор Л."/>
    <s v="Павел Ткаченко"/>
  </r>
  <r>
    <x v="2"/>
    <s v="Краснодар"/>
    <d v="2025-09-14T00:00:00"/>
    <x v="1"/>
    <s v="Американо"/>
    <x v="1"/>
    <n v="2"/>
    <n v="364"/>
    <s v="Юлия Д."/>
    <s v="Павел Ткаченко"/>
  </r>
  <r>
    <x v="2"/>
    <s v="Краснодар"/>
    <d v="2025-12-08T00:00:00"/>
    <x v="0"/>
    <s v="Капучино"/>
    <x v="1"/>
    <n v="3"/>
    <n v="609"/>
    <s v="Роман Ф."/>
    <s v="Павел Ткаченко"/>
  </r>
  <r>
    <x v="2"/>
    <s v="Краснодар"/>
    <d v="2025-04-05T00:00:00"/>
    <x v="11"/>
    <s v="Салат Цезарь"/>
    <x v="2"/>
    <n v="2"/>
    <n v="782"/>
    <s v="Роман Ф."/>
    <s v="Павел Ткаченко"/>
  </r>
  <r>
    <x v="2"/>
    <s v="Краснодар"/>
    <d v="2025-08-02T00:00:00"/>
    <x v="9"/>
    <s v="Латте"/>
    <x v="1"/>
    <n v="2"/>
    <n v="502"/>
    <s v="Роман Ф."/>
    <s v="Павел Ткаченко"/>
  </r>
  <r>
    <x v="2"/>
    <s v="Краснодар"/>
    <d v="2025-03-08T00:00:00"/>
    <x v="6"/>
    <s v="Сэндвич"/>
    <x v="2"/>
    <n v="2"/>
    <n v="686"/>
    <s v="Роман Ф."/>
    <s v="Павел Ткаченко"/>
  </r>
  <r>
    <x v="2"/>
    <s v="Краснодар"/>
    <d v="2025-02-10T00:00:00"/>
    <x v="2"/>
    <s v="Капучино"/>
    <x v="1"/>
    <n v="1"/>
    <n v="181"/>
    <s v="Наталья Р."/>
    <s v="Павел Ткаченко"/>
  </r>
  <r>
    <x v="2"/>
    <s v="Краснодар"/>
    <d v="2025-11-12T00:00:00"/>
    <x v="8"/>
    <s v="Американо"/>
    <x v="1"/>
    <n v="1"/>
    <n v="193"/>
    <s v="Светлана М."/>
    <s v="Павел Ткаченко"/>
  </r>
  <r>
    <x v="2"/>
    <s v="Краснодар"/>
    <d v="2025-08-16T00:00:00"/>
    <x v="9"/>
    <s v="Латте"/>
    <x v="1"/>
    <n v="2"/>
    <n v="404"/>
    <s v="Светлана М."/>
    <s v="Павел Ткаченко"/>
  </r>
  <r>
    <x v="2"/>
    <s v="Краснодар"/>
    <d v="2025-01-10T00:00:00"/>
    <x v="4"/>
    <s v="Сэндвич"/>
    <x v="2"/>
    <n v="3"/>
    <n v="1077"/>
    <s v="Светлана М."/>
    <s v="Павел Ткаченко"/>
  </r>
  <r>
    <x v="2"/>
    <s v="Краснодар"/>
    <d v="2025-02-12T00:00:00"/>
    <x v="2"/>
    <s v="Круассан"/>
    <x v="0"/>
    <n v="2"/>
    <n v="340"/>
    <s v="Роман Ф."/>
    <s v="Павел Ткаченко"/>
  </r>
  <r>
    <x v="2"/>
    <s v="Краснодар"/>
    <d v="2025-12-02T00:00:00"/>
    <x v="0"/>
    <s v="Синнабон"/>
    <x v="0"/>
    <n v="1"/>
    <n v="186"/>
    <s v="Наталья Р."/>
    <s v="Павел Ткаченко"/>
  </r>
  <r>
    <x v="2"/>
    <s v="Краснодар"/>
    <d v="2025-04-02T00:00:00"/>
    <x v="11"/>
    <s v="Капучино"/>
    <x v="1"/>
    <n v="2"/>
    <n v="406"/>
    <s v="Виктор Л."/>
    <s v="Павел Ткаченко"/>
  </r>
  <r>
    <x v="2"/>
    <s v="Краснодар"/>
    <d v="2025-01-24T00:00:00"/>
    <x v="4"/>
    <s v="Чизкейк"/>
    <x v="0"/>
    <n v="1"/>
    <n v="241"/>
    <s v="Светлана М."/>
    <s v="Павел Ткаченко"/>
  </r>
  <r>
    <x v="2"/>
    <s v="Краснодар"/>
    <d v="2025-10-01T00:00:00"/>
    <x v="3"/>
    <s v="Матча латте"/>
    <x v="1"/>
    <n v="2"/>
    <n v="532"/>
    <s v="Роман Ф."/>
    <s v="Павел Ткаченко"/>
  </r>
  <r>
    <x v="2"/>
    <s v="Краснодар"/>
    <d v="2025-04-19T00:00:00"/>
    <x v="11"/>
    <s v="Капучино"/>
    <x v="1"/>
    <n v="3"/>
    <n v="717"/>
    <s v="Виктор Л."/>
    <s v="Павел Ткаченко"/>
  </r>
  <r>
    <x v="2"/>
    <s v="Краснодар"/>
    <d v="2025-11-25T00:00:00"/>
    <x v="8"/>
    <s v="Синнабон"/>
    <x v="0"/>
    <n v="1"/>
    <n v="206"/>
    <s v="Артём Б."/>
    <s v="Павел Ткаченко"/>
  </r>
  <r>
    <x v="2"/>
    <s v="Краснодар"/>
    <d v="2025-02-13T00:00:00"/>
    <x v="2"/>
    <s v="Какао"/>
    <x v="1"/>
    <n v="1"/>
    <n v="232"/>
    <s v="Светлана М."/>
    <s v="Павел Ткаченко"/>
  </r>
  <r>
    <x v="2"/>
    <s v="Краснодар"/>
    <d v="2025-11-10T00:00:00"/>
    <x v="8"/>
    <s v="Матча латте"/>
    <x v="1"/>
    <n v="2"/>
    <n v="536"/>
    <s v="Виктор Л."/>
    <s v="Павел Ткаченко"/>
  </r>
  <r>
    <x v="2"/>
    <s v="Краснодар"/>
    <d v="2025-12-06T00:00:00"/>
    <x v="0"/>
    <s v="Синнабон"/>
    <x v="0"/>
    <n v="1"/>
    <n v="210"/>
    <s v="Наталья Р."/>
    <s v="Павел Ткаченко"/>
  </r>
  <r>
    <x v="2"/>
    <s v="Краснодар"/>
    <d v="2025-03-22T00:00:00"/>
    <x v="6"/>
    <s v="Латте"/>
    <x v="1"/>
    <n v="1"/>
    <n v="216"/>
    <s v="Светлана М."/>
    <s v="Павел Ткаченко"/>
  </r>
  <r>
    <x v="2"/>
    <s v="Краснодар"/>
    <d v="2025-06-19T00:00:00"/>
    <x v="7"/>
    <s v="Американо"/>
    <x v="1"/>
    <n v="2"/>
    <n v="330"/>
    <s v="Артём Б."/>
    <s v="Павел Ткаченко"/>
  </r>
  <r>
    <x v="2"/>
    <s v="Краснодар"/>
    <d v="2025-10-26T00:00:00"/>
    <x v="3"/>
    <s v="Латте"/>
    <x v="1"/>
    <n v="2"/>
    <n v="414"/>
    <s v="Роман Ф."/>
    <s v="Павел Ткаченко"/>
  </r>
  <r>
    <x v="2"/>
    <s v="Краснодар"/>
    <d v="2025-01-03T00:00:00"/>
    <x v="4"/>
    <s v="Матча латте"/>
    <x v="1"/>
    <n v="1"/>
    <n v="288"/>
    <s v="Артём Б."/>
    <s v="Павел Ткаченко"/>
  </r>
  <r>
    <x v="2"/>
    <s v="Краснодар"/>
    <d v="2025-09-14T00:00:00"/>
    <x v="1"/>
    <s v="Круассан"/>
    <x v="0"/>
    <n v="2"/>
    <n v="354"/>
    <s v="Наталья Р."/>
    <s v="Павел Ткаченко"/>
  </r>
  <r>
    <x v="2"/>
    <s v="Краснодар"/>
    <d v="2025-06-19T00:00:00"/>
    <x v="7"/>
    <s v="Салат Цезарь"/>
    <x v="2"/>
    <n v="2"/>
    <n v="682"/>
    <s v="Светлана М."/>
    <s v="Павел Ткаченко"/>
  </r>
  <r>
    <x v="2"/>
    <s v="Краснодар"/>
    <d v="2025-05-09T00:00:00"/>
    <x v="10"/>
    <s v="Салат Цезарь"/>
    <x v="2"/>
    <n v="3"/>
    <n v="1248"/>
    <s v="Виктор Л."/>
    <s v="Павел Ткаченко"/>
  </r>
  <r>
    <x v="2"/>
    <s v="Краснодар"/>
    <d v="2025-01-05T00:00:00"/>
    <x v="4"/>
    <s v="Капучино"/>
    <x v="1"/>
    <n v="1"/>
    <n v="199"/>
    <s v="Светлана М."/>
    <s v="Павел Ткаченко"/>
  </r>
  <r>
    <x v="2"/>
    <s v="Краснодар"/>
    <d v="2025-11-27T00:00:00"/>
    <x v="8"/>
    <s v="Раф"/>
    <x v="1"/>
    <n v="3"/>
    <n v="744"/>
    <s v="Юлия Д."/>
    <s v="Павел Ткаченко"/>
  </r>
  <r>
    <x v="2"/>
    <s v="Краснодар"/>
    <d v="2025-05-06T00:00:00"/>
    <x v="10"/>
    <s v="Круассан"/>
    <x v="0"/>
    <n v="1"/>
    <n v="189"/>
    <s v="Роман Ф."/>
    <s v="Павел Ткаченко"/>
  </r>
  <r>
    <x v="2"/>
    <s v="Краснодар"/>
    <d v="2025-05-14T00:00:00"/>
    <x v="10"/>
    <s v="Эспрессо"/>
    <x v="1"/>
    <n v="2"/>
    <n v="256"/>
    <s v="Наталья Р."/>
    <s v="Павел Ткаченко"/>
  </r>
  <r>
    <x v="2"/>
    <s v="Краснодар"/>
    <d v="2025-12-01T00:00:00"/>
    <x v="0"/>
    <s v="Круассан"/>
    <x v="0"/>
    <n v="1"/>
    <n v="160"/>
    <s v="Роман Ф."/>
    <s v="Павел Ткаченко"/>
  </r>
  <r>
    <x v="2"/>
    <s v="Краснодар"/>
    <d v="2025-09-09T00:00:00"/>
    <x v="1"/>
    <s v="Салат Цезарь"/>
    <x v="2"/>
    <n v="1"/>
    <n v="401"/>
    <s v="Роман Ф."/>
    <s v="Павел Ткаченко"/>
  </r>
  <r>
    <x v="2"/>
    <s v="Краснодар"/>
    <d v="2025-10-20T00:00:00"/>
    <x v="3"/>
    <s v="Американо"/>
    <x v="1"/>
    <n v="1"/>
    <n v="177"/>
    <s v="Наталья Р."/>
    <s v="Павел Ткаченко"/>
  </r>
  <r>
    <x v="2"/>
    <s v="Краснодар"/>
    <d v="2025-11-26T00:00:00"/>
    <x v="8"/>
    <s v="Какао"/>
    <x v="1"/>
    <n v="3"/>
    <n v="627"/>
    <s v="Виктор Л."/>
    <s v="Павел Ткаченко"/>
  </r>
  <r>
    <x v="2"/>
    <s v="Краснодар"/>
    <d v="2025-09-06T00:00:00"/>
    <x v="1"/>
    <s v="Капучино"/>
    <x v="1"/>
    <n v="2"/>
    <n v="418"/>
    <s v="Наталья Р."/>
    <s v="Павел Ткаченко"/>
  </r>
  <r>
    <x v="2"/>
    <s v="Краснодар"/>
    <d v="2025-10-22T00:00:00"/>
    <x v="3"/>
    <s v="Салат Цезарь"/>
    <x v="2"/>
    <n v="2"/>
    <n v="812"/>
    <s v="Юлия Д."/>
    <s v="Павел Ткаченко"/>
  </r>
  <r>
    <x v="2"/>
    <s v="Краснодар"/>
    <d v="2025-06-13T00:00:00"/>
    <x v="7"/>
    <s v="Какао"/>
    <x v="1"/>
    <n v="2"/>
    <n v="416"/>
    <s v="Артём Б."/>
    <s v="Павел Ткаченко"/>
  </r>
  <r>
    <x v="2"/>
    <s v="Краснодар"/>
    <d v="2025-01-28T00:00:00"/>
    <x v="4"/>
    <s v="Салат Цезарь"/>
    <x v="2"/>
    <n v="1"/>
    <n v="381"/>
    <s v="Наталья Р."/>
    <s v="Павел Ткаченко"/>
  </r>
  <r>
    <x v="2"/>
    <s v="Краснодар"/>
    <d v="2025-09-12T00:00:00"/>
    <x v="1"/>
    <s v="Матча латте"/>
    <x v="1"/>
    <n v="1"/>
    <n v="288"/>
    <s v="Артём Б."/>
    <s v="Павел Ткаченко"/>
  </r>
  <r>
    <x v="2"/>
    <s v="Краснодар"/>
    <d v="2025-05-25T00:00:00"/>
    <x v="10"/>
    <s v="Чизкейк"/>
    <x v="0"/>
    <n v="1"/>
    <n v="262"/>
    <s v="Юлия Д."/>
    <s v="Павел Ткаченко"/>
  </r>
  <r>
    <x v="2"/>
    <s v="Краснодар"/>
    <d v="2025-09-19T00:00:00"/>
    <x v="1"/>
    <s v="Капучино"/>
    <x v="1"/>
    <n v="1"/>
    <n v="180"/>
    <s v="Артём Б."/>
    <s v="Павел Ткаченко"/>
  </r>
  <r>
    <x v="2"/>
    <s v="Краснодар"/>
    <d v="2025-11-13T00:00:00"/>
    <x v="8"/>
    <s v="Круассан"/>
    <x v="0"/>
    <n v="1"/>
    <n v="168"/>
    <s v="Роман Ф."/>
    <s v="Павел Ткаченко"/>
  </r>
  <r>
    <x v="2"/>
    <s v="Краснодар"/>
    <d v="2025-03-01T00:00:00"/>
    <x v="6"/>
    <s v="Матча латте"/>
    <x v="1"/>
    <n v="3"/>
    <n v="900"/>
    <s v="Роман Ф."/>
    <s v="Павел Ткаченко"/>
  </r>
  <r>
    <x v="2"/>
    <s v="Краснодар"/>
    <d v="2025-04-28T00:00:00"/>
    <x v="11"/>
    <s v="Латте"/>
    <x v="1"/>
    <n v="1"/>
    <n v="215"/>
    <s v="Артём Б."/>
    <s v="Павел Ткаченко"/>
  </r>
  <r>
    <x v="2"/>
    <s v="Краснодар"/>
    <d v="2025-01-18T00:00:00"/>
    <x v="4"/>
    <s v="Круассан"/>
    <x v="0"/>
    <n v="1"/>
    <n v="198"/>
    <s v="Виктор Л."/>
    <s v="Павел Ткаченко"/>
  </r>
  <r>
    <x v="2"/>
    <s v="Краснодар"/>
    <d v="2025-12-01T00:00:00"/>
    <x v="0"/>
    <s v="Синнабон"/>
    <x v="0"/>
    <n v="1"/>
    <n v="207"/>
    <s v="Юлия Д."/>
    <s v="Павел Ткаченко"/>
  </r>
  <r>
    <x v="2"/>
    <s v="Краснодар"/>
    <d v="2025-04-04T00:00:00"/>
    <x v="11"/>
    <s v="Латте"/>
    <x v="1"/>
    <n v="1"/>
    <n v="211"/>
    <s v="Светлана М."/>
    <s v="Павел Ткаченко"/>
  </r>
  <r>
    <x v="2"/>
    <s v="Краснодар"/>
    <d v="2025-09-24T00:00:00"/>
    <x v="1"/>
    <s v="Какао"/>
    <x v="1"/>
    <n v="2"/>
    <n v="414"/>
    <s v="Светлана М."/>
    <s v="Павел Ткаченко"/>
  </r>
  <r>
    <x v="2"/>
    <s v="Краснодар"/>
    <d v="2025-06-22T00:00:00"/>
    <x v="7"/>
    <s v="Салат Цезарь"/>
    <x v="2"/>
    <n v="3"/>
    <n v="1167"/>
    <s v="Светлана М."/>
    <s v="Павел Ткаченко"/>
  </r>
  <r>
    <x v="2"/>
    <s v="Краснодар"/>
    <d v="2025-02-10T00:00:00"/>
    <x v="2"/>
    <s v="Американо"/>
    <x v="1"/>
    <n v="1"/>
    <n v="189"/>
    <s v="Виктор Л."/>
    <s v="Павел Ткаченко"/>
  </r>
  <r>
    <x v="2"/>
    <s v="Краснодар"/>
    <d v="2025-06-03T00:00:00"/>
    <x v="7"/>
    <s v="Синнабон"/>
    <x v="0"/>
    <n v="1"/>
    <n v="193"/>
    <s v="Артём Б."/>
    <s v="Павел Ткаченко"/>
  </r>
  <r>
    <x v="2"/>
    <s v="Краснодар"/>
    <d v="2025-01-14T00:00:00"/>
    <x v="4"/>
    <s v="Матча латте"/>
    <x v="1"/>
    <n v="1"/>
    <n v="269"/>
    <s v="Роман Ф."/>
    <s v="Павел Ткаченко"/>
  </r>
  <r>
    <x v="2"/>
    <s v="Краснодар"/>
    <d v="2025-12-14T00:00:00"/>
    <x v="0"/>
    <s v="Синнабон"/>
    <x v="0"/>
    <n v="2"/>
    <n v="414"/>
    <s v="Роман Ф."/>
    <s v="Павел Ткаченко"/>
  </r>
  <r>
    <x v="2"/>
    <s v="Краснодар"/>
    <d v="2025-06-06T00:00:00"/>
    <x v="7"/>
    <s v="Капучино"/>
    <x v="1"/>
    <n v="1"/>
    <n v="204"/>
    <s v="Артём Б."/>
    <s v="Павел Ткаченко"/>
  </r>
  <r>
    <x v="2"/>
    <s v="Краснодар"/>
    <d v="2025-10-16T00:00:00"/>
    <x v="3"/>
    <s v="Латте"/>
    <x v="1"/>
    <n v="3"/>
    <n v="636"/>
    <s v="Наталья Р."/>
    <s v="Павел Ткаченко"/>
  </r>
  <r>
    <x v="2"/>
    <s v="Краснодар"/>
    <d v="2025-03-14T00:00:00"/>
    <x v="6"/>
    <s v="Сэндвич"/>
    <x v="2"/>
    <n v="2"/>
    <n v="586"/>
    <s v="Артём Б."/>
    <s v="Павел Ткаченко"/>
  </r>
  <r>
    <x v="2"/>
    <s v="Краснодар"/>
    <d v="2025-12-26T00:00:00"/>
    <x v="0"/>
    <s v="Матча латте"/>
    <x v="1"/>
    <n v="1"/>
    <n v="315"/>
    <s v="Виктор Л."/>
    <s v="Павел Ткаченко"/>
  </r>
  <r>
    <x v="2"/>
    <s v="Краснодар"/>
    <d v="2025-05-23T00:00:00"/>
    <x v="10"/>
    <s v="Круассан"/>
    <x v="0"/>
    <n v="2"/>
    <n v="378"/>
    <s v="Артём Б."/>
    <s v="Павел Ткаченко"/>
  </r>
  <r>
    <x v="2"/>
    <s v="Краснодар"/>
    <d v="2025-12-25T00:00:00"/>
    <x v="0"/>
    <s v="Капучино"/>
    <x v="1"/>
    <n v="2"/>
    <n v="412"/>
    <s v="Виктор Л."/>
    <s v="Павел Ткаченко"/>
  </r>
  <r>
    <x v="2"/>
    <s v="Краснодар"/>
    <d v="2025-03-23T00:00:00"/>
    <x v="6"/>
    <s v="Раф"/>
    <x v="1"/>
    <n v="2"/>
    <n v="530"/>
    <s v="Артём Б."/>
    <s v="Павел Ткаченко"/>
  </r>
  <r>
    <x v="2"/>
    <s v="Краснодар"/>
    <d v="2025-12-21T00:00:00"/>
    <x v="0"/>
    <s v="Чизкейк"/>
    <x v="0"/>
    <n v="1"/>
    <n v="259"/>
    <s v="Светлана М."/>
    <s v="Павел Ткаченко"/>
  </r>
  <r>
    <x v="2"/>
    <s v="Краснодар"/>
    <d v="2025-07-06T00:00:00"/>
    <x v="5"/>
    <s v="Синнабон"/>
    <x v="0"/>
    <n v="1"/>
    <n v="189"/>
    <s v="Виктор Л."/>
    <s v="Павел Ткаченко"/>
  </r>
  <r>
    <x v="2"/>
    <s v="Краснодар"/>
    <d v="2025-09-13T00:00:00"/>
    <x v="1"/>
    <s v="Салат Цезарь"/>
    <x v="2"/>
    <n v="1"/>
    <n v="422"/>
    <s v="Виктор Л."/>
    <s v="Павел Ткаченко"/>
  </r>
  <r>
    <x v="2"/>
    <s v="Краснодар"/>
    <d v="2025-09-06T00:00:00"/>
    <x v="1"/>
    <s v="Капучино"/>
    <x v="1"/>
    <n v="2"/>
    <n v="384"/>
    <s v="Наталья Р."/>
    <s v="Павел Ткаченко"/>
  </r>
  <r>
    <x v="2"/>
    <s v="Краснодар"/>
    <d v="2025-10-23T00:00:00"/>
    <x v="3"/>
    <s v="Латте"/>
    <x v="1"/>
    <n v="2"/>
    <n v="428"/>
    <s v="Виктор Л."/>
    <s v="Павел Ткаченко"/>
  </r>
  <r>
    <x v="2"/>
    <s v="Краснодар"/>
    <d v="2025-11-09T00:00:00"/>
    <x v="8"/>
    <s v="Латте"/>
    <x v="1"/>
    <n v="1"/>
    <n v="228"/>
    <s v="Светлана М."/>
    <s v="Павел Ткаченко"/>
  </r>
  <r>
    <x v="2"/>
    <s v="Краснодар"/>
    <d v="2025-10-25T00:00:00"/>
    <x v="3"/>
    <s v="Чизкейк"/>
    <x v="0"/>
    <n v="3"/>
    <n v="714"/>
    <s v="Светлана М."/>
    <s v="Павел Ткаченко"/>
  </r>
  <r>
    <x v="2"/>
    <s v="Краснодар"/>
    <d v="2025-09-19T00:00:00"/>
    <x v="1"/>
    <s v="Сэндвич"/>
    <x v="2"/>
    <n v="2"/>
    <n v="714"/>
    <s v="Юлия Д."/>
    <s v="Павел Ткаченко"/>
  </r>
  <r>
    <x v="2"/>
    <s v="Краснодар"/>
    <d v="2025-04-06T00:00:00"/>
    <x v="11"/>
    <s v="Эспрессо"/>
    <x v="1"/>
    <n v="2"/>
    <n v="318"/>
    <s v="Виктор Л."/>
    <s v="Павел Ткаченко"/>
  </r>
  <r>
    <x v="2"/>
    <s v="Краснодар"/>
    <d v="2025-06-14T00:00:00"/>
    <x v="7"/>
    <s v="Капучино"/>
    <x v="1"/>
    <n v="1"/>
    <n v="196"/>
    <s v="Наталья Р."/>
    <s v="Павел Ткаченко"/>
  </r>
  <r>
    <x v="2"/>
    <s v="Краснодар"/>
    <d v="2025-07-14T00:00:00"/>
    <x v="5"/>
    <s v="Эспрессо"/>
    <x v="1"/>
    <n v="2"/>
    <n v="240"/>
    <s v="Наталья Р."/>
    <s v="Павел Ткаченко"/>
  </r>
  <r>
    <x v="2"/>
    <s v="Краснодар"/>
    <d v="2025-11-20T00:00:00"/>
    <x v="8"/>
    <s v="Салат Цезарь"/>
    <x v="2"/>
    <n v="2"/>
    <n v="670"/>
    <s v="Роман Ф."/>
    <s v="Павел Ткаченко"/>
  </r>
  <r>
    <x v="2"/>
    <s v="Краснодар"/>
    <d v="2025-05-11T00:00:00"/>
    <x v="10"/>
    <s v="Раф"/>
    <x v="1"/>
    <n v="1"/>
    <n v="231"/>
    <s v="Артём Б."/>
    <s v="Павел Ткаченко"/>
  </r>
  <r>
    <x v="2"/>
    <s v="Краснодар"/>
    <d v="2025-06-23T00:00:00"/>
    <x v="7"/>
    <s v="Круассан"/>
    <x v="0"/>
    <n v="2"/>
    <n v="348"/>
    <s v="Светлана М."/>
    <s v="Павел Ткаченко"/>
  </r>
  <r>
    <x v="2"/>
    <s v="Краснодар"/>
    <d v="2025-03-06T00:00:00"/>
    <x v="6"/>
    <s v="Чизкейк"/>
    <x v="0"/>
    <n v="1"/>
    <n v="256"/>
    <s v="Виктор Л."/>
    <s v="Павел Ткаченко"/>
  </r>
  <r>
    <x v="2"/>
    <s v="Краснодар"/>
    <d v="2025-02-25T00:00:00"/>
    <x v="2"/>
    <s v="Салат Цезарь"/>
    <x v="2"/>
    <n v="2"/>
    <n v="768"/>
    <s v="Юлия Д."/>
    <s v="Павел Ткаченко"/>
  </r>
  <r>
    <x v="2"/>
    <s v="Краснодар"/>
    <d v="2025-08-16T00:00:00"/>
    <x v="9"/>
    <s v="Синнабон"/>
    <x v="0"/>
    <n v="1"/>
    <n v="215"/>
    <s v="Не указан"/>
    <s v="Павел Ткаченко"/>
  </r>
  <r>
    <x v="2"/>
    <s v="Краснодар"/>
    <d v="2025-12-27T00:00:00"/>
    <x v="0"/>
    <s v="Какао"/>
    <x v="1"/>
    <n v="2"/>
    <n v="400"/>
    <s v="Наталья Р."/>
    <s v="Павел Ткаченко"/>
  </r>
  <r>
    <x v="2"/>
    <s v="Краснодар"/>
    <d v="2025-02-03T00:00:00"/>
    <x v="2"/>
    <s v="Американо"/>
    <x v="1"/>
    <n v="3"/>
    <n v="447"/>
    <s v="Светлана М."/>
    <s v="Павел Ткаченко"/>
  </r>
  <r>
    <x v="2"/>
    <s v="Краснодар"/>
    <d v="2025-10-11T00:00:00"/>
    <x v="3"/>
    <s v="Салат Цезарь"/>
    <x v="2"/>
    <n v="1"/>
    <n v="380"/>
    <s v="Артём Б."/>
    <s v="Павел Ткаченко"/>
  </r>
  <r>
    <x v="2"/>
    <s v="Краснодар"/>
    <d v="2025-06-21T00:00:00"/>
    <x v="7"/>
    <s v="Салат Цезарь"/>
    <x v="2"/>
    <n v="1"/>
    <n v="395"/>
    <s v="Наталья Р."/>
    <s v="Павел Ткаченко"/>
  </r>
  <r>
    <x v="2"/>
    <s v="Краснодар"/>
    <d v="2025-07-22T00:00:00"/>
    <x v="5"/>
    <s v="Американо"/>
    <x v="1"/>
    <n v="3"/>
    <n v="489"/>
    <s v="Светлана М."/>
    <s v="Павел Ткаченко"/>
  </r>
  <r>
    <x v="2"/>
    <s v="Краснодар"/>
    <d v="2025-10-25T00:00:00"/>
    <x v="3"/>
    <s v="Латте"/>
    <x v="1"/>
    <n v="1"/>
    <n v="210"/>
    <s v="Роман Ф."/>
    <s v="Павел Ткаченко"/>
  </r>
  <r>
    <x v="2"/>
    <s v="Краснодар"/>
    <d v="2025-11-02T00:00:00"/>
    <x v="8"/>
    <s v="Сэндвич"/>
    <x v="2"/>
    <n v="3"/>
    <n v="969"/>
    <s v="Светлана М."/>
    <s v="Павел Ткаченко"/>
  </r>
  <r>
    <x v="2"/>
    <s v="Краснодар"/>
    <d v="2025-06-08T00:00:00"/>
    <x v="7"/>
    <s v="Матча латте"/>
    <x v="1"/>
    <n v="1"/>
    <n v="284"/>
    <s v="Артём Б."/>
    <s v="Павел Ткаченко"/>
  </r>
  <r>
    <x v="2"/>
    <s v="Краснодар"/>
    <d v="2025-11-10T00:00:00"/>
    <x v="8"/>
    <s v="Круассан"/>
    <x v="0"/>
    <n v="1"/>
    <n v="184"/>
    <s v="Роман Ф."/>
    <s v="Павел Ткаченко"/>
  </r>
  <r>
    <x v="2"/>
    <s v="Краснодар"/>
    <d v="2025-01-02T00:00:00"/>
    <x v="4"/>
    <s v="Эспрессо"/>
    <x v="1"/>
    <n v="1"/>
    <n v="127"/>
    <s v="Артём Б."/>
    <s v="Павел Ткаченко"/>
  </r>
  <r>
    <x v="2"/>
    <s v="Краснодар"/>
    <d v="2025-08-14T00:00:00"/>
    <x v="9"/>
    <s v="Раф"/>
    <x v="1"/>
    <n v="3"/>
    <n v="747"/>
    <s v="Наталья Р."/>
    <s v="Павел Ткаченко"/>
  </r>
  <r>
    <x v="2"/>
    <s v="Краснодар"/>
    <d v="2025-02-04T00:00:00"/>
    <x v="2"/>
    <s v="Латте"/>
    <x v="1"/>
    <n v="2"/>
    <n v="512"/>
    <s v="Юлия Д."/>
    <s v="Павел Ткаченко"/>
  </r>
  <r>
    <x v="2"/>
    <s v="Краснодар"/>
    <d v="2025-10-25T00:00:00"/>
    <x v="3"/>
    <s v="Раф"/>
    <x v="1"/>
    <n v="2"/>
    <n v="526"/>
    <s v="Наталья Р."/>
    <s v="Павел Ткаченко"/>
  </r>
  <r>
    <x v="2"/>
    <s v="Краснодар"/>
    <d v="2025-01-16T00:00:00"/>
    <x v="4"/>
    <s v="Эспрессо"/>
    <x v="1"/>
    <n v="2"/>
    <n v="312"/>
    <s v="Наталья Р."/>
    <s v="Павел Ткаченко"/>
  </r>
  <r>
    <x v="2"/>
    <s v="Краснодар"/>
    <d v="2025-01-10T00:00:00"/>
    <x v="4"/>
    <s v="Капучино"/>
    <x v="1"/>
    <n v="2"/>
    <n v="456"/>
    <s v="Артём Б."/>
    <s v="Павел Ткаченко"/>
  </r>
  <r>
    <x v="2"/>
    <s v="Краснодар"/>
    <d v="2025-02-10T00:00:00"/>
    <x v="2"/>
    <s v="Капучино"/>
    <x v="1"/>
    <n v="3"/>
    <n v="654"/>
    <s v="Светлана М."/>
    <s v="Павел Ткаченко"/>
  </r>
  <r>
    <x v="2"/>
    <s v="Краснодар"/>
    <d v="2025-11-27T00:00:00"/>
    <x v="8"/>
    <s v="Капучино"/>
    <x v="1"/>
    <n v="1"/>
    <n v="193"/>
    <s v="Наталья Р."/>
    <s v="Павел Ткаченко"/>
  </r>
  <r>
    <x v="2"/>
    <s v="Краснодар"/>
    <d v="2025-02-25T00:00:00"/>
    <x v="2"/>
    <s v="Салат Цезарь"/>
    <x v="2"/>
    <n v="2"/>
    <n v="846"/>
    <s v="Наталья Р."/>
    <s v="Павел Ткаченко"/>
  </r>
  <r>
    <x v="2"/>
    <s v="Краснодар"/>
    <d v="2025-06-19T00:00:00"/>
    <x v="7"/>
    <s v="Круассан"/>
    <x v="0"/>
    <n v="1"/>
    <n v="177"/>
    <s v="Светлана М."/>
    <s v="Павел Ткаченко"/>
  </r>
  <r>
    <x v="2"/>
    <s v="Краснодар"/>
    <d v="2025-08-17T00:00:00"/>
    <x v="9"/>
    <s v="Американо"/>
    <x v="1"/>
    <n v="3"/>
    <n v="564"/>
    <s v="Виктор Л."/>
    <s v="Павел Ткаченко"/>
  </r>
  <r>
    <x v="2"/>
    <s v="Краснодар"/>
    <d v="2025-06-26T00:00:00"/>
    <x v="7"/>
    <s v="Латте"/>
    <x v="1"/>
    <n v="1"/>
    <n v="205"/>
    <s v="Роман Ф."/>
    <s v="Павел Ткаченко"/>
  </r>
  <r>
    <x v="2"/>
    <s v="Краснодар"/>
    <d v="2025-10-20T00:00:00"/>
    <x v="3"/>
    <s v="Круассан"/>
    <x v="0"/>
    <n v="2"/>
    <n v="342"/>
    <s v="Артём Б."/>
    <s v="Павел Ткаченко"/>
  </r>
  <r>
    <x v="2"/>
    <s v="Краснодар"/>
    <d v="2025-09-08T00:00:00"/>
    <x v="1"/>
    <s v="Чизкейк"/>
    <x v="0"/>
    <n v="1"/>
    <n v="251"/>
    <s v="Артём Б."/>
    <s v="Павел Ткаченко"/>
  </r>
  <r>
    <x v="2"/>
    <s v="Краснодар"/>
    <d v="2025-05-02T00:00:00"/>
    <x v="10"/>
    <s v="Латте"/>
    <x v="1"/>
    <n v="1"/>
    <n v="254"/>
    <s v="Не указан"/>
    <s v="Павел Ткаченко"/>
  </r>
  <r>
    <x v="2"/>
    <s v="Краснодар"/>
    <d v="2025-11-21T00:00:00"/>
    <x v="8"/>
    <s v="Эспрессо"/>
    <x v="1"/>
    <n v="2"/>
    <n v="250"/>
    <s v="Роман Ф."/>
    <s v="Павел Ткаченко"/>
  </r>
  <r>
    <x v="2"/>
    <s v="Краснодар"/>
    <d v="2025-12-10T00:00:00"/>
    <x v="0"/>
    <s v="Матча латте"/>
    <x v="1"/>
    <n v="2"/>
    <n v="516"/>
    <s v="Наталья Р."/>
    <s v="Павел Ткаченко"/>
  </r>
  <r>
    <x v="2"/>
    <s v="Краснодар"/>
    <d v="2025-11-26T00:00:00"/>
    <x v="8"/>
    <s v="Какао"/>
    <x v="1"/>
    <n v="1"/>
    <n v="234"/>
    <s v="Светлана М."/>
    <s v="Павел Ткаченко"/>
  </r>
  <r>
    <x v="2"/>
    <s v="Краснодар"/>
    <d v="2025-01-01T00:00:00"/>
    <x v="4"/>
    <s v="Латте"/>
    <x v="1"/>
    <n v="2"/>
    <n v="412"/>
    <s v="Наталья Р."/>
    <s v="Павел Ткаченко"/>
  </r>
  <r>
    <x v="2"/>
    <s v="Краснодар"/>
    <d v="2025-06-14T00:00:00"/>
    <x v="7"/>
    <s v="Салат Цезарь"/>
    <x v="2"/>
    <n v="2"/>
    <n v="780"/>
    <s v="Наталья Р."/>
    <s v="Павел Ткаченко"/>
  </r>
  <r>
    <x v="2"/>
    <s v="Краснодар"/>
    <d v="2025-05-18T00:00:00"/>
    <x v="10"/>
    <s v="Круассан"/>
    <x v="0"/>
    <n v="1"/>
    <n v="196"/>
    <s v="Юлия Д."/>
    <s v="Павел Ткаченко"/>
  </r>
  <r>
    <x v="2"/>
    <s v="Краснодар"/>
    <d v="2025-05-27T00:00:00"/>
    <x v="10"/>
    <s v="Американо"/>
    <x v="1"/>
    <n v="1"/>
    <n v="177"/>
    <s v="Не указан"/>
    <s v="Павел Ткаченко"/>
  </r>
  <r>
    <x v="2"/>
    <s v="Краснодар"/>
    <d v="2025-01-16T00:00:00"/>
    <x v="4"/>
    <s v="Американо"/>
    <x v="1"/>
    <n v="1"/>
    <n v="158"/>
    <s v="Роман Ф."/>
    <s v="Павел Ткаченко"/>
  </r>
  <r>
    <x v="2"/>
    <s v="Краснодар"/>
    <d v="2025-10-27T00:00:00"/>
    <x v="3"/>
    <s v="Американо"/>
    <x v="1"/>
    <n v="1"/>
    <n v="179"/>
    <s v="Виктор Л."/>
    <s v="Павел Ткаченко"/>
  </r>
  <r>
    <x v="2"/>
    <s v="Краснодар"/>
    <d v="2025-03-10T00:00:00"/>
    <x v="6"/>
    <s v="Синнабон"/>
    <x v="0"/>
    <n v="2"/>
    <n v="370"/>
    <s v="Виктор Л."/>
    <s v="Павел Ткаченко"/>
  </r>
  <r>
    <x v="2"/>
    <s v="Краснодар"/>
    <d v="2025-09-19T00:00:00"/>
    <x v="1"/>
    <s v="Синнабон"/>
    <x v="0"/>
    <n v="1"/>
    <n v="226"/>
    <s v="Наталья Р."/>
    <s v="Павел Ткаченко"/>
  </r>
  <r>
    <x v="2"/>
    <s v="Краснодар"/>
    <d v="2025-05-22T00:00:00"/>
    <x v="10"/>
    <s v="Американо"/>
    <x v="1"/>
    <n v="2"/>
    <n v="332"/>
    <s v="Роман Ф."/>
    <s v="Павел Ткаченко"/>
  </r>
  <r>
    <x v="2"/>
    <s v="Краснодар"/>
    <d v="2025-03-05T00:00:00"/>
    <x v="6"/>
    <s v="Какао"/>
    <x v="1"/>
    <n v="2"/>
    <n v="420"/>
    <s v="Наталья Р."/>
    <s v="Павел Ткаченко"/>
  </r>
  <r>
    <x v="2"/>
    <s v="Краснодар"/>
    <d v="2025-01-20T00:00:00"/>
    <x v="4"/>
    <s v="Какао"/>
    <x v="1"/>
    <n v="1"/>
    <n v="215"/>
    <s v="Наталья Р."/>
    <s v="Павел Ткаченко"/>
  </r>
  <r>
    <x v="2"/>
    <s v="Краснодар"/>
    <d v="2025-03-23T00:00:00"/>
    <x v="6"/>
    <s v="Круассан"/>
    <x v="0"/>
    <n v="1"/>
    <n v="165"/>
    <s v="Артём Б."/>
    <s v="Павел Ткаченко"/>
  </r>
  <r>
    <x v="2"/>
    <s v="Краснодар"/>
    <d v="2025-03-02T00:00:00"/>
    <x v="6"/>
    <s v="Салат Цезарь"/>
    <x v="2"/>
    <n v="1"/>
    <n v="417"/>
    <s v="Светлана М."/>
    <s v="Павел Ткаченко"/>
  </r>
  <r>
    <x v="2"/>
    <s v="Краснодар"/>
    <d v="2025-05-10T00:00:00"/>
    <x v="10"/>
    <s v="Американо"/>
    <x v="1"/>
    <n v="3"/>
    <n v="453"/>
    <s v="Светлана М."/>
    <s v="Павел Ткаченко"/>
  </r>
  <r>
    <x v="2"/>
    <s v="Краснодар"/>
    <d v="2025-10-25T00:00:00"/>
    <x v="3"/>
    <s v="Матча латте"/>
    <x v="1"/>
    <n v="1"/>
    <n v="249"/>
    <s v="Наталья Р."/>
    <s v="Павел Ткаченко"/>
  </r>
  <r>
    <x v="2"/>
    <s v="Краснодар"/>
    <d v="2025-12-20T00:00:00"/>
    <x v="0"/>
    <s v="Круассан"/>
    <x v="0"/>
    <n v="3"/>
    <n v="483"/>
    <s v="Наталья Р."/>
    <s v="Павел Ткаченко"/>
  </r>
  <r>
    <x v="2"/>
    <s v="Краснодар"/>
    <d v="2025-01-23T00:00:00"/>
    <x v="4"/>
    <s v="Круассан"/>
    <x v="0"/>
    <n v="1"/>
    <n v="172"/>
    <s v="Юлия Д."/>
    <s v="Павел Ткаченко"/>
  </r>
  <r>
    <x v="2"/>
    <s v="Краснодар"/>
    <d v="2025-06-26T00:00:00"/>
    <x v="7"/>
    <s v="Синнабон"/>
    <x v="0"/>
    <n v="1"/>
    <n v="197"/>
    <s v="Виктор Л."/>
    <s v="Павел Ткаченко"/>
  </r>
  <r>
    <x v="2"/>
    <s v="Краснодар"/>
    <d v="2025-03-14T00:00:00"/>
    <x v="6"/>
    <s v="Раф"/>
    <x v="1"/>
    <n v="1"/>
    <n v="268"/>
    <s v="Роман Ф."/>
    <s v="Павел Ткаченко"/>
  </r>
  <r>
    <x v="2"/>
    <s v="Краснодар"/>
    <d v="2025-05-26T00:00:00"/>
    <x v="10"/>
    <s v="Чизкейк"/>
    <x v="0"/>
    <n v="1"/>
    <n v="235"/>
    <s v="Наталья Р."/>
    <s v="Павел Ткаченко"/>
  </r>
  <r>
    <x v="2"/>
    <s v="Краснодар"/>
    <d v="2025-12-01T00:00:00"/>
    <x v="0"/>
    <s v="Какао"/>
    <x v="1"/>
    <n v="2"/>
    <n v="478"/>
    <s v="Юлия Д."/>
    <s v="Павел Ткаченко"/>
  </r>
  <r>
    <x v="2"/>
    <s v="Краснодар"/>
    <d v="2025-02-20T00:00:00"/>
    <x v="2"/>
    <s v="Раф"/>
    <x v="1"/>
    <n v="1"/>
    <n v="235"/>
    <s v="Светлана М."/>
    <s v="Павел Ткаченко"/>
  </r>
  <r>
    <x v="2"/>
    <s v="Краснодар"/>
    <d v="2025-01-11T00:00:00"/>
    <x v="4"/>
    <s v="Латте"/>
    <x v="1"/>
    <n v="1"/>
    <n v="255"/>
    <s v="Юлия Д."/>
    <s v="Павел Ткаченко"/>
  </r>
  <r>
    <x v="2"/>
    <s v="Краснодар"/>
    <d v="2025-04-22T00:00:00"/>
    <x v="11"/>
    <s v="Американо"/>
    <x v="1"/>
    <n v="1"/>
    <n v="192"/>
    <s v="Артём Б."/>
    <s v="Павел Ткаченко"/>
  </r>
  <r>
    <x v="2"/>
    <s v="Краснодар"/>
    <d v="2025-07-16T00:00:00"/>
    <x v="5"/>
    <s v="Синнабон"/>
    <x v="0"/>
    <n v="3"/>
    <n v="564"/>
    <s v="Юлия Д."/>
    <s v="Павел Ткаченко"/>
  </r>
  <r>
    <x v="2"/>
    <s v="Краснодар"/>
    <d v="2025-11-07T00:00:00"/>
    <x v="8"/>
    <s v="Какао"/>
    <x v="1"/>
    <n v="3"/>
    <n v="729"/>
    <s v="Юлия Д."/>
    <s v="Павел Ткаченко"/>
  </r>
  <r>
    <x v="2"/>
    <s v="Краснодар"/>
    <d v="2025-04-20T00:00:00"/>
    <x v="11"/>
    <s v="Латте"/>
    <x v="1"/>
    <n v="2"/>
    <n v="494"/>
    <s v="Светлана М."/>
    <s v="Павел Ткаченко"/>
  </r>
  <r>
    <x v="2"/>
    <s v="Краснодар"/>
    <d v="2025-01-08T00:00:00"/>
    <x v="4"/>
    <s v="Круассан"/>
    <x v="0"/>
    <n v="1"/>
    <n v="200"/>
    <s v="Юлия Д."/>
    <s v="Павел Ткаченко"/>
  </r>
  <r>
    <x v="2"/>
    <s v="Краснодар"/>
    <d v="2025-06-19T00:00:00"/>
    <x v="7"/>
    <s v="Капучино"/>
    <x v="1"/>
    <n v="1"/>
    <n v="183"/>
    <s v="Наталья Р."/>
    <s v="Павел Ткаченко"/>
  </r>
  <r>
    <x v="2"/>
    <s v="Краснодар"/>
    <d v="2025-08-16T00:00:00"/>
    <x v="9"/>
    <s v="Эспрессо"/>
    <x v="1"/>
    <n v="2"/>
    <n v="320"/>
    <s v="Юлия Д."/>
    <s v="Павел Ткаченко"/>
  </r>
  <r>
    <x v="2"/>
    <s v="Краснодар"/>
    <d v="2025-07-18T00:00:00"/>
    <x v="5"/>
    <s v="Латте"/>
    <x v="1"/>
    <n v="1"/>
    <n v="219"/>
    <s v="Роман Ф."/>
    <s v="Павел Ткаченко"/>
  </r>
  <r>
    <x v="2"/>
    <s v="Краснодар"/>
    <d v="2025-02-27T00:00:00"/>
    <x v="2"/>
    <s v="Матча латте"/>
    <x v="1"/>
    <n v="1"/>
    <n v="263"/>
    <s v="Роман Ф."/>
    <s v="Павел Ткаченко"/>
  </r>
  <r>
    <x v="2"/>
    <s v="Краснодар"/>
    <d v="2025-11-07T00:00:00"/>
    <x v="8"/>
    <s v="Раф"/>
    <x v="1"/>
    <n v="1"/>
    <n v="243"/>
    <s v="Виктор Л."/>
    <s v="Павел Ткаченко"/>
  </r>
  <r>
    <x v="2"/>
    <s v="Краснодар"/>
    <d v="2025-05-12T00:00:00"/>
    <x v="10"/>
    <s v="Капучино"/>
    <x v="1"/>
    <n v="2"/>
    <n v="368"/>
    <s v="Светлана М."/>
    <s v="Павел Ткаченко"/>
  </r>
  <r>
    <x v="2"/>
    <s v="Краснодар"/>
    <d v="2025-04-09T00:00:00"/>
    <x v="11"/>
    <s v="Раф"/>
    <x v="1"/>
    <n v="1"/>
    <n v="263"/>
    <s v="Артём Б."/>
    <s v="Павел Ткаченко"/>
  </r>
  <r>
    <x v="2"/>
    <s v="Краснодар"/>
    <d v="2025-03-19T00:00:00"/>
    <x v="6"/>
    <s v="Круассан"/>
    <x v="0"/>
    <n v="1"/>
    <n v="171"/>
    <s v="Артём Б."/>
    <s v="Павел Ткаченко"/>
  </r>
  <r>
    <x v="2"/>
    <s v="Краснодар"/>
    <d v="2025-09-15T00:00:00"/>
    <x v="1"/>
    <s v="Раф"/>
    <x v="1"/>
    <n v="3"/>
    <n v="801"/>
    <s v="Виктор Л."/>
    <s v="Павел Ткаченко"/>
  </r>
  <r>
    <x v="2"/>
    <s v="Краснодар"/>
    <d v="2025-12-28T00:00:00"/>
    <x v="0"/>
    <s v="Синнабон"/>
    <x v="0"/>
    <n v="2"/>
    <n v="470"/>
    <s v="Виктор Л."/>
    <s v="Павел Ткаченко"/>
  </r>
  <r>
    <x v="2"/>
    <s v="Краснодар"/>
    <d v="2025-02-24T00:00:00"/>
    <x v="2"/>
    <s v="Раф"/>
    <x v="1"/>
    <n v="3"/>
    <n v="744"/>
    <s v="Артём Б."/>
    <s v="Павел Ткаченко"/>
  </r>
  <r>
    <x v="2"/>
    <s v="Краснодар"/>
    <d v="2025-03-28T00:00:00"/>
    <x v="6"/>
    <s v="Капучино"/>
    <x v="1"/>
    <n v="1"/>
    <n v="364"/>
    <s v="Светлана М."/>
    <s v="Павел Ткаченко"/>
  </r>
  <r>
    <x v="2"/>
    <s v="Краснодар"/>
    <d v="2025-08-05T00:00:00"/>
    <x v="9"/>
    <s v="Салат Цезарь"/>
    <x v="2"/>
    <n v="1"/>
    <n v="383"/>
    <s v="Светлана М."/>
    <s v="Павел Ткаченко"/>
  </r>
  <r>
    <x v="2"/>
    <s v="Краснодар"/>
    <d v="2025-12-02T00:00:00"/>
    <x v="0"/>
    <s v="Чизкейк"/>
    <x v="0"/>
    <n v="1"/>
    <n v="260"/>
    <s v="Наталья Р."/>
    <s v="Павел Ткаченко"/>
  </r>
  <r>
    <x v="2"/>
    <s v="Краснодар"/>
    <d v="2025-06-17T00:00:00"/>
    <x v="7"/>
    <s v="Круассан"/>
    <x v="0"/>
    <n v="1"/>
    <n v="181"/>
    <s v="Светлана М."/>
    <s v="Павел Ткаченко"/>
  </r>
  <r>
    <x v="2"/>
    <s v="Краснодар"/>
    <d v="2025-10-04T00:00:00"/>
    <x v="3"/>
    <s v="Какао"/>
    <x v="1"/>
    <n v="2"/>
    <n v="462"/>
    <s v="Виктор Л."/>
    <s v="Павел Ткаченко"/>
  </r>
  <r>
    <x v="2"/>
    <s v="Краснодар"/>
    <d v="2025-05-01T00:00:00"/>
    <x v="10"/>
    <s v="Раф"/>
    <x v="1"/>
    <n v="2"/>
    <n v="480"/>
    <s v="Наталья Р."/>
    <s v="Павел Ткаченко"/>
  </r>
  <r>
    <x v="2"/>
    <s v="Краснодар"/>
    <d v="2025-03-06T00:00:00"/>
    <x v="6"/>
    <s v="Салат Цезарь"/>
    <x v="2"/>
    <n v="1"/>
    <n v="347"/>
    <s v="Виктор Л."/>
    <s v="Павел Ткаченко"/>
  </r>
  <r>
    <x v="2"/>
    <s v="Краснодар"/>
    <d v="2025-09-27T00:00:00"/>
    <x v="1"/>
    <s v="Сэндвич"/>
    <x v="2"/>
    <n v="3"/>
    <n v="840"/>
    <s v="Артём Б."/>
    <s v="Павел Ткаченко"/>
  </r>
  <r>
    <x v="2"/>
    <s v="Краснодар"/>
    <d v="2025-01-04T00:00:00"/>
    <x v="4"/>
    <s v="Синнабон"/>
    <x v="0"/>
    <n v="2"/>
    <n v="448"/>
    <s v="Юлия Д."/>
    <s v="Павел Ткаченко"/>
  </r>
  <r>
    <x v="2"/>
    <s v="Краснодар"/>
    <d v="2025-04-10T00:00:00"/>
    <x v="11"/>
    <s v="Матча латте"/>
    <x v="1"/>
    <n v="2"/>
    <n v="560"/>
    <s v="Артём Б."/>
    <s v="Павел Ткаченко"/>
  </r>
  <r>
    <x v="2"/>
    <s v="Краснодар"/>
    <d v="2025-02-21T00:00:00"/>
    <x v="2"/>
    <s v="Синнабон"/>
    <x v="0"/>
    <n v="1"/>
    <n v="219"/>
    <s v="Роман Ф."/>
    <s v="Павел Ткаченко"/>
  </r>
  <r>
    <x v="2"/>
    <s v="Краснодар"/>
    <d v="2025-02-18T00:00:00"/>
    <x v="2"/>
    <s v="Капучино"/>
    <x v="1"/>
    <n v="1"/>
    <n v="199"/>
    <s v="Роман Ф."/>
    <s v="Павел Ткаченко"/>
  </r>
  <r>
    <x v="2"/>
    <s v="Краснодар"/>
    <d v="2025-04-20T00:00:00"/>
    <x v="11"/>
    <s v="Эспрессо"/>
    <x v="1"/>
    <n v="1"/>
    <n v="159"/>
    <s v="Юлия Д."/>
    <s v="Павел Ткаченко"/>
  </r>
  <r>
    <x v="2"/>
    <s v="Краснодар"/>
    <d v="2025-05-25T00:00:00"/>
    <x v="10"/>
    <s v="Чизкейк"/>
    <x v="0"/>
    <n v="2"/>
    <n v="526"/>
    <s v="Артём Б."/>
    <s v="Павел Ткаченко"/>
  </r>
  <r>
    <x v="2"/>
    <s v="Краснодар"/>
    <d v="2025-01-25T00:00:00"/>
    <x v="4"/>
    <s v="Латте"/>
    <x v="1"/>
    <n v="2"/>
    <n v="448"/>
    <s v="Виктор Л."/>
    <s v="Павел Ткаченко"/>
  </r>
  <r>
    <x v="2"/>
    <s v="Краснодар"/>
    <d v="2025-11-20T00:00:00"/>
    <x v="8"/>
    <s v="Капучино"/>
    <x v="1"/>
    <n v="1"/>
    <n v="199"/>
    <s v="Наталья Р."/>
    <s v="Павел Ткаченко"/>
  </r>
  <r>
    <x v="2"/>
    <s v="Краснодар"/>
    <d v="2025-02-07T00:00:00"/>
    <x v="2"/>
    <s v="Синнабон"/>
    <x v="0"/>
    <n v="1"/>
    <n v="235"/>
    <s v="Роман Ф."/>
    <s v="Павел Ткаченко"/>
  </r>
  <r>
    <x v="2"/>
    <s v="Краснодар"/>
    <d v="2025-11-25T00:00:00"/>
    <x v="8"/>
    <s v="Матча латте"/>
    <x v="1"/>
    <n v="1"/>
    <n v="262"/>
    <s v="Артём Б."/>
    <s v="Павел Ткаченко"/>
  </r>
  <r>
    <x v="2"/>
    <s v="Краснодар"/>
    <d v="2025-03-27T00:00:00"/>
    <x v="6"/>
    <s v="Латте"/>
    <x v="1"/>
    <n v="3"/>
    <n v="627"/>
    <s v="Наталья Р."/>
    <s v="Павел Ткаченко"/>
  </r>
  <r>
    <x v="2"/>
    <s v="Краснодар"/>
    <d v="2025-10-18T00:00:00"/>
    <x v="3"/>
    <s v="Капучино"/>
    <x v="1"/>
    <n v="2"/>
    <n v="382"/>
    <s v="Виктор Л."/>
    <s v="Павел Ткаченко"/>
  </r>
  <r>
    <x v="2"/>
    <s v="Краснодар"/>
    <d v="2025-09-01T00:00:00"/>
    <x v="1"/>
    <s v="Салат Цезарь"/>
    <x v="2"/>
    <n v="1"/>
    <n v="424"/>
    <s v="Артём Б."/>
    <s v="Павел Ткаченко"/>
  </r>
  <r>
    <x v="2"/>
    <s v="Краснодар"/>
    <d v="2025-05-21T00:00:00"/>
    <x v="10"/>
    <s v="Салат Цезарь"/>
    <x v="2"/>
    <n v="1"/>
    <n v="355"/>
    <s v="Юлия Д."/>
    <s v="Павел Ткаченко"/>
  </r>
  <r>
    <x v="2"/>
    <s v="Краснодар"/>
    <d v="2025-04-08T00:00:00"/>
    <x v="11"/>
    <s v="Раф"/>
    <x v="1"/>
    <n v="1"/>
    <n v="230"/>
    <s v="Роман Ф."/>
    <s v="Павел Ткаченко"/>
  </r>
  <r>
    <x v="3"/>
    <s v="Москва"/>
    <d v="2025-10-25T00:00:00"/>
    <x v="3"/>
    <s v="Раф"/>
    <x v="1"/>
    <n v="3"/>
    <n v="840"/>
    <s v="Наталья Р."/>
    <s v="Ирина Соколова"/>
  </r>
  <r>
    <x v="3"/>
    <s v="Москва"/>
    <d v="2025-03-27T00:00:00"/>
    <x v="6"/>
    <s v="Салат Цезарь"/>
    <x v="2"/>
    <n v="2"/>
    <n v="778"/>
    <s v="Наталья Р."/>
    <s v="Ирина Соколова"/>
  </r>
  <r>
    <x v="3"/>
    <s v="Москва"/>
    <d v="2025-02-05T00:00:00"/>
    <x v="2"/>
    <s v="Матча латте"/>
    <x v="1"/>
    <n v="2"/>
    <n v="630"/>
    <s v="Игорь С."/>
    <s v="Ирина Соколова"/>
  </r>
  <r>
    <x v="3"/>
    <s v="Москва"/>
    <d v="2025-06-17T00:00:00"/>
    <x v="7"/>
    <s v="Круассан"/>
    <x v="0"/>
    <n v="2"/>
    <n v="366"/>
    <s v="Наталья Р."/>
    <s v="Ирина Соколова"/>
  </r>
  <r>
    <x v="3"/>
    <s v="Москва"/>
    <d v="2025-06-15T00:00:00"/>
    <x v="7"/>
    <s v="Латте"/>
    <x v="1"/>
    <n v="2"/>
    <n v="490"/>
    <s v="Анна К."/>
    <s v="Ирина Соколова"/>
  </r>
  <r>
    <x v="3"/>
    <s v="Москва"/>
    <d v="2025-01-11T00:00:00"/>
    <x v="4"/>
    <s v="Чизкейк"/>
    <x v="0"/>
    <n v="1"/>
    <n v="263"/>
    <s v="Анна К."/>
    <s v="Ирина Соколова"/>
  </r>
  <r>
    <x v="3"/>
    <s v="Москва"/>
    <d v="2025-09-15T00:00:00"/>
    <x v="1"/>
    <s v="Чизкейк"/>
    <x v="0"/>
    <n v="2"/>
    <n v="486"/>
    <s v="Наталья Р."/>
    <s v="Ирина Соколова"/>
  </r>
  <r>
    <x v="3"/>
    <s v="Москва"/>
    <d v="2025-01-22T00:00:00"/>
    <x v="4"/>
    <s v="Американо"/>
    <x v="1"/>
    <n v="3"/>
    <n v="453"/>
    <s v="Виктор Л."/>
    <s v="Ирина Соколова"/>
  </r>
  <r>
    <x v="3"/>
    <s v="Москва"/>
    <d v="2025-11-17T00:00:00"/>
    <x v="8"/>
    <s v="Капучино"/>
    <x v="1"/>
    <n v="2"/>
    <n v="474"/>
    <s v="Максим П."/>
    <s v="Ирина Соколова"/>
  </r>
  <r>
    <x v="3"/>
    <s v="Москва"/>
    <d v="2025-02-22T00:00:00"/>
    <x v="2"/>
    <s v="Раф"/>
    <x v="1"/>
    <n v="2"/>
    <n v="498"/>
    <s v="Игорь С."/>
    <s v="Ирина Соколова"/>
  </r>
  <r>
    <x v="3"/>
    <s v="Москва"/>
    <d v="2025-01-18T00:00:00"/>
    <x v="4"/>
    <s v="Латте"/>
    <x v="1"/>
    <n v="2"/>
    <n v="410"/>
    <s v="Елена В."/>
    <s v="Ирина Соколова"/>
  </r>
  <r>
    <x v="3"/>
    <s v="Москва"/>
    <d v="2025-06-09T00:00:00"/>
    <x v="7"/>
    <s v="Синнабон"/>
    <x v="0"/>
    <n v="3"/>
    <n v="687"/>
    <s v="Анна К."/>
    <s v="Ирина Соколова"/>
  </r>
  <r>
    <x v="3"/>
    <s v="Москва"/>
    <d v="2025-10-17T00:00:00"/>
    <x v="3"/>
    <s v="Круассан"/>
    <x v="0"/>
    <n v="1"/>
    <n v="198"/>
    <s v="Максим П."/>
    <s v="Ирина Соколова"/>
  </r>
  <r>
    <x v="3"/>
    <s v="Москва"/>
    <d v="2025-01-28T00:00:00"/>
    <x v="4"/>
    <s v="Латте"/>
    <x v="1"/>
    <n v="2"/>
    <n v="502"/>
    <s v="Наталья Р."/>
    <s v="Ирина Соколова"/>
  </r>
  <r>
    <x v="3"/>
    <s v="Москва"/>
    <d v="2025-11-04T00:00:00"/>
    <x v="8"/>
    <s v="Американо"/>
    <x v="1"/>
    <n v="3"/>
    <n v="501"/>
    <s v="Максим П."/>
    <s v="Ирина Соколова"/>
  </r>
  <r>
    <x v="3"/>
    <s v="Москва"/>
    <d v="2025-04-17T00:00:00"/>
    <x v="11"/>
    <s v="Какао"/>
    <x v="1"/>
    <n v="1"/>
    <n v="245"/>
    <s v="Елена В."/>
    <s v="Ирина Соколова"/>
  </r>
  <r>
    <x v="3"/>
    <s v="Москва"/>
    <d v="2025-12-06T00:00:00"/>
    <x v="0"/>
    <s v="Американо"/>
    <x v="1"/>
    <n v="1"/>
    <n v="169"/>
    <s v="Наталья Р."/>
    <s v="Ирина Соколова"/>
  </r>
  <r>
    <x v="3"/>
    <s v="Москва"/>
    <d v="2025-01-01T00:00:00"/>
    <x v="4"/>
    <s v="Эспрессо"/>
    <x v="1"/>
    <n v="1"/>
    <n v="141"/>
    <s v="Наталья Р."/>
    <s v="Ирина Соколова"/>
  </r>
  <r>
    <x v="3"/>
    <s v="Москва"/>
    <d v="2025-12-24T00:00:00"/>
    <x v="0"/>
    <s v="Матча латте"/>
    <x v="1"/>
    <n v="1"/>
    <n v="262"/>
    <s v="Наталья Р."/>
    <s v="Ирина Соколова"/>
  </r>
  <r>
    <x v="3"/>
    <s v="Москва"/>
    <d v="2025-05-26T00:00:00"/>
    <x v="10"/>
    <s v="Круассан"/>
    <x v="0"/>
    <n v="1"/>
    <n v="181"/>
    <s v="Анна К."/>
    <s v="Ирина Соколова"/>
  </r>
  <r>
    <x v="3"/>
    <s v="Москва"/>
    <d v="2025-12-03T00:00:00"/>
    <x v="0"/>
    <s v="Сэндвич"/>
    <x v="2"/>
    <n v="1"/>
    <n v="301"/>
    <s v="Игорь С."/>
    <s v="Ирина Соколова"/>
  </r>
  <r>
    <x v="3"/>
    <s v="Москва"/>
    <d v="2025-10-19T00:00:00"/>
    <x v="3"/>
    <s v="Капучино"/>
    <x v="1"/>
    <n v="3"/>
    <n v="687"/>
    <s v="Елена В."/>
    <s v="Ирина Соколова"/>
  </r>
  <r>
    <x v="3"/>
    <s v="Москва"/>
    <d v="2025-12-15T00:00:00"/>
    <x v="0"/>
    <s v="Круассан"/>
    <x v="0"/>
    <n v="3"/>
    <n v="573"/>
    <s v="Максим П."/>
    <s v="Ирина Соколова"/>
  </r>
  <r>
    <x v="3"/>
    <s v="Москва"/>
    <d v="2025-02-15T00:00:00"/>
    <x v="2"/>
    <s v="Сэндвич"/>
    <x v="2"/>
    <n v="3"/>
    <n v="954"/>
    <s v="Елена В."/>
    <s v="Ирина Соколова"/>
  </r>
  <r>
    <x v="3"/>
    <s v="Москва"/>
    <d v="2025-05-07T00:00:00"/>
    <x v="10"/>
    <s v="Салат Цезарь"/>
    <x v="2"/>
    <n v="2"/>
    <n v="714"/>
    <s v="Максим П."/>
    <s v="Ирина Соколова"/>
  </r>
  <r>
    <x v="3"/>
    <s v="Москва"/>
    <d v="2025-12-19T00:00:00"/>
    <x v="0"/>
    <s v="Латте"/>
    <x v="1"/>
    <n v="1"/>
    <n v="210"/>
    <s v="Максим П."/>
    <s v="Ирина Соколова"/>
  </r>
  <r>
    <x v="3"/>
    <s v="Москва"/>
    <d v="2025-03-14T00:00:00"/>
    <x v="6"/>
    <s v="Капучино"/>
    <x v="1"/>
    <n v="1"/>
    <n v="229"/>
    <s v="Максим П."/>
    <s v="Ирина Соколова"/>
  </r>
  <r>
    <x v="3"/>
    <s v="Москва"/>
    <d v="2025-05-15T00:00:00"/>
    <x v="10"/>
    <s v="Капучино"/>
    <x v="1"/>
    <n v="1"/>
    <n v="230"/>
    <s v="Анна К."/>
    <s v="Ирина Соколова"/>
  </r>
  <r>
    <x v="3"/>
    <s v="Москва"/>
    <d v="2025-11-18T00:00:00"/>
    <x v="8"/>
    <s v="Чизкейк"/>
    <x v="0"/>
    <n v="2"/>
    <n v="536"/>
    <s v="Виктор Л."/>
    <s v="Ирина Соколова"/>
  </r>
  <r>
    <x v="3"/>
    <s v="Москва"/>
    <d v="2025-04-25T00:00:00"/>
    <x v="11"/>
    <s v="Раф"/>
    <x v="1"/>
    <n v="2"/>
    <n v="464"/>
    <s v="Максим П."/>
    <s v="Ирина Соколова"/>
  </r>
  <r>
    <x v="3"/>
    <s v="Москва"/>
    <d v="2025-01-07T00:00:00"/>
    <x v="4"/>
    <s v="Сэндвич"/>
    <x v="2"/>
    <n v="2"/>
    <n v="714"/>
    <s v="Максим П."/>
    <s v="Ирина Соколова"/>
  </r>
  <r>
    <x v="3"/>
    <s v="Москва"/>
    <d v="2025-02-19T00:00:00"/>
    <x v="2"/>
    <s v="Капучино"/>
    <x v="1"/>
    <n v="2"/>
    <n v="438"/>
    <s v="Анна К."/>
    <s v="Ирина Соколова"/>
  </r>
  <r>
    <x v="3"/>
    <s v="Москва"/>
    <d v="2025-07-13T00:00:00"/>
    <x v="5"/>
    <s v="Салат Цезарь"/>
    <x v="2"/>
    <n v="2"/>
    <n v="724"/>
    <s v="Игорь С."/>
    <s v="Ирина Соколова"/>
  </r>
  <r>
    <x v="3"/>
    <s v="Москва"/>
    <d v="2025-03-25T00:00:00"/>
    <x v="6"/>
    <s v="Матча латте"/>
    <x v="1"/>
    <n v="1"/>
    <n v="253"/>
    <s v="Виктор Л."/>
    <s v="Ирина Соколова"/>
  </r>
  <r>
    <x v="3"/>
    <s v="Москва"/>
    <d v="2025-10-17T00:00:00"/>
    <x v="3"/>
    <s v="Синнабон"/>
    <x v="0"/>
    <n v="2"/>
    <n v="420"/>
    <s v="Анна К."/>
    <s v="Ирина Соколова"/>
  </r>
  <r>
    <x v="3"/>
    <s v="Москва"/>
    <d v="2025-04-20T00:00:00"/>
    <x v="11"/>
    <s v="Круассан"/>
    <x v="0"/>
    <n v="2"/>
    <n v="330"/>
    <s v="Анна К."/>
    <s v="Ирина Соколова"/>
  </r>
  <r>
    <x v="3"/>
    <s v="Москва"/>
    <d v="2025-05-19T00:00:00"/>
    <x v="10"/>
    <s v="Матча латте"/>
    <x v="1"/>
    <n v="1"/>
    <n v="275"/>
    <s v="Игорь С."/>
    <s v="Ирина Соколова"/>
  </r>
  <r>
    <x v="3"/>
    <s v="Москва"/>
    <d v="2025-01-19T00:00:00"/>
    <x v="4"/>
    <s v="Эспрессо"/>
    <x v="1"/>
    <n v="2"/>
    <n v="254"/>
    <s v="Максим П."/>
    <s v="Ирина Соколова"/>
  </r>
  <r>
    <x v="3"/>
    <s v="Москва"/>
    <d v="2025-11-21T00:00:00"/>
    <x v="8"/>
    <s v="Сэндвич"/>
    <x v="2"/>
    <n v="2"/>
    <n v="616"/>
    <s v="Максим П."/>
    <s v="Ирина Соколова"/>
  </r>
  <r>
    <x v="3"/>
    <s v="Москва"/>
    <d v="2025-08-23T00:00:00"/>
    <x v="9"/>
    <s v="Матча латте"/>
    <x v="1"/>
    <n v="2"/>
    <n v="516"/>
    <s v="Наталья Р."/>
    <s v="Ирина Соколова"/>
  </r>
  <r>
    <x v="3"/>
    <s v="Москва"/>
    <d v="2025-12-05T00:00:00"/>
    <x v="0"/>
    <s v="Матча латте"/>
    <x v="1"/>
    <n v="1"/>
    <n v="283"/>
    <s v="Виктор Л."/>
    <s v="Ирина Соколова"/>
  </r>
  <r>
    <x v="3"/>
    <s v="Москва"/>
    <d v="2025-05-03T00:00:00"/>
    <x v="10"/>
    <s v="Салат Цезарь"/>
    <x v="2"/>
    <n v="2"/>
    <n v="836"/>
    <s v="Елена В."/>
    <s v="Ирина Соколова"/>
  </r>
  <r>
    <x v="3"/>
    <s v="Москва"/>
    <d v="2025-07-02T00:00:00"/>
    <x v="5"/>
    <s v="Круассан"/>
    <x v="0"/>
    <n v="2"/>
    <n v="358"/>
    <s v="Максим П."/>
    <s v="Ирина Соколова"/>
  </r>
  <r>
    <x v="3"/>
    <s v="Москва"/>
    <d v="2025-02-01T00:00:00"/>
    <x v="2"/>
    <s v="Американо"/>
    <x v="1"/>
    <n v="1"/>
    <n v="171"/>
    <s v="Максим П."/>
    <s v="Ирина Соколова"/>
  </r>
  <r>
    <x v="3"/>
    <s v="Москва"/>
    <d v="2025-01-13T00:00:00"/>
    <x v="4"/>
    <s v="Сэндвич"/>
    <x v="2"/>
    <n v="1"/>
    <n v="287"/>
    <s v="Виктор Л."/>
    <s v="Ирина Соколова"/>
  </r>
  <r>
    <x v="3"/>
    <s v="Москва"/>
    <d v="2025-05-08T00:00:00"/>
    <x v="10"/>
    <s v="Эспрессо"/>
    <x v="1"/>
    <n v="2"/>
    <n v="284"/>
    <s v="Виктор Л."/>
    <s v="Ирина Соколова"/>
  </r>
  <r>
    <x v="3"/>
    <s v="Москва"/>
    <d v="2025-08-13T00:00:00"/>
    <x v="9"/>
    <s v="Латте"/>
    <x v="1"/>
    <n v="1"/>
    <n v="235"/>
    <s v="Виктор Л."/>
    <s v="Ирина Соколова"/>
  </r>
  <r>
    <x v="3"/>
    <s v="Москва"/>
    <d v="2025-11-11T00:00:00"/>
    <x v="8"/>
    <s v="Синнабон"/>
    <x v="0"/>
    <n v="2"/>
    <n v="382"/>
    <s v="Елена В."/>
    <s v="Ирина Соколова"/>
  </r>
  <r>
    <x v="3"/>
    <s v="Москва"/>
    <d v="2025-01-24T00:00:00"/>
    <x v="4"/>
    <s v="Эспрессо"/>
    <x v="1"/>
    <n v="2"/>
    <n v="256"/>
    <s v="Наталья Р."/>
    <s v="Ирина Соколова"/>
  </r>
  <r>
    <x v="3"/>
    <s v="Москва"/>
    <d v="2025-04-10T00:00:00"/>
    <x v="11"/>
    <s v="Капучино"/>
    <x v="1"/>
    <n v="1"/>
    <n v="230"/>
    <s v="Наталья Р."/>
    <s v="Ирина Соколова"/>
  </r>
  <r>
    <x v="3"/>
    <s v="Москва"/>
    <d v="2025-04-02T00:00:00"/>
    <x v="11"/>
    <s v="Синнабон"/>
    <x v="0"/>
    <n v="2"/>
    <n v="406"/>
    <s v="Максим П."/>
    <s v="Ирина Соколова"/>
  </r>
  <r>
    <x v="3"/>
    <s v="Москва"/>
    <d v="2025-09-13T00:00:00"/>
    <x v="1"/>
    <s v="Какао"/>
    <x v="1"/>
    <n v="3"/>
    <n v="669"/>
    <s v="Елена В."/>
    <s v="Ирина Соколова"/>
  </r>
  <r>
    <x v="3"/>
    <s v="Москва"/>
    <d v="2025-11-27T00:00:00"/>
    <x v="8"/>
    <s v="Капучино"/>
    <x v="1"/>
    <n v="2"/>
    <n v="392"/>
    <s v="Анна К."/>
    <s v="Ирина Соколова"/>
  </r>
  <r>
    <x v="3"/>
    <s v="Москва"/>
    <d v="2025-11-02T00:00:00"/>
    <x v="8"/>
    <s v="Американо"/>
    <x v="1"/>
    <n v="2"/>
    <n v="312"/>
    <s v="Игорь С."/>
    <s v="Ирина Соколова"/>
  </r>
  <r>
    <x v="3"/>
    <s v="Москва"/>
    <d v="2025-07-12T00:00:00"/>
    <x v="5"/>
    <s v="Синнабон"/>
    <x v="0"/>
    <n v="2"/>
    <n v="458"/>
    <s v="Анна К."/>
    <s v="Ирина Соколова"/>
  </r>
  <r>
    <x v="3"/>
    <s v="Москва"/>
    <d v="2025-05-03T00:00:00"/>
    <x v="10"/>
    <s v="Матча латте"/>
    <x v="1"/>
    <n v="3"/>
    <n v="783"/>
    <s v="Елена В."/>
    <s v="Ирина Соколова"/>
  </r>
  <r>
    <x v="3"/>
    <s v="Москва"/>
    <d v="2025-11-20T00:00:00"/>
    <x v="8"/>
    <s v="Сэндвич"/>
    <x v="2"/>
    <n v="1"/>
    <n v="302"/>
    <s v="Виктор Л."/>
    <s v="Ирина Соколова"/>
  </r>
  <r>
    <x v="3"/>
    <s v="Москва"/>
    <d v="2025-01-14T00:00:00"/>
    <x v="4"/>
    <s v="Эспрессо"/>
    <x v="1"/>
    <n v="3"/>
    <n v="462"/>
    <s v="Максим П."/>
    <s v="Ирина Соколова"/>
  </r>
  <r>
    <x v="3"/>
    <s v="Москва"/>
    <d v="2025-07-15T00:00:00"/>
    <x v="5"/>
    <s v="Латте"/>
    <x v="1"/>
    <n v="1"/>
    <n v="229"/>
    <s v="Анна К."/>
    <s v="Ирина Соколова"/>
  </r>
  <r>
    <x v="3"/>
    <s v="Москва"/>
    <d v="2025-06-07T00:00:00"/>
    <x v="7"/>
    <s v="Эспрессо"/>
    <x v="1"/>
    <n v="1"/>
    <n v="156"/>
    <s v="Анна К."/>
    <s v="Ирина Соколова"/>
  </r>
  <r>
    <x v="3"/>
    <s v="Москва"/>
    <d v="2025-12-08T00:00:00"/>
    <x v="0"/>
    <s v="Чизкейк"/>
    <x v="0"/>
    <n v="1"/>
    <n v="266"/>
    <s v="Анна К."/>
    <s v="Ирина Соколова"/>
  </r>
  <r>
    <x v="3"/>
    <s v="Москва"/>
    <d v="2025-11-16T00:00:00"/>
    <x v="8"/>
    <s v="Латте"/>
    <x v="1"/>
    <n v="1"/>
    <n v="208"/>
    <s v="Елена В."/>
    <s v="Ирина Соколова"/>
  </r>
  <r>
    <x v="3"/>
    <s v="Москва"/>
    <d v="2025-10-19T00:00:00"/>
    <x v="3"/>
    <s v="Капучино"/>
    <x v="1"/>
    <n v="2"/>
    <n v="366"/>
    <s v="Наталья Р."/>
    <s v="Ирина Соколова"/>
  </r>
  <r>
    <x v="3"/>
    <s v="Москва"/>
    <d v="2025-06-15T00:00:00"/>
    <x v="7"/>
    <s v="Сэндвич"/>
    <x v="2"/>
    <n v="2"/>
    <n v="636"/>
    <s v="Виктор Л."/>
    <s v="Ирина Соколова"/>
  </r>
  <r>
    <x v="3"/>
    <s v="Москва"/>
    <d v="2025-10-14T00:00:00"/>
    <x v="3"/>
    <s v="Какао"/>
    <x v="1"/>
    <n v="3"/>
    <n v="624"/>
    <s v="Наталья Р."/>
    <s v="Ирина Соколова"/>
  </r>
  <r>
    <x v="3"/>
    <s v="Москва"/>
    <d v="2025-07-19T00:00:00"/>
    <x v="5"/>
    <s v="Латте"/>
    <x v="1"/>
    <n v="1"/>
    <n v="227"/>
    <s v="Игорь С."/>
    <s v="Ирина Соколова"/>
  </r>
  <r>
    <x v="3"/>
    <s v="Москва"/>
    <d v="2025-12-08T00:00:00"/>
    <x v="0"/>
    <s v="Чизкейк"/>
    <x v="0"/>
    <n v="2"/>
    <n v="544"/>
    <s v="Максим П."/>
    <s v="Ирина Соколова"/>
  </r>
  <r>
    <x v="3"/>
    <s v="Москва"/>
    <d v="2025-04-26T00:00:00"/>
    <x v="11"/>
    <s v="Сэндвич"/>
    <x v="2"/>
    <n v="1"/>
    <n v="313"/>
    <s v="Виктор Л."/>
    <s v="Ирина Соколова"/>
  </r>
  <r>
    <x v="3"/>
    <s v="Москва"/>
    <d v="2025-08-08T00:00:00"/>
    <x v="9"/>
    <s v="Матча латте"/>
    <x v="1"/>
    <n v="2"/>
    <n v="538"/>
    <s v="Максим П."/>
    <s v="Ирина Соколова"/>
  </r>
  <r>
    <x v="3"/>
    <s v="Москва"/>
    <d v="2025-05-19T00:00:00"/>
    <x v="10"/>
    <s v="Сэндвич"/>
    <x v="2"/>
    <n v="1"/>
    <n v="343"/>
    <s v="Максим П."/>
    <s v="Ирина Соколова"/>
  </r>
  <r>
    <x v="3"/>
    <s v="Москва"/>
    <d v="2025-05-04T00:00:00"/>
    <x v="10"/>
    <s v="Американо"/>
    <x v="1"/>
    <n v="2"/>
    <n v="372"/>
    <s v="Игорь С."/>
    <s v="Ирина Соколова"/>
  </r>
  <r>
    <x v="3"/>
    <s v="Москва"/>
    <d v="2025-04-14T00:00:00"/>
    <x v="11"/>
    <s v="Сэндвич"/>
    <x v="2"/>
    <n v="2"/>
    <n v="678"/>
    <s v="Анна К."/>
    <s v="Ирина Соколова"/>
  </r>
  <r>
    <x v="3"/>
    <s v="Москва"/>
    <d v="2025-03-18T00:00:00"/>
    <x v="6"/>
    <s v="Салат Цезарь"/>
    <x v="2"/>
    <n v="2"/>
    <n v="794"/>
    <s v="Максим П."/>
    <s v="Ирина Соколова"/>
  </r>
  <r>
    <x v="3"/>
    <s v="Москва"/>
    <d v="2025-01-14T00:00:00"/>
    <x v="4"/>
    <s v="Латте"/>
    <x v="1"/>
    <n v="1"/>
    <n v="242"/>
    <s v="Елена В."/>
    <s v="Ирина Соколова"/>
  </r>
  <r>
    <x v="3"/>
    <s v="Москва"/>
    <d v="2025-03-23T00:00:00"/>
    <x v="6"/>
    <s v="Американо"/>
    <x v="1"/>
    <n v="1"/>
    <n v="169"/>
    <s v="Максим П."/>
    <s v="Ирина Соколова"/>
  </r>
  <r>
    <x v="3"/>
    <s v="Москва"/>
    <d v="2025-11-09T00:00:00"/>
    <x v="8"/>
    <s v="Матча латте"/>
    <x v="1"/>
    <n v="1"/>
    <n v="246"/>
    <s v="Виктор Л."/>
    <s v="Ирина Соколова"/>
  </r>
  <r>
    <x v="3"/>
    <s v="Москва"/>
    <d v="2025-07-16T00:00:00"/>
    <x v="5"/>
    <s v="Эспрессо"/>
    <x v="1"/>
    <n v="1"/>
    <n v="158"/>
    <s v="Наталья Р."/>
    <s v="Ирина Соколова"/>
  </r>
  <r>
    <x v="3"/>
    <s v="Москва"/>
    <d v="2025-01-13T00:00:00"/>
    <x v="4"/>
    <s v="Салат Цезарь"/>
    <x v="2"/>
    <n v="1"/>
    <n v="374"/>
    <s v="Виктор Л."/>
    <s v="Ирина Соколова"/>
  </r>
  <r>
    <x v="3"/>
    <s v="Москва"/>
    <d v="2025-12-15T00:00:00"/>
    <x v="0"/>
    <s v="Капучино"/>
    <x v="1"/>
    <n v="1"/>
    <n v="212"/>
    <s v="Елена В."/>
    <s v="Ирина Соколова"/>
  </r>
  <r>
    <x v="3"/>
    <s v="Москва"/>
    <d v="2025-01-13T00:00:00"/>
    <x v="4"/>
    <s v="Синнабон"/>
    <x v="0"/>
    <n v="1"/>
    <n v="209"/>
    <s v="Наталья Р."/>
    <s v="Ирина Соколова"/>
  </r>
  <r>
    <x v="3"/>
    <s v="Москва"/>
    <d v="2025-04-20T00:00:00"/>
    <x v="11"/>
    <s v="Салат Цезарь"/>
    <x v="2"/>
    <n v="2"/>
    <n v="804"/>
    <s v="Елена В."/>
    <s v="Ирина Соколова"/>
  </r>
  <r>
    <x v="3"/>
    <s v="Москва"/>
    <d v="2025-09-05T00:00:00"/>
    <x v="1"/>
    <s v="Круассан"/>
    <x v="0"/>
    <n v="1"/>
    <n v="196"/>
    <s v="Наталья Р."/>
    <s v="Ирина Соколова"/>
  </r>
  <r>
    <x v="3"/>
    <s v="Москва"/>
    <d v="2025-11-22T00:00:00"/>
    <x v="8"/>
    <s v="Салат Цезарь"/>
    <x v="2"/>
    <n v="1"/>
    <n v="342"/>
    <s v="Анна К."/>
    <s v="Ирина Соколова"/>
  </r>
  <r>
    <x v="3"/>
    <s v="Москва"/>
    <d v="2025-12-07T00:00:00"/>
    <x v="0"/>
    <s v="Чизкейк"/>
    <x v="0"/>
    <n v="3"/>
    <n v="819"/>
    <s v="Анна К."/>
    <s v="Ирина Соколова"/>
  </r>
  <r>
    <x v="3"/>
    <s v="Москва"/>
    <d v="2025-01-05T00:00:00"/>
    <x v="4"/>
    <s v="Какао"/>
    <x v="1"/>
    <n v="3"/>
    <n v="672"/>
    <s v="Елена В."/>
    <s v="Ирина Соколова"/>
  </r>
  <r>
    <x v="3"/>
    <s v="Москва"/>
    <d v="2025-03-09T00:00:00"/>
    <x v="6"/>
    <s v="Какао"/>
    <x v="1"/>
    <n v="3"/>
    <n v="696"/>
    <s v="Елена В."/>
    <s v="Ирина Соколова"/>
  </r>
  <r>
    <x v="3"/>
    <s v="Москва"/>
    <d v="2025-09-25T00:00:00"/>
    <x v="1"/>
    <s v="Сэндвич"/>
    <x v="2"/>
    <n v="1"/>
    <n v="606"/>
    <s v="Максим П."/>
    <s v="Ирина Соколова"/>
  </r>
  <r>
    <x v="3"/>
    <s v="Москва"/>
    <d v="2025-11-21T00:00:00"/>
    <x v="8"/>
    <s v="Американо"/>
    <x v="1"/>
    <n v="3"/>
    <n v="522"/>
    <s v="Елена В."/>
    <s v="Ирина Соколова"/>
  </r>
  <r>
    <x v="3"/>
    <s v="Москва"/>
    <d v="2025-11-02T00:00:00"/>
    <x v="8"/>
    <s v="Салат Цезарь"/>
    <x v="2"/>
    <n v="1"/>
    <n v="404"/>
    <s v="Анна К."/>
    <s v="Ирина Соколова"/>
  </r>
  <r>
    <x v="3"/>
    <s v="Москва"/>
    <d v="2025-09-15T00:00:00"/>
    <x v="1"/>
    <s v="Американо"/>
    <x v="1"/>
    <n v="3"/>
    <n v="525"/>
    <s v="Наталья Р."/>
    <s v="Ирина Соколова"/>
  </r>
  <r>
    <x v="3"/>
    <s v="Москва"/>
    <d v="2025-09-02T00:00:00"/>
    <x v="1"/>
    <s v="Эспрессо"/>
    <x v="1"/>
    <n v="1"/>
    <n v="132"/>
    <s v="Елена В."/>
    <s v="Ирина Соколова"/>
  </r>
  <r>
    <x v="3"/>
    <s v="Москва"/>
    <d v="2025-01-05T00:00:00"/>
    <x v="4"/>
    <s v="Какао"/>
    <x v="1"/>
    <n v="1"/>
    <n v="212"/>
    <s v="Максим П."/>
    <s v="Ирина Соколова"/>
  </r>
  <r>
    <x v="3"/>
    <s v="Москва"/>
    <d v="2025-02-26T00:00:00"/>
    <x v="2"/>
    <s v="Капучино"/>
    <x v="1"/>
    <n v="1"/>
    <n v="203"/>
    <s v="Анна К."/>
    <s v="Ирина Соколова"/>
  </r>
  <r>
    <x v="3"/>
    <s v="Москва"/>
    <d v="2025-09-14T00:00:00"/>
    <x v="1"/>
    <s v="Салат Цезарь"/>
    <x v="2"/>
    <n v="2"/>
    <n v="804"/>
    <s v="Игорь С."/>
    <s v="Ирина Соколова"/>
  </r>
  <r>
    <x v="3"/>
    <s v="Москва"/>
    <d v="2025-02-14T00:00:00"/>
    <x v="2"/>
    <s v="Капучино"/>
    <x v="1"/>
    <n v="2"/>
    <n v="370"/>
    <s v="Виктор Л."/>
    <s v="Ирина Соколова"/>
  </r>
  <r>
    <x v="3"/>
    <s v="Москва"/>
    <d v="2025-06-20T00:00:00"/>
    <x v="7"/>
    <s v="Круассан"/>
    <x v="0"/>
    <n v="2"/>
    <n v="348"/>
    <s v="Анна К."/>
    <s v="Ирина Соколова"/>
  </r>
  <r>
    <x v="3"/>
    <s v="Москва"/>
    <d v="2025-01-09T00:00:00"/>
    <x v="4"/>
    <s v="Американо"/>
    <x v="1"/>
    <n v="2"/>
    <n v="338"/>
    <s v="Виктор Л."/>
    <s v="Ирина Соколова"/>
  </r>
  <r>
    <x v="3"/>
    <s v="Москва"/>
    <d v="2025-07-23T00:00:00"/>
    <x v="5"/>
    <s v="Какао"/>
    <x v="1"/>
    <n v="2"/>
    <n v="440"/>
    <s v="Виктор Л."/>
    <s v="Ирина Соколова"/>
  </r>
  <r>
    <x v="3"/>
    <s v="Москва"/>
    <d v="2025-08-02T00:00:00"/>
    <x v="9"/>
    <s v="Матча латте"/>
    <x v="1"/>
    <n v="1"/>
    <n v="262"/>
    <s v="Елена В."/>
    <s v="Ирина Соколова"/>
  </r>
  <r>
    <x v="3"/>
    <s v="Москва"/>
    <d v="2025-06-02T00:00:00"/>
    <x v="7"/>
    <s v="Чизкейк"/>
    <x v="0"/>
    <n v="3"/>
    <n v="726"/>
    <s v="Игорь С."/>
    <s v="Ирина Соколова"/>
  </r>
  <r>
    <x v="3"/>
    <s v="Москва"/>
    <d v="2025-12-07T00:00:00"/>
    <x v="0"/>
    <s v="Матча латте"/>
    <x v="1"/>
    <n v="1"/>
    <n v="246"/>
    <s v="Максим П."/>
    <s v="Ирина Соколова"/>
  </r>
  <r>
    <x v="3"/>
    <s v="Москва"/>
    <d v="2025-07-08T00:00:00"/>
    <x v="5"/>
    <s v="Салат Цезарь"/>
    <x v="2"/>
    <n v="3"/>
    <n v="1059"/>
    <s v="Анна К."/>
    <s v="Ирина Соколова"/>
  </r>
  <r>
    <x v="3"/>
    <s v="Москва"/>
    <d v="2025-06-03T00:00:00"/>
    <x v="7"/>
    <s v="Латте"/>
    <x v="1"/>
    <n v="1"/>
    <n v="253"/>
    <s v="Анна К."/>
    <s v="Ирина Соколова"/>
  </r>
  <r>
    <x v="3"/>
    <s v="Москва"/>
    <d v="2025-12-15T00:00:00"/>
    <x v="0"/>
    <s v="Салат Цезарь"/>
    <x v="2"/>
    <n v="1"/>
    <n v="386"/>
    <s v="Максим П."/>
    <s v="Ирина Соколова"/>
  </r>
  <r>
    <x v="3"/>
    <s v="Москва"/>
    <d v="2025-10-27T00:00:00"/>
    <x v="3"/>
    <s v="Круассан"/>
    <x v="0"/>
    <n v="2"/>
    <n v="354"/>
    <s v="Наталья Р."/>
    <s v="Ирина Соколова"/>
  </r>
  <r>
    <x v="3"/>
    <s v="Москва"/>
    <d v="2025-11-12T00:00:00"/>
    <x v="8"/>
    <s v="Круассан"/>
    <x v="0"/>
    <n v="3"/>
    <n v="594"/>
    <s v="Игорь С."/>
    <s v="Ирина Соколова"/>
  </r>
  <r>
    <x v="3"/>
    <s v="Москва"/>
    <d v="2025-09-18T00:00:00"/>
    <x v="1"/>
    <s v="Чизкейк"/>
    <x v="0"/>
    <n v="2"/>
    <n v="544"/>
    <s v="Игорь С."/>
    <s v="Ирина Соколова"/>
  </r>
  <r>
    <x v="3"/>
    <s v="Москва"/>
    <d v="2025-01-18T00:00:00"/>
    <x v="4"/>
    <s v="Салат Цезарь"/>
    <x v="2"/>
    <n v="1"/>
    <n v="422"/>
    <s v="Елена В."/>
    <s v="Ирина Соколова"/>
  </r>
  <r>
    <x v="3"/>
    <s v="Москва"/>
    <d v="2025-09-15T00:00:00"/>
    <x v="1"/>
    <s v="Латте"/>
    <x v="1"/>
    <n v="3"/>
    <n v="747"/>
    <s v="Анна К."/>
    <s v="Ирина Соколова"/>
  </r>
  <r>
    <x v="3"/>
    <s v="Москва"/>
    <d v="2025-10-08T00:00:00"/>
    <x v="3"/>
    <s v="Латте"/>
    <x v="1"/>
    <n v="1"/>
    <n v="228"/>
    <s v="Максим П."/>
    <s v="Ирина Соколова"/>
  </r>
  <r>
    <x v="3"/>
    <s v="Москва"/>
    <d v="2025-11-24T00:00:00"/>
    <x v="8"/>
    <s v="Синнабон"/>
    <x v="0"/>
    <n v="1"/>
    <n v="219"/>
    <s v="Виктор Л."/>
    <s v="Ирина Соколова"/>
  </r>
  <r>
    <x v="3"/>
    <s v="Москва"/>
    <d v="2025-05-09T00:00:00"/>
    <x v="10"/>
    <s v="Матча латте"/>
    <x v="1"/>
    <n v="2"/>
    <n v="618"/>
    <s v="Максим П."/>
    <s v="Ирина Соколова"/>
  </r>
  <r>
    <x v="3"/>
    <s v="Москва"/>
    <d v="2025-03-07T00:00:00"/>
    <x v="6"/>
    <s v="Круассан"/>
    <x v="0"/>
    <n v="2"/>
    <n v="326"/>
    <s v="Игорь С."/>
    <s v="Ирина Соколова"/>
  </r>
  <r>
    <x v="3"/>
    <s v="Москва"/>
    <d v="2025-01-26T00:00:00"/>
    <x v="4"/>
    <s v="Круассан"/>
    <x v="0"/>
    <n v="1"/>
    <n v="190"/>
    <s v="Игорь С."/>
    <s v="Ирина Соколова"/>
  </r>
  <r>
    <x v="3"/>
    <s v="Москва"/>
    <d v="2025-11-26T00:00:00"/>
    <x v="8"/>
    <s v="Круассан"/>
    <x v="0"/>
    <n v="1"/>
    <n v="172"/>
    <s v="Анна К."/>
    <s v="Ирина Соколова"/>
  </r>
  <r>
    <x v="3"/>
    <s v="Москва"/>
    <d v="2025-06-03T00:00:00"/>
    <x v="7"/>
    <s v="Эспрессо"/>
    <x v="1"/>
    <n v="1"/>
    <n v="149"/>
    <s v="Виктор Л."/>
    <s v="Ирина Соколова"/>
  </r>
  <r>
    <x v="3"/>
    <s v="Москва"/>
    <d v="2025-11-06T00:00:00"/>
    <x v="8"/>
    <s v="Капучино"/>
    <x v="1"/>
    <n v="1"/>
    <n v="206"/>
    <s v="Максим П."/>
    <s v="Ирина Соколова"/>
  </r>
  <r>
    <x v="3"/>
    <s v="Москва"/>
    <d v="2025-06-28T00:00:00"/>
    <x v="7"/>
    <s v="Латте"/>
    <x v="1"/>
    <n v="2"/>
    <n v="444"/>
    <s v="Виктор Л."/>
    <s v="Ирина Соколова"/>
  </r>
  <r>
    <x v="3"/>
    <s v="Москва"/>
    <d v="2025-03-14T00:00:00"/>
    <x v="6"/>
    <s v="Эспрессо"/>
    <x v="1"/>
    <n v="1"/>
    <n v="146"/>
    <s v="Елена В."/>
    <s v="Ирина Соколова"/>
  </r>
  <r>
    <x v="3"/>
    <s v="Москва"/>
    <d v="2025-08-17T00:00:00"/>
    <x v="9"/>
    <s v="Круассан"/>
    <x v="0"/>
    <n v="2"/>
    <n v="386"/>
    <s v="Наталья Р."/>
    <s v="Ирина Соколова"/>
  </r>
  <r>
    <x v="3"/>
    <s v="Москва"/>
    <d v="2025-06-20T00:00:00"/>
    <x v="7"/>
    <s v="Салат Цезарь"/>
    <x v="2"/>
    <n v="1"/>
    <n v="371"/>
    <s v="Елена В."/>
    <s v="Ирина Соколова"/>
  </r>
  <r>
    <x v="3"/>
    <s v="Москва"/>
    <d v="2025-04-09T00:00:00"/>
    <x v="11"/>
    <s v="Чизкейк"/>
    <x v="0"/>
    <n v="3"/>
    <n v="744"/>
    <s v="Максим П."/>
    <s v="Ирина Соколова"/>
  </r>
  <r>
    <x v="3"/>
    <s v="Москва"/>
    <d v="2025-02-22T00:00:00"/>
    <x v="2"/>
    <s v="Какао"/>
    <x v="1"/>
    <n v="3"/>
    <n v="657"/>
    <s v="Виктор Л."/>
    <s v="Ирина Соколова"/>
  </r>
  <r>
    <x v="3"/>
    <s v="Москва"/>
    <d v="2025-03-02T00:00:00"/>
    <x v="6"/>
    <s v="Салат Цезарь"/>
    <x v="2"/>
    <n v="2"/>
    <n v="788"/>
    <s v="Наталья Р."/>
    <s v="Ирина Соколова"/>
  </r>
  <r>
    <x v="3"/>
    <s v="Москва"/>
    <d v="2025-01-09T00:00:00"/>
    <x v="4"/>
    <s v="Латте"/>
    <x v="1"/>
    <n v="1"/>
    <n v="247"/>
    <s v="Максим П."/>
    <s v="Ирина Соколова"/>
  </r>
  <r>
    <x v="3"/>
    <s v="Москва"/>
    <d v="2025-10-23T00:00:00"/>
    <x v="3"/>
    <s v="Круассан"/>
    <x v="0"/>
    <n v="3"/>
    <n v="489"/>
    <s v="Максим П."/>
    <s v="Ирина Соколова"/>
  </r>
  <r>
    <x v="3"/>
    <s v="Москва"/>
    <d v="2025-01-01T00:00:00"/>
    <x v="4"/>
    <s v="Эспрессо"/>
    <x v="1"/>
    <n v="2"/>
    <n v="268"/>
    <s v="Анна К."/>
    <s v="Ирина Соколова"/>
  </r>
  <r>
    <x v="3"/>
    <s v="Москва"/>
    <d v="2025-05-12T00:00:00"/>
    <x v="10"/>
    <s v="Сэндвич"/>
    <x v="2"/>
    <n v="2"/>
    <n v="702"/>
    <s v="Анна К."/>
    <s v="Ирина Соколова"/>
  </r>
  <r>
    <x v="3"/>
    <s v="Москва"/>
    <d v="2025-03-16T00:00:00"/>
    <x v="6"/>
    <s v="Сэндвич"/>
    <x v="2"/>
    <n v="1"/>
    <n v="346"/>
    <s v="Виктор Л."/>
    <s v="Ирина Соколова"/>
  </r>
  <r>
    <x v="3"/>
    <s v="Москва"/>
    <d v="2025-10-19T00:00:00"/>
    <x v="3"/>
    <s v="Сэндвич"/>
    <x v="2"/>
    <n v="1"/>
    <n v="284"/>
    <s v="Виктор Л."/>
    <s v="Ирина Соколова"/>
  </r>
  <r>
    <x v="3"/>
    <s v="Москва"/>
    <d v="2025-04-15T00:00:00"/>
    <x v="11"/>
    <s v="Чизкейк"/>
    <x v="0"/>
    <n v="2"/>
    <n v="496"/>
    <s v="Елена В."/>
    <s v="Ирина Соколова"/>
  </r>
  <r>
    <x v="3"/>
    <s v="Москва"/>
    <d v="2025-02-26T00:00:00"/>
    <x v="2"/>
    <s v="Эспрессо"/>
    <x v="1"/>
    <n v="2"/>
    <n v="300"/>
    <s v="Виктор Л."/>
    <s v="Ирина Соколова"/>
  </r>
  <r>
    <x v="3"/>
    <s v="Москва"/>
    <d v="2025-01-03T00:00:00"/>
    <x v="4"/>
    <s v="Американо"/>
    <x v="1"/>
    <n v="2"/>
    <n v="352"/>
    <s v="Анна К."/>
    <s v="Ирина Соколова"/>
  </r>
  <r>
    <x v="3"/>
    <s v="Москва"/>
    <d v="2025-01-07T00:00:00"/>
    <x v="4"/>
    <s v="Синнабон"/>
    <x v="0"/>
    <n v="3"/>
    <n v="615"/>
    <s v="Виктор Л."/>
    <s v="Ирина Соколова"/>
  </r>
  <r>
    <x v="3"/>
    <s v="Москва"/>
    <d v="2025-04-04T00:00:00"/>
    <x v="11"/>
    <s v="Синнабон"/>
    <x v="0"/>
    <n v="1"/>
    <n v="213"/>
    <s v="Игорь С."/>
    <s v="Ирина Соколова"/>
  </r>
  <r>
    <x v="3"/>
    <s v="Москва"/>
    <d v="2025-02-28T00:00:00"/>
    <x v="2"/>
    <s v="Синнабон"/>
    <x v="0"/>
    <n v="1"/>
    <n v="227"/>
    <s v="Анна К."/>
    <s v="Ирина Соколова"/>
  </r>
  <r>
    <x v="3"/>
    <s v="Москва"/>
    <d v="2025-05-23T00:00:00"/>
    <x v="10"/>
    <s v="Матча латте"/>
    <x v="1"/>
    <n v="2"/>
    <n v="564"/>
    <s v="Елена В."/>
    <s v="Ирина Соколова"/>
  </r>
  <r>
    <x v="3"/>
    <s v="Москва"/>
    <d v="2025-09-12T00:00:00"/>
    <x v="1"/>
    <s v="Круассан"/>
    <x v="0"/>
    <n v="3"/>
    <n v="573"/>
    <s v="Наталья Р."/>
    <s v="Ирина Соколова"/>
  </r>
  <r>
    <x v="3"/>
    <s v="Москва"/>
    <d v="2025-01-18T00:00:00"/>
    <x v="4"/>
    <s v="Американо"/>
    <x v="1"/>
    <n v="3"/>
    <n v="525"/>
    <s v="Максим П."/>
    <s v="Ирина Соколова"/>
  </r>
  <r>
    <x v="3"/>
    <s v="Москва"/>
    <d v="2025-09-10T00:00:00"/>
    <x v="1"/>
    <s v="Эспрессо"/>
    <x v="1"/>
    <n v="3"/>
    <n v="387"/>
    <s v="Игорь С."/>
    <s v="Ирина Соколова"/>
  </r>
  <r>
    <x v="3"/>
    <s v="Москва"/>
    <d v="2025-07-21T00:00:00"/>
    <x v="5"/>
    <s v="Латте"/>
    <x v="1"/>
    <n v="1"/>
    <n v="247"/>
    <s v="Анна К."/>
    <s v="Ирина Соколова"/>
  </r>
  <r>
    <x v="3"/>
    <s v="Москва"/>
    <d v="2025-05-24T00:00:00"/>
    <x v="10"/>
    <s v="Какао"/>
    <x v="1"/>
    <n v="1"/>
    <n v="215"/>
    <s v="Игорь С."/>
    <s v="Ирина Соколова"/>
  </r>
  <r>
    <x v="3"/>
    <s v="Москва"/>
    <d v="2025-07-16T00:00:00"/>
    <x v="5"/>
    <s v="Американо"/>
    <x v="1"/>
    <n v="2"/>
    <n v="298"/>
    <s v="Игорь С."/>
    <s v="Ирина Соколова"/>
  </r>
  <r>
    <x v="3"/>
    <s v="Москва"/>
    <d v="2025-10-07T00:00:00"/>
    <x v="3"/>
    <s v="Раф"/>
    <x v="1"/>
    <n v="1"/>
    <n v="246"/>
    <s v="Виктор Л."/>
    <s v="Ирина Соколова"/>
  </r>
  <r>
    <x v="3"/>
    <s v="Москва"/>
    <d v="2025-01-04T00:00:00"/>
    <x v="4"/>
    <s v="Матча латте"/>
    <x v="1"/>
    <n v="2"/>
    <n v="494"/>
    <s v="Елена В."/>
    <s v="Ирина Соколова"/>
  </r>
  <r>
    <x v="3"/>
    <s v="Москва"/>
    <d v="2025-07-22T00:00:00"/>
    <x v="5"/>
    <s v="Какао"/>
    <x v="1"/>
    <n v="1"/>
    <n v="213"/>
    <s v="Виктор Л."/>
    <s v="Ирина Соколова"/>
  </r>
  <r>
    <x v="3"/>
    <s v="Москва"/>
    <d v="2025-11-03T00:00:00"/>
    <x v="8"/>
    <s v="Круассан"/>
    <x v="0"/>
    <n v="2"/>
    <n v="366"/>
    <s v="Наталья Р."/>
    <s v="Ирина Соколова"/>
  </r>
  <r>
    <x v="3"/>
    <s v="Москва"/>
    <d v="2025-04-23T00:00:00"/>
    <x v="11"/>
    <s v="Капучино"/>
    <x v="1"/>
    <n v="2"/>
    <n v="396"/>
    <s v="Максим П."/>
    <s v="Ирина Соколова"/>
  </r>
  <r>
    <x v="3"/>
    <s v="Москва"/>
    <d v="2025-09-07T00:00:00"/>
    <x v="1"/>
    <s v="Латте"/>
    <x v="1"/>
    <n v="1"/>
    <n v="216"/>
    <s v="Максим П."/>
    <s v="Ирина Соколова"/>
  </r>
  <r>
    <x v="3"/>
    <s v="Москва"/>
    <d v="2025-05-19T00:00:00"/>
    <x v="10"/>
    <s v="Сэндвич"/>
    <x v="2"/>
    <n v="3"/>
    <n v="939"/>
    <s v="Игорь С."/>
    <s v="Ирина Соколова"/>
  </r>
  <r>
    <x v="3"/>
    <s v="Москва"/>
    <d v="2025-01-26T00:00:00"/>
    <x v="4"/>
    <s v="Американо"/>
    <x v="1"/>
    <n v="3"/>
    <n v="465"/>
    <s v="Виктор Л."/>
    <s v="Ирина Соколова"/>
  </r>
  <r>
    <x v="3"/>
    <s v="Москва"/>
    <d v="2025-03-09T00:00:00"/>
    <x v="6"/>
    <s v="Матча латте"/>
    <x v="1"/>
    <n v="1"/>
    <n v="293"/>
    <s v="Игорь С."/>
    <s v="Ирина Соколова"/>
  </r>
  <r>
    <x v="3"/>
    <s v="Москва"/>
    <d v="2025-10-11T00:00:00"/>
    <x v="3"/>
    <s v="Эспрессо"/>
    <x v="1"/>
    <n v="1"/>
    <n v="148"/>
    <s v="Игорь С."/>
    <s v="Ирина Соколова"/>
  </r>
  <r>
    <x v="3"/>
    <s v="Москва"/>
    <d v="2025-05-12T00:00:00"/>
    <x v="10"/>
    <s v="Капучино"/>
    <x v="1"/>
    <n v="1"/>
    <n v="202"/>
    <s v="Игорь С."/>
    <s v="Ирина Соколова"/>
  </r>
  <r>
    <x v="3"/>
    <s v="Москва"/>
    <d v="2025-12-14T00:00:00"/>
    <x v="0"/>
    <s v="Круассан"/>
    <x v="0"/>
    <n v="1"/>
    <n v="195"/>
    <s v="Игорь С."/>
    <s v="Ирина Соколова"/>
  </r>
  <r>
    <x v="3"/>
    <s v="Москва"/>
    <d v="2025-11-03T00:00:00"/>
    <x v="8"/>
    <s v="Капучино"/>
    <x v="1"/>
    <n v="1"/>
    <n v="225"/>
    <s v="Елена В."/>
    <s v="Ирина Соколова"/>
  </r>
  <r>
    <x v="3"/>
    <s v="Москва"/>
    <d v="2025-02-24T00:00:00"/>
    <x v="2"/>
    <s v="Чизкейк"/>
    <x v="0"/>
    <n v="2"/>
    <n v="518"/>
    <s v="Максим П."/>
    <s v="Ирина Соколова"/>
  </r>
  <r>
    <x v="3"/>
    <s v="Москва"/>
    <d v="2025-11-12T00:00:00"/>
    <x v="8"/>
    <s v="Салат Цезарь"/>
    <x v="2"/>
    <n v="3"/>
    <n v="1164"/>
    <s v="Игорь С."/>
    <s v="Ирина Соколова"/>
  </r>
  <r>
    <x v="3"/>
    <s v="Москва"/>
    <d v="2025-06-09T00:00:00"/>
    <x v="7"/>
    <s v="Американо"/>
    <x v="1"/>
    <n v="2"/>
    <n v="290"/>
    <s v="Максим П."/>
    <s v="Ирина Соколова"/>
  </r>
  <r>
    <x v="3"/>
    <s v="Москва"/>
    <d v="2025-09-08T00:00:00"/>
    <x v="1"/>
    <s v="Американо"/>
    <x v="1"/>
    <n v="1"/>
    <n v="177"/>
    <s v="Анна К."/>
    <s v="Ирина Соколова"/>
  </r>
  <r>
    <x v="3"/>
    <s v="Москва"/>
    <d v="2025-11-11T00:00:00"/>
    <x v="8"/>
    <s v="Американо"/>
    <x v="1"/>
    <n v="1"/>
    <n v="192"/>
    <s v="Елена В."/>
    <s v="Ирина Соколова"/>
  </r>
  <r>
    <x v="3"/>
    <s v="Москва"/>
    <d v="2025-03-23T00:00:00"/>
    <x v="6"/>
    <s v="Синнабон"/>
    <x v="0"/>
    <n v="1"/>
    <n v="214"/>
    <s v="Елена В."/>
    <s v="Ирина Соколова"/>
  </r>
  <r>
    <x v="3"/>
    <s v="Москва"/>
    <d v="2025-04-21T00:00:00"/>
    <x v="11"/>
    <s v="Салат Цезарь"/>
    <x v="2"/>
    <n v="1"/>
    <n v="361"/>
    <s v="Максим П."/>
    <s v="Ирина Соколова"/>
  </r>
  <r>
    <x v="3"/>
    <s v="Москва"/>
    <d v="2025-03-27T00:00:00"/>
    <x v="6"/>
    <s v="Какао"/>
    <x v="1"/>
    <n v="1"/>
    <n v="235"/>
    <s v="Игорь С."/>
    <s v="Ирина Соколова"/>
  </r>
  <r>
    <x v="3"/>
    <s v="Москва"/>
    <d v="2025-01-18T00:00:00"/>
    <x v="4"/>
    <s v="Синнабон"/>
    <x v="0"/>
    <n v="3"/>
    <n v="585"/>
    <s v="Виктор Л."/>
    <s v="Ирина Соколова"/>
  </r>
  <r>
    <x v="3"/>
    <s v="Москва"/>
    <d v="2025-09-17T00:00:00"/>
    <x v="1"/>
    <s v="Сэндвич"/>
    <x v="2"/>
    <n v="3"/>
    <n v="870"/>
    <s v="Елена В."/>
    <s v="Ирина Соколова"/>
  </r>
  <r>
    <x v="3"/>
    <s v="Москва"/>
    <d v="2025-09-16T00:00:00"/>
    <x v="1"/>
    <s v="Капучино"/>
    <x v="1"/>
    <n v="2"/>
    <n v="470"/>
    <s v="Анна К."/>
    <s v="Ирина Соколова"/>
  </r>
  <r>
    <x v="3"/>
    <s v="Москва"/>
    <d v="2025-10-19T00:00:00"/>
    <x v="3"/>
    <s v="Круассан"/>
    <x v="0"/>
    <n v="1"/>
    <n v="173"/>
    <s v="Елена В."/>
    <s v="Ирина Соколова"/>
  </r>
  <r>
    <x v="3"/>
    <s v="Москва"/>
    <d v="2025-12-28T00:00:00"/>
    <x v="0"/>
    <s v="Сэндвич"/>
    <x v="2"/>
    <n v="1"/>
    <n v="352"/>
    <s v="Анна К."/>
    <s v="Ирина Соколова"/>
  </r>
  <r>
    <x v="3"/>
    <s v="Москва"/>
    <d v="2025-05-15T00:00:00"/>
    <x v="10"/>
    <s v="Круассан"/>
    <x v="0"/>
    <n v="3"/>
    <n v="528"/>
    <s v="Елена В."/>
    <s v="Ирина Соколова"/>
  </r>
  <r>
    <x v="3"/>
    <s v="Москва"/>
    <d v="2025-03-03T00:00:00"/>
    <x v="6"/>
    <s v="Какао"/>
    <x v="1"/>
    <n v="3"/>
    <n v="654"/>
    <s v="Наталья Р."/>
    <s v="Ирина Соколова"/>
  </r>
  <r>
    <x v="3"/>
    <s v="Москва"/>
    <d v="2025-04-24T00:00:00"/>
    <x v="11"/>
    <s v="Американо"/>
    <x v="1"/>
    <n v="1"/>
    <n v="158"/>
    <s v="Игорь С."/>
    <s v="Ирина Соколова"/>
  </r>
  <r>
    <x v="3"/>
    <s v="Москва"/>
    <d v="2025-06-03T00:00:00"/>
    <x v="7"/>
    <s v="Матча латте"/>
    <x v="1"/>
    <n v="2"/>
    <n v="526"/>
    <s v="Максим П."/>
    <s v="Ирина Соколова"/>
  </r>
  <r>
    <x v="3"/>
    <s v="Москва"/>
    <d v="2025-08-05T00:00:00"/>
    <x v="9"/>
    <s v="Матча латте"/>
    <x v="1"/>
    <n v="1"/>
    <n v="295"/>
    <s v="Не указан"/>
    <s v="Ирина Соколова"/>
  </r>
  <r>
    <x v="3"/>
    <s v="Москва"/>
    <d v="2025-03-13T00:00:00"/>
    <x v="6"/>
    <s v="Синнабон"/>
    <x v="0"/>
    <n v="2"/>
    <n v="454"/>
    <s v="Елена В."/>
    <s v="Ирина Соколова"/>
  </r>
  <r>
    <x v="3"/>
    <s v="Москва"/>
    <d v="2025-08-06T00:00:00"/>
    <x v="9"/>
    <s v="Раф"/>
    <x v="1"/>
    <n v="1"/>
    <n v="278"/>
    <s v="Елена В."/>
    <s v="Ирина Соколова"/>
  </r>
  <r>
    <x v="3"/>
    <s v="Москва"/>
    <d v="2025-07-03T00:00:00"/>
    <x v="5"/>
    <s v="Синнабон"/>
    <x v="0"/>
    <n v="1"/>
    <n v="228"/>
    <s v="Елена В."/>
    <s v="Ирина Соколова"/>
  </r>
  <r>
    <x v="3"/>
    <s v="Москва"/>
    <d v="2025-01-28T00:00:00"/>
    <x v="4"/>
    <s v="Американо"/>
    <x v="1"/>
    <n v="2"/>
    <n v="302"/>
    <s v="Виктор Л."/>
    <s v="Ирина Соколова"/>
  </r>
  <r>
    <x v="3"/>
    <s v="Москва"/>
    <d v="2025-10-15T00:00:00"/>
    <x v="3"/>
    <s v="Какао"/>
    <x v="1"/>
    <n v="1"/>
    <n v="206"/>
    <s v="Наталья Р."/>
    <s v="Ирина Соколова"/>
  </r>
  <r>
    <x v="3"/>
    <s v="Москва"/>
    <d v="2025-09-11T00:00:00"/>
    <x v="1"/>
    <s v="Американо"/>
    <x v="1"/>
    <n v="2"/>
    <n v="326"/>
    <s v="Анна К."/>
    <s v="Ирина Соколова"/>
  </r>
  <r>
    <x v="3"/>
    <s v="Москва"/>
    <d v="2025-07-21T00:00:00"/>
    <x v="5"/>
    <s v="Матча латте"/>
    <x v="1"/>
    <n v="1"/>
    <n v="254"/>
    <s v="Анна К."/>
    <s v="Ирина Соколова"/>
  </r>
  <r>
    <x v="3"/>
    <s v="Москва"/>
    <d v="2025-02-09T00:00:00"/>
    <x v="2"/>
    <s v="Чизкейк"/>
    <x v="0"/>
    <n v="1"/>
    <n v="252"/>
    <s v="Максим П."/>
    <s v="Ирина Соколова"/>
  </r>
  <r>
    <x v="3"/>
    <s v="Москва"/>
    <d v="2025-11-26T00:00:00"/>
    <x v="8"/>
    <s v="Круассан"/>
    <x v="0"/>
    <n v="1"/>
    <n v="195"/>
    <s v="Виктор Л."/>
    <s v="Ирина Соколова"/>
  </r>
  <r>
    <x v="3"/>
    <s v="Москва"/>
    <d v="2025-07-28T00:00:00"/>
    <x v="5"/>
    <s v="Матча латте"/>
    <x v="1"/>
    <n v="1"/>
    <n v="295"/>
    <s v="Виктор Л."/>
    <s v="Ирина Соколова"/>
  </r>
  <r>
    <x v="3"/>
    <s v="Москва"/>
    <d v="2025-02-06T00:00:00"/>
    <x v="2"/>
    <s v="Американо"/>
    <x v="1"/>
    <n v="3"/>
    <n v="483"/>
    <s v="Виктор Л."/>
    <s v="Ирина Соколова"/>
  </r>
  <r>
    <x v="3"/>
    <s v="Москва"/>
    <d v="2025-02-09T00:00:00"/>
    <x v="2"/>
    <s v="Синнабон"/>
    <x v="0"/>
    <n v="2"/>
    <n v="410"/>
    <s v="Максим П."/>
    <s v="Ирина Соколова"/>
  </r>
  <r>
    <x v="3"/>
    <s v="Москва"/>
    <d v="2025-09-02T00:00:00"/>
    <x v="1"/>
    <s v="Эспрессо"/>
    <x v="1"/>
    <n v="1"/>
    <n v="127"/>
    <s v="Максим П."/>
    <s v="Ирина Соколова"/>
  </r>
  <r>
    <x v="3"/>
    <s v="Москва"/>
    <d v="2025-12-10T00:00:00"/>
    <x v="0"/>
    <s v="Синнабон"/>
    <x v="0"/>
    <n v="3"/>
    <n v="633"/>
    <s v="Максим П."/>
    <s v="Ирина Соколова"/>
  </r>
  <r>
    <x v="3"/>
    <s v="Москва"/>
    <d v="2025-02-07T00:00:00"/>
    <x v="2"/>
    <s v="Какао"/>
    <x v="1"/>
    <n v="3"/>
    <n v="693"/>
    <s v="Виктор Л."/>
    <s v="Ирина Соколова"/>
  </r>
  <r>
    <x v="3"/>
    <s v="Москва"/>
    <d v="2025-10-13T00:00:00"/>
    <x v="3"/>
    <s v="Синнабон"/>
    <x v="0"/>
    <n v="1"/>
    <n v="195"/>
    <s v="Наталья Р."/>
    <s v="Ирина Соколова"/>
  </r>
  <r>
    <x v="3"/>
    <s v="Москва"/>
    <d v="2025-05-17T00:00:00"/>
    <x v="10"/>
    <s v="Круассан"/>
    <x v="0"/>
    <n v="1"/>
    <n v="168"/>
    <s v="Наталья Р."/>
    <s v="Ирина Соколова"/>
  </r>
  <r>
    <x v="3"/>
    <s v="Москва"/>
    <d v="2025-03-26T00:00:00"/>
    <x v="6"/>
    <s v="Латте"/>
    <x v="1"/>
    <n v="2"/>
    <n v="416"/>
    <s v="Игорь С."/>
    <s v="Ирина Соколова"/>
  </r>
  <r>
    <x v="3"/>
    <s v="Москва"/>
    <d v="2025-12-07T00:00:00"/>
    <x v="0"/>
    <s v="Эспрессо"/>
    <x v="1"/>
    <n v="2"/>
    <n v="310"/>
    <s v="Игорь С."/>
    <s v="Ирина Соколова"/>
  </r>
  <r>
    <x v="3"/>
    <s v="Москва"/>
    <d v="2025-05-01T00:00:00"/>
    <x v="10"/>
    <s v="Американо"/>
    <x v="1"/>
    <n v="3"/>
    <n v="492"/>
    <s v="Анна К."/>
    <s v="Ирина Соколова"/>
  </r>
  <r>
    <x v="3"/>
    <s v="Москва"/>
    <d v="2025-01-07T00:00:00"/>
    <x v="4"/>
    <s v="Синнабон"/>
    <x v="0"/>
    <n v="1"/>
    <n v="221"/>
    <s v="Виктор Л."/>
    <s v="Ирина Соколова"/>
  </r>
  <r>
    <x v="3"/>
    <s v="Москва"/>
    <d v="2025-10-10T00:00:00"/>
    <x v="3"/>
    <s v="Раф"/>
    <x v="1"/>
    <n v="1"/>
    <n v="270"/>
    <s v="Наталья Р."/>
    <s v="Ирина Соколова"/>
  </r>
  <r>
    <x v="3"/>
    <s v="Москва"/>
    <d v="2025-03-19T00:00:00"/>
    <x v="6"/>
    <s v="Американо"/>
    <x v="1"/>
    <n v="1"/>
    <n v="151"/>
    <s v="Анна К."/>
    <s v="Ирина Соколова"/>
  </r>
  <r>
    <x v="3"/>
    <s v="Москва"/>
    <d v="2025-06-08T00:00:00"/>
    <x v="7"/>
    <s v="Латте"/>
    <x v="1"/>
    <n v="1"/>
    <n v="236"/>
    <s v="Игорь С."/>
    <s v="Ирина Соколова"/>
  </r>
  <r>
    <x v="3"/>
    <s v="Москва"/>
    <d v="2025-03-13T00:00:00"/>
    <x v="6"/>
    <s v="Синнабон"/>
    <x v="0"/>
    <n v="3"/>
    <n v="627"/>
    <s v="Виктор Л."/>
    <s v="Ирина Соколова"/>
  </r>
  <r>
    <x v="3"/>
    <s v="Москва"/>
    <d v="2025-09-13T00:00:00"/>
    <x v="1"/>
    <s v="Сэндвич"/>
    <x v="2"/>
    <n v="1"/>
    <n v="326"/>
    <s v="Наталья Р."/>
    <s v="Ирина Соколова"/>
  </r>
  <r>
    <x v="3"/>
    <s v="Москва"/>
    <d v="2025-12-18T00:00:00"/>
    <x v="0"/>
    <s v="Круассан"/>
    <x v="0"/>
    <n v="1"/>
    <n v="160"/>
    <s v="Наталья Р."/>
    <s v="Ирина Соколова"/>
  </r>
  <r>
    <x v="3"/>
    <s v="Москва"/>
    <d v="2025-01-24T00:00:00"/>
    <x v="4"/>
    <s v="Капучино"/>
    <x v="1"/>
    <n v="3"/>
    <n v="708"/>
    <s v="Елена В."/>
    <s v="Ирина Соколова"/>
  </r>
  <r>
    <x v="3"/>
    <s v="Москва"/>
    <d v="2025-03-24T00:00:00"/>
    <x v="6"/>
    <s v="Американо"/>
    <x v="1"/>
    <n v="2"/>
    <n v="312"/>
    <s v="Наталья Р."/>
    <s v="Ирина Соколова"/>
  </r>
  <r>
    <x v="3"/>
    <s v="Москва"/>
    <d v="2025-01-14T00:00:00"/>
    <x v="4"/>
    <s v="Матча латте"/>
    <x v="1"/>
    <n v="1"/>
    <n v="282"/>
    <s v="Максим П."/>
    <s v="Ирина Соколова"/>
  </r>
  <r>
    <x v="3"/>
    <s v="Москва"/>
    <d v="2025-03-11T00:00:00"/>
    <x v="6"/>
    <s v="Капучино"/>
    <x v="1"/>
    <n v="1"/>
    <n v="204"/>
    <s v="Максим П."/>
    <s v="Ирина Соколова"/>
  </r>
  <r>
    <x v="3"/>
    <s v="Москва"/>
    <d v="2025-03-27T00:00:00"/>
    <x v="6"/>
    <s v="Латте"/>
    <x v="1"/>
    <n v="2"/>
    <n v="488"/>
    <s v="Виктор Л."/>
    <s v="Ирина Соколова"/>
  </r>
  <r>
    <x v="3"/>
    <s v="Москва"/>
    <d v="2025-07-25T00:00:00"/>
    <x v="5"/>
    <s v="Латте"/>
    <x v="1"/>
    <n v="1"/>
    <n v="260"/>
    <s v="Виктор Л."/>
    <s v="Ирина Соколова"/>
  </r>
  <r>
    <x v="3"/>
    <s v="Москва"/>
    <d v="2025-06-06T00:00:00"/>
    <x v="7"/>
    <s v="Чизкейк"/>
    <x v="0"/>
    <n v="1"/>
    <n v="271"/>
    <s v="Анна К."/>
    <s v="Ирина Соколова"/>
  </r>
  <r>
    <x v="3"/>
    <s v="Москва"/>
    <d v="2025-04-09T00:00:00"/>
    <x v="11"/>
    <s v="Круассан"/>
    <x v="0"/>
    <n v="1"/>
    <n v="173"/>
    <s v="Наталья Р."/>
    <s v="Ирина Соколова"/>
  </r>
  <r>
    <x v="3"/>
    <s v="Москва"/>
    <d v="2025-08-13T00:00:00"/>
    <x v="9"/>
    <s v="Чизкейк"/>
    <x v="0"/>
    <n v="1"/>
    <n v="235"/>
    <s v="Анна К."/>
    <s v="Ирина Соколова"/>
  </r>
  <r>
    <x v="3"/>
    <s v="Москва"/>
    <d v="2025-11-08T00:00:00"/>
    <x v="8"/>
    <s v="Капучино"/>
    <x v="1"/>
    <n v="1"/>
    <n v="204"/>
    <s v="Игорь С."/>
    <s v="Ирина Соколова"/>
  </r>
  <r>
    <x v="3"/>
    <s v="Москва"/>
    <d v="2025-03-23T00:00:00"/>
    <x v="6"/>
    <s v="Раф"/>
    <x v="1"/>
    <n v="2"/>
    <n v="468"/>
    <s v="Елена В."/>
    <s v="Ирина Соколова"/>
  </r>
  <r>
    <x v="3"/>
    <s v="Москва"/>
    <d v="2025-12-15T00:00:00"/>
    <x v="0"/>
    <s v="Матча латте"/>
    <x v="1"/>
    <n v="1"/>
    <n v="293"/>
    <s v="Наталья Р."/>
    <s v="Ирина Соколова"/>
  </r>
  <r>
    <x v="3"/>
    <s v="Москва"/>
    <d v="2025-06-11T00:00:00"/>
    <x v="7"/>
    <s v="Круассан"/>
    <x v="0"/>
    <n v="1"/>
    <n v="186"/>
    <s v="Игорь С."/>
    <s v="Ирина Соколова"/>
  </r>
  <r>
    <x v="3"/>
    <s v="Москва"/>
    <d v="2025-02-22T00:00:00"/>
    <x v="2"/>
    <s v="Салат Цезарь"/>
    <x v="2"/>
    <n v="1"/>
    <n v="361"/>
    <s v="Виктор Л."/>
    <s v="Ирина Соколова"/>
  </r>
  <r>
    <x v="3"/>
    <s v="Москва"/>
    <d v="2025-03-24T00:00:00"/>
    <x v="6"/>
    <s v="Американо"/>
    <x v="1"/>
    <n v="2"/>
    <n v="366"/>
    <s v="Виктор Л."/>
    <s v="Ирина Соколова"/>
  </r>
  <r>
    <x v="3"/>
    <s v="Москва"/>
    <d v="2025-01-19T00:00:00"/>
    <x v="4"/>
    <s v="Раф"/>
    <x v="1"/>
    <n v="1"/>
    <n v="233"/>
    <s v="Виктор Л."/>
    <s v="Ирина Соколова"/>
  </r>
  <r>
    <x v="3"/>
    <s v="Москва"/>
    <d v="2025-07-15T00:00:00"/>
    <x v="5"/>
    <s v="Синнабон"/>
    <x v="0"/>
    <n v="2"/>
    <n v="418"/>
    <s v="Наталья Р."/>
    <s v="Ирина Соколова"/>
  </r>
  <r>
    <x v="3"/>
    <s v="Москва"/>
    <d v="2025-01-24T00:00:00"/>
    <x v="4"/>
    <s v="Синнабон"/>
    <x v="0"/>
    <n v="1"/>
    <n v="187"/>
    <s v="Игорь С."/>
    <s v="Ирина Соколова"/>
  </r>
  <r>
    <x v="3"/>
    <s v="Москва"/>
    <d v="2025-02-28T00:00:00"/>
    <x v="2"/>
    <s v="Чизкейк"/>
    <x v="0"/>
    <n v="2"/>
    <n v="472"/>
    <s v="Анна К."/>
    <s v="Ирина Соколова"/>
  </r>
  <r>
    <x v="3"/>
    <s v="Москва"/>
    <d v="2025-01-16T00:00:00"/>
    <x v="4"/>
    <s v="Чизкейк"/>
    <x v="0"/>
    <n v="3"/>
    <n v="795"/>
    <s v="Максим П."/>
    <s v="Ирина Соколова"/>
  </r>
  <r>
    <x v="3"/>
    <s v="Москва"/>
    <d v="2025-11-21T00:00:00"/>
    <x v="8"/>
    <s v="Раф"/>
    <x v="1"/>
    <n v="3"/>
    <n v="711"/>
    <s v="Елена В."/>
    <s v="Ирина Соколова"/>
  </r>
  <r>
    <x v="3"/>
    <s v="Москва"/>
    <d v="2025-11-08T00:00:00"/>
    <x v="8"/>
    <s v="Синнабон"/>
    <x v="0"/>
    <n v="3"/>
    <n v="666"/>
    <s v="Максим П."/>
    <s v="Ирина Соколова"/>
  </r>
  <r>
    <x v="3"/>
    <s v="Москва"/>
    <d v="2025-01-04T00:00:00"/>
    <x v="4"/>
    <s v="Латте"/>
    <x v="1"/>
    <n v="1"/>
    <n v="224"/>
    <s v="Елена В."/>
    <s v="Ирина Соколова"/>
  </r>
  <r>
    <x v="3"/>
    <s v="Москва"/>
    <d v="2025-03-27T00:00:00"/>
    <x v="6"/>
    <s v="Матча латте"/>
    <x v="1"/>
    <n v="1"/>
    <n v="298"/>
    <s v="Игорь С."/>
    <s v="Ирина Соколова"/>
  </r>
  <r>
    <x v="3"/>
    <s v="Москва"/>
    <d v="2025-01-18T00:00:00"/>
    <x v="4"/>
    <s v="Эспрессо"/>
    <x v="1"/>
    <n v="3"/>
    <n v="465"/>
    <s v="Елена В."/>
    <s v="Ирина Соколова"/>
  </r>
  <r>
    <x v="3"/>
    <s v="Москва"/>
    <d v="2025-01-03T00:00:00"/>
    <x v="4"/>
    <s v="Сэндвич"/>
    <x v="2"/>
    <n v="1"/>
    <n v="309"/>
    <s v="Анна К."/>
    <s v="Ирина Соколова"/>
  </r>
  <r>
    <x v="3"/>
    <s v="Москва"/>
    <d v="2025-08-20T00:00:00"/>
    <x v="9"/>
    <s v="Матча латте"/>
    <x v="1"/>
    <n v="2"/>
    <n v="522"/>
    <s v="Игорь С."/>
    <s v="Ирина Соколова"/>
  </r>
  <r>
    <x v="3"/>
    <s v="Москва"/>
    <d v="2025-05-04T00:00:00"/>
    <x v="10"/>
    <s v="Сэндвич"/>
    <x v="2"/>
    <n v="1"/>
    <n v="360"/>
    <s v="Виктор Л."/>
    <s v="Ирина Соколова"/>
  </r>
  <r>
    <x v="3"/>
    <s v="Москва"/>
    <d v="2025-12-11T00:00:00"/>
    <x v="0"/>
    <s v="Какао"/>
    <x v="1"/>
    <n v="3"/>
    <n v="687"/>
    <s v="Игорь С."/>
    <s v="Ирина Соколова"/>
  </r>
  <r>
    <x v="3"/>
    <s v="Москва"/>
    <d v="2025-09-05T00:00:00"/>
    <x v="1"/>
    <s v="Сэндвич"/>
    <x v="2"/>
    <n v="2"/>
    <n v="568"/>
    <s v="Анна К."/>
    <s v="Ирина Соколова"/>
  </r>
  <r>
    <x v="3"/>
    <s v="Москва"/>
    <d v="2025-02-07T00:00:00"/>
    <x v="2"/>
    <s v="Раф"/>
    <x v="1"/>
    <n v="1"/>
    <n v="281"/>
    <s v="Максим П."/>
    <s v="Ирина Соколова"/>
  </r>
  <r>
    <x v="3"/>
    <s v="Москва"/>
    <d v="2025-03-14T00:00:00"/>
    <x v="6"/>
    <s v="Круассан"/>
    <x v="0"/>
    <n v="1"/>
    <n v="177"/>
    <s v="Игорь С."/>
    <s v="Ирина Соколова"/>
  </r>
  <r>
    <x v="3"/>
    <s v="Москва"/>
    <d v="2025-08-02T00:00:00"/>
    <x v="9"/>
    <s v="Чизкейк"/>
    <x v="0"/>
    <n v="3"/>
    <n v="693"/>
    <s v="Максим П."/>
    <s v="Ирина Соколова"/>
  </r>
  <r>
    <x v="3"/>
    <s v="Москва"/>
    <d v="2025-12-20T00:00:00"/>
    <x v="0"/>
    <s v="Синнабон"/>
    <x v="0"/>
    <n v="3"/>
    <n v="681"/>
    <s v="Игорь С."/>
    <s v="Ирина Соколова"/>
  </r>
  <r>
    <x v="3"/>
    <s v="Москва"/>
    <d v="2025-11-22T00:00:00"/>
    <x v="8"/>
    <s v="Какао"/>
    <x v="1"/>
    <n v="2"/>
    <n v="400"/>
    <s v="Виктор Л."/>
    <s v="Ирина Соколова"/>
  </r>
  <r>
    <x v="3"/>
    <s v="Москва"/>
    <d v="2025-04-06T00:00:00"/>
    <x v="11"/>
    <s v="Круассан"/>
    <x v="0"/>
    <n v="2"/>
    <n v="362"/>
    <s v="Анна К."/>
    <s v="Ирина Соколова"/>
  </r>
  <r>
    <x v="3"/>
    <s v="Москва"/>
    <d v="2025-10-10T00:00:00"/>
    <x v="3"/>
    <s v="Круассан"/>
    <x v="0"/>
    <n v="3"/>
    <n v="582"/>
    <s v="Виктор Л."/>
    <s v="Ирина Соколова"/>
  </r>
  <r>
    <x v="3"/>
    <s v="Москва"/>
    <d v="2025-10-22T00:00:00"/>
    <x v="3"/>
    <s v="Эспрессо"/>
    <x v="1"/>
    <n v="2"/>
    <n v="280"/>
    <s v="Игорь С."/>
    <s v="Ирина Соколова"/>
  </r>
  <r>
    <x v="3"/>
    <s v="Москва"/>
    <d v="2025-02-18T00:00:00"/>
    <x v="2"/>
    <s v="Какао"/>
    <x v="1"/>
    <n v="3"/>
    <n v="639"/>
    <s v="Максим П."/>
    <s v="Ирина Соколова"/>
  </r>
  <r>
    <x v="3"/>
    <s v="Москва"/>
    <d v="2025-04-15T00:00:00"/>
    <x v="11"/>
    <s v="Сэндвич"/>
    <x v="2"/>
    <n v="2"/>
    <n v="598"/>
    <s v="Наталья Р."/>
    <s v="Ирина Соколова"/>
  </r>
  <r>
    <x v="3"/>
    <s v="Москва"/>
    <d v="2025-12-08T00:00:00"/>
    <x v="0"/>
    <s v="Чизкейк"/>
    <x v="0"/>
    <n v="1"/>
    <n v="244"/>
    <s v="Елена В."/>
    <s v="Ирина Соколова"/>
  </r>
  <r>
    <x v="3"/>
    <s v="Москва"/>
    <d v="2025-12-12T00:00:00"/>
    <x v="0"/>
    <s v="Матча латте"/>
    <x v="1"/>
    <n v="1"/>
    <n v="278"/>
    <s v="Наталья Р."/>
    <s v="Ирина Соколова"/>
  </r>
  <r>
    <x v="3"/>
    <s v="Москва"/>
    <d v="2025-10-03T00:00:00"/>
    <x v="3"/>
    <s v="Раф"/>
    <x v="1"/>
    <n v="2"/>
    <n v="462"/>
    <s v="Игорь С."/>
    <s v="Ирина Соколова"/>
  </r>
  <r>
    <x v="3"/>
    <s v="Москва"/>
    <d v="2025-10-19T00:00:00"/>
    <x v="3"/>
    <s v="Эспрессо"/>
    <x v="1"/>
    <n v="1"/>
    <n v="140"/>
    <s v="Виктор Л."/>
    <s v="Ирина Соколова"/>
  </r>
  <r>
    <x v="3"/>
    <s v="Москва"/>
    <d v="2025-10-20T00:00:00"/>
    <x v="3"/>
    <s v="Эспрессо"/>
    <x v="1"/>
    <n v="2"/>
    <n v="292"/>
    <s v="Виктор Л."/>
    <s v="Ирина Соколова"/>
  </r>
  <r>
    <x v="3"/>
    <s v="Москва"/>
    <d v="2025-12-09T00:00:00"/>
    <x v="0"/>
    <s v="Салат Цезарь"/>
    <x v="2"/>
    <n v="1"/>
    <n v="337"/>
    <s v="Наталья Р."/>
    <s v="Ирина Соколова"/>
  </r>
  <r>
    <x v="3"/>
    <s v="Москва"/>
    <d v="2025-07-10T00:00:00"/>
    <x v="5"/>
    <s v="Латте"/>
    <x v="1"/>
    <n v="2"/>
    <n v="510"/>
    <s v="Виктор Л."/>
    <s v="Ирина Соколова"/>
  </r>
  <r>
    <x v="3"/>
    <s v="Москва"/>
    <d v="2025-10-11T00:00:00"/>
    <x v="3"/>
    <s v="Капучино"/>
    <x v="1"/>
    <n v="1"/>
    <n v="225"/>
    <s v="Игорь С."/>
    <s v="Ирина Соколова"/>
  </r>
  <r>
    <x v="3"/>
    <s v="Москва"/>
    <d v="2025-03-11T00:00:00"/>
    <x v="6"/>
    <s v="Матча латте"/>
    <x v="1"/>
    <n v="2"/>
    <n v="630"/>
    <s v="Елена В."/>
    <s v="Ирина Соколова"/>
  </r>
  <r>
    <x v="3"/>
    <s v="Москва"/>
    <d v="2025-03-15T00:00:00"/>
    <x v="6"/>
    <s v="Американо"/>
    <x v="1"/>
    <n v="3"/>
    <n v="525"/>
    <s v="Елена В."/>
    <s v="Ирина Соколова"/>
  </r>
  <r>
    <x v="3"/>
    <s v="Москва"/>
    <d v="2025-12-28T00:00:00"/>
    <x v="0"/>
    <s v="Синнабон"/>
    <x v="0"/>
    <n v="3"/>
    <n v="690"/>
    <s v="Анна К."/>
    <s v="Ирина Соколова"/>
  </r>
  <r>
    <x v="3"/>
    <s v="Москва"/>
    <d v="2025-01-02T00:00:00"/>
    <x v="4"/>
    <s v="Какао"/>
    <x v="1"/>
    <n v="2"/>
    <n v="482"/>
    <s v="Виктор Л."/>
    <s v="Ирина Соколова"/>
  </r>
  <r>
    <x v="3"/>
    <s v="Москва"/>
    <d v="2025-10-13T00:00:00"/>
    <x v="3"/>
    <s v="Салат Цезарь"/>
    <x v="2"/>
    <n v="1"/>
    <n v="379"/>
    <s v="Максим П."/>
    <s v="Ирина Соколова"/>
  </r>
  <r>
    <x v="3"/>
    <s v="Москва"/>
    <d v="2025-03-18T00:00:00"/>
    <x v="6"/>
    <s v="Раф"/>
    <x v="1"/>
    <n v="2"/>
    <n v="562"/>
    <s v="Игорь С."/>
    <s v="Ирина Соколова"/>
  </r>
  <r>
    <x v="3"/>
    <s v="Москва"/>
    <d v="2025-09-10T00:00:00"/>
    <x v="1"/>
    <s v="Матча латте"/>
    <x v="1"/>
    <n v="3"/>
    <n v="846"/>
    <s v="Игорь С."/>
    <s v="Ирина Соколова"/>
  </r>
  <r>
    <x v="3"/>
    <s v="Москва"/>
    <d v="2025-09-01T00:00:00"/>
    <x v="1"/>
    <s v="Матча латте"/>
    <x v="1"/>
    <n v="2"/>
    <n v="530"/>
    <s v="Максим П."/>
    <s v="Ирина Соколова"/>
  </r>
  <r>
    <x v="3"/>
    <s v="Москва"/>
    <d v="2025-01-13T00:00:00"/>
    <x v="4"/>
    <s v="Какао"/>
    <x v="1"/>
    <n v="1"/>
    <n v="205"/>
    <s v="Анна К."/>
    <s v="Ирина Соколова"/>
  </r>
  <r>
    <x v="3"/>
    <s v="Москва"/>
    <d v="2025-05-15T00:00:00"/>
    <x v="10"/>
    <s v="Латте"/>
    <x v="1"/>
    <n v="3"/>
    <n v="756"/>
    <s v="Виктор Л."/>
    <s v="Ирина Соколова"/>
  </r>
  <r>
    <x v="3"/>
    <s v="Москва"/>
    <d v="2025-09-12T00:00:00"/>
    <x v="1"/>
    <s v="Круассан"/>
    <x v="0"/>
    <n v="3"/>
    <n v="579"/>
    <s v="Максим П."/>
    <s v="Ирина Соколова"/>
  </r>
  <r>
    <x v="3"/>
    <s v="Москва"/>
    <d v="2025-10-20T00:00:00"/>
    <x v="3"/>
    <s v="Американо"/>
    <x v="1"/>
    <n v="1"/>
    <n v="187"/>
    <s v="Виктор Л."/>
    <s v="Ирина Соколова"/>
  </r>
  <r>
    <x v="3"/>
    <s v="Москва"/>
    <d v="2025-04-25T00:00:00"/>
    <x v="11"/>
    <s v="Чизкейк"/>
    <x v="0"/>
    <n v="1"/>
    <n v="259"/>
    <s v="Игорь С."/>
    <s v="Ирина Соколова"/>
  </r>
  <r>
    <x v="3"/>
    <s v="Москва"/>
    <d v="2025-02-18T00:00:00"/>
    <x v="2"/>
    <s v="Капучино"/>
    <x v="1"/>
    <n v="3"/>
    <n v="696"/>
    <s v="Елена В."/>
    <s v="Ирина Соколова"/>
  </r>
  <r>
    <x v="3"/>
    <s v="Москва"/>
    <d v="2025-12-27T00:00:00"/>
    <x v="0"/>
    <s v="Раф"/>
    <x v="1"/>
    <n v="1"/>
    <n v="262"/>
    <s v="Виктор Л."/>
    <s v="Ирина Соколова"/>
  </r>
  <r>
    <x v="3"/>
    <s v="Москва"/>
    <d v="2025-12-24T00:00:00"/>
    <x v="0"/>
    <s v="Капучино"/>
    <x v="1"/>
    <n v="1"/>
    <n v="213"/>
    <s v="Елена В."/>
    <s v="Ирина Соколова"/>
  </r>
  <r>
    <x v="3"/>
    <s v="Москва"/>
    <d v="2025-09-25T00:00:00"/>
    <x v="1"/>
    <s v="Латте"/>
    <x v="1"/>
    <n v="2"/>
    <n v="494"/>
    <s v="Елена В."/>
    <s v="Ирина Соколова"/>
  </r>
  <r>
    <x v="3"/>
    <s v="Москва"/>
    <d v="2025-09-03T00:00:00"/>
    <x v="1"/>
    <s v="Латте"/>
    <x v="1"/>
    <n v="3"/>
    <n v="681"/>
    <s v="Игорь С."/>
    <s v="Ирина Соколова"/>
  </r>
  <r>
    <x v="3"/>
    <s v="Москва"/>
    <d v="2025-10-04T00:00:00"/>
    <x v="3"/>
    <s v="Синнабон"/>
    <x v="0"/>
    <n v="1"/>
    <n v="193"/>
    <s v="Игорь С."/>
    <s v="Ирина Соколова"/>
  </r>
  <r>
    <x v="3"/>
    <s v="Москва"/>
    <d v="2025-12-12T00:00:00"/>
    <x v="0"/>
    <s v="Раф"/>
    <x v="1"/>
    <n v="2"/>
    <n v="470"/>
    <s v="Игорь С."/>
    <s v="Ирина Соколова"/>
  </r>
  <r>
    <x v="3"/>
    <s v="Москва"/>
    <d v="2025-09-03T00:00:00"/>
    <x v="1"/>
    <s v="Американо"/>
    <x v="1"/>
    <n v="3"/>
    <n v="519"/>
    <s v="Виктор Л."/>
    <s v="Ирина Соколова"/>
  </r>
  <r>
    <x v="3"/>
    <s v="Москва"/>
    <d v="2025-03-23T00:00:00"/>
    <x v="6"/>
    <s v="Раф"/>
    <x v="1"/>
    <n v="1"/>
    <n v="255"/>
    <s v="Максим П."/>
    <s v="Ирина Соколова"/>
  </r>
  <r>
    <x v="3"/>
    <s v="Москва"/>
    <d v="2025-03-28T00:00:00"/>
    <x v="6"/>
    <s v="Синнабон"/>
    <x v="0"/>
    <n v="3"/>
    <n v="558"/>
    <s v="Наталья Р."/>
    <s v="Ирина Соколова"/>
  </r>
  <r>
    <x v="3"/>
    <s v="Москва"/>
    <d v="2025-01-20T00:00:00"/>
    <x v="4"/>
    <s v="Латте"/>
    <x v="1"/>
    <n v="1"/>
    <n v="204"/>
    <s v="Анна К."/>
    <s v="Ирина Соколова"/>
  </r>
  <r>
    <x v="3"/>
    <s v="Москва"/>
    <d v="2025-07-11T00:00:00"/>
    <x v="5"/>
    <s v="Сэндвич"/>
    <x v="2"/>
    <n v="3"/>
    <n v="1077"/>
    <s v="Виктор Л."/>
    <s v="Ирина Соколова"/>
  </r>
  <r>
    <x v="3"/>
    <s v="Москва"/>
    <d v="2025-02-10T00:00:00"/>
    <x v="2"/>
    <s v="Латте"/>
    <x v="1"/>
    <n v="1"/>
    <n v="223"/>
    <s v="Максим П."/>
    <s v="Ирина Соколова"/>
  </r>
  <r>
    <x v="3"/>
    <s v="Москва"/>
    <d v="2025-08-14T00:00:00"/>
    <x v="9"/>
    <s v="Какао"/>
    <x v="1"/>
    <n v="2"/>
    <n v="456"/>
    <s v="Максим П."/>
    <s v="Ирина Соколова"/>
  </r>
  <r>
    <x v="3"/>
    <s v="Москва"/>
    <d v="2025-03-20T00:00:00"/>
    <x v="6"/>
    <s v="Раф"/>
    <x v="1"/>
    <n v="1"/>
    <n v="247"/>
    <s v="Виктор Л."/>
    <s v="Ирина Соколова"/>
  </r>
  <r>
    <x v="3"/>
    <s v="Москва"/>
    <d v="2025-02-21T00:00:00"/>
    <x v="2"/>
    <s v="Латте"/>
    <x v="1"/>
    <n v="1"/>
    <n v="222"/>
    <s v="Наталья Р."/>
    <s v="Ирина Соколова"/>
  </r>
  <r>
    <x v="3"/>
    <s v="Москва"/>
    <d v="2025-06-05T00:00:00"/>
    <x v="7"/>
    <s v="Капучино"/>
    <x v="1"/>
    <n v="1"/>
    <n v="235"/>
    <s v="Наталья Р."/>
    <s v="Ирина Соколова"/>
  </r>
  <r>
    <x v="3"/>
    <s v="Москва"/>
    <d v="2025-04-04T00:00:00"/>
    <x v="11"/>
    <s v="Сэндвич"/>
    <x v="2"/>
    <n v="1"/>
    <n v="334"/>
    <s v="Наталья Р."/>
    <s v="Ирина Соколова"/>
  </r>
  <r>
    <x v="3"/>
    <s v="Москва"/>
    <d v="2025-08-10T00:00:00"/>
    <x v="9"/>
    <s v="Матча латте"/>
    <x v="1"/>
    <n v="1"/>
    <n v="291"/>
    <s v="Максим П."/>
    <s v="Ирина Соколова"/>
  </r>
  <r>
    <x v="3"/>
    <s v="Москва"/>
    <d v="2025-06-10T00:00:00"/>
    <x v="7"/>
    <s v="Раф"/>
    <x v="1"/>
    <n v="3"/>
    <n v="834"/>
    <s v="Елена В."/>
    <s v="Ирина Соколова"/>
  </r>
  <r>
    <x v="3"/>
    <s v="Москва"/>
    <d v="2025-09-03T00:00:00"/>
    <x v="1"/>
    <s v="Сэндвич"/>
    <x v="2"/>
    <n v="2"/>
    <n v="676"/>
    <s v="Анна К."/>
    <s v="Ирина Соколова"/>
  </r>
  <r>
    <x v="3"/>
    <s v="Москва"/>
    <d v="2025-04-23T00:00:00"/>
    <x v="11"/>
    <s v="Раф"/>
    <x v="1"/>
    <n v="2"/>
    <n v="572"/>
    <s v="Игорь С."/>
    <s v="Ирина Соколова"/>
  </r>
  <r>
    <x v="3"/>
    <s v="Москва"/>
    <d v="2025-11-23T00:00:00"/>
    <x v="8"/>
    <s v="Латте"/>
    <x v="1"/>
    <n v="2"/>
    <n v="442"/>
    <s v="Игорь С."/>
    <s v="Ирина Соколова"/>
  </r>
  <r>
    <x v="3"/>
    <s v="Москва"/>
    <d v="2025-06-13T00:00:00"/>
    <x v="7"/>
    <s v="Капучино"/>
    <x v="1"/>
    <n v="2"/>
    <n v="468"/>
    <s v="Игорь С."/>
    <s v="Ирина Соколова"/>
  </r>
  <r>
    <x v="3"/>
    <s v="Москва"/>
    <d v="2025-05-05T00:00:00"/>
    <x v="10"/>
    <s v="Сэндвич"/>
    <x v="2"/>
    <n v="2"/>
    <n v="588"/>
    <s v="Анна К."/>
    <s v="Ирина Соколова"/>
  </r>
  <r>
    <x v="3"/>
    <s v="Москва"/>
    <d v="2025-03-27T00:00:00"/>
    <x v="6"/>
    <s v="Капучино"/>
    <x v="1"/>
    <n v="1"/>
    <n v="192"/>
    <s v="Анна К."/>
    <s v="Ирина Соколова"/>
  </r>
  <r>
    <x v="3"/>
    <s v="Москва"/>
    <d v="2025-08-13T00:00:00"/>
    <x v="9"/>
    <s v="Матча латте"/>
    <x v="1"/>
    <n v="1"/>
    <n v="281"/>
    <s v="Игорь С."/>
    <s v="Ирина Соколова"/>
  </r>
  <r>
    <x v="3"/>
    <s v="Москва"/>
    <d v="2025-11-15T00:00:00"/>
    <x v="8"/>
    <s v="Американо"/>
    <x v="1"/>
    <n v="2"/>
    <n v="342"/>
    <s v="Наталья Р."/>
    <s v="Ирина Соколова"/>
  </r>
  <r>
    <x v="3"/>
    <s v="Москва"/>
    <d v="2025-11-26T00:00:00"/>
    <x v="8"/>
    <s v="Чизкейк"/>
    <x v="0"/>
    <n v="2"/>
    <n v="526"/>
    <s v="Елена В."/>
    <s v="Ирина Соколова"/>
  </r>
  <r>
    <x v="3"/>
    <s v="Москва"/>
    <d v="2025-10-25T00:00:00"/>
    <x v="3"/>
    <s v="Чизкейк"/>
    <x v="0"/>
    <n v="1"/>
    <n v="263"/>
    <s v="Виктор Л."/>
    <s v="Ирина Соколова"/>
  </r>
  <r>
    <x v="3"/>
    <s v="Москва"/>
    <d v="2025-04-19T00:00:00"/>
    <x v="11"/>
    <s v="Эспрессо"/>
    <x v="1"/>
    <n v="3"/>
    <n v="468"/>
    <s v="Анна К."/>
    <s v="Ирина Соколова"/>
  </r>
  <r>
    <x v="3"/>
    <s v="Москва"/>
    <d v="2025-07-03T00:00:00"/>
    <x v="5"/>
    <s v="Эспрессо"/>
    <x v="1"/>
    <n v="1"/>
    <n v="130"/>
    <s v="Наталья Р."/>
    <s v="Ирина Соколова"/>
  </r>
  <r>
    <x v="3"/>
    <s v="Москва"/>
    <d v="2025-09-28T00:00:00"/>
    <x v="1"/>
    <s v="Эспрессо"/>
    <x v="1"/>
    <n v="1"/>
    <n v="128"/>
    <s v="Анна К."/>
    <s v="Ирина Соколова"/>
  </r>
  <r>
    <x v="3"/>
    <s v="Москва"/>
    <d v="2025-01-27T00:00:00"/>
    <x v="4"/>
    <s v="Капучино"/>
    <x v="1"/>
    <n v="3"/>
    <n v="642"/>
    <s v="Анна К."/>
    <s v="Ирина Соколова"/>
  </r>
  <r>
    <x v="3"/>
    <s v="Москва"/>
    <d v="2025-07-02T00:00:00"/>
    <x v="5"/>
    <s v="Синнабон"/>
    <x v="0"/>
    <n v="2"/>
    <n v="380"/>
    <s v="Максим П."/>
    <s v="Ирина Соколова"/>
  </r>
  <r>
    <x v="3"/>
    <s v="Москва"/>
    <d v="2025-01-17T00:00:00"/>
    <x v="4"/>
    <s v="Американо"/>
    <x v="1"/>
    <n v="2"/>
    <n v="388"/>
    <s v="Анна К."/>
    <s v="Ирина Соколова"/>
  </r>
  <r>
    <x v="3"/>
    <s v="Москва"/>
    <d v="2025-12-28T00:00:00"/>
    <x v="0"/>
    <s v="Эспрессо"/>
    <x v="1"/>
    <n v="1"/>
    <n v="139"/>
    <s v="Виктор Л."/>
    <s v="Ирина Соколова"/>
  </r>
  <r>
    <x v="3"/>
    <s v="Москва"/>
    <d v="2025-08-17T00:00:00"/>
    <x v="9"/>
    <s v="Чизкейк"/>
    <x v="0"/>
    <n v="3"/>
    <n v="828"/>
    <s v="Анна К."/>
    <s v="Ирина Соколова"/>
  </r>
  <r>
    <x v="3"/>
    <s v="Москва"/>
    <d v="2025-12-08T00:00:00"/>
    <x v="0"/>
    <s v="Синнабон"/>
    <x v="0"/>
    <n v="1"/>
    <n v="229"/>
    <s v="Елена В."/>
    <s v="Ирина Соколова"/>
  </r>
  <r>
    <x v="3"/>
    <s v="Москва"/>
    <d v="2025-01-02T00:00:00"/>
    <x v="4"/>
    <s v="Латте"/>
    <x v="1"/>
    <n v="2"/>
    <n v="454"/>
    <s v="Анна К."/>
    <s v="Ирина Соколова"/>
  </r>
  <r>
    <x v="3"/>
    <s v="Москва"/>
    <d v="2025-04-26T00:00:00"/>
    <x v="11"/>
    <s v="Капучино"/>
    <x v="1"/>
    <n v="3"/>
    <n v="654"/>
    <s v="Максим П."/>
    <s v="Ирина Соколова"/>
  </r>
  <r>
    <x v="3"/>
    <s v="Москва"/>
    <d v="2025-05-03T00:00:00"/>
    <x v="10"/>
    <s v="Чизкейк"/>
    <x v="0"/>
    <n v="1"/>
    <n v="259"/>
    <s v="Максим П."/>
    <s v="Ирина Соколова"/>
  </r>
  <r>
    <x v="3"/>
    <s v="Москва"/>
    <d v="2025-10-01T00:00:00"/>
    <x v="3"/>
    <s v="Салат Цезарь"/>
    <x v="2"/>
    <n v="3"/>
    <n v="1245"/>
    <s v="Наталья Р."/>
    <s v="Ирина Соколова"/>
  </r>
  <r>
    <x v="3"/>
    <s v="Москва"/>
    <d v="2025-05-15T00:00:00"/>
    <x v="10"/>
    <s v="Сэндвич"/>
    <x v="2"/>
    <n v="2"/>
    <n v="624"/>
    <s v="Елена В."/>
    <s v="Ирина Соколова"/>
  </r>
  <r>
    <x v="3"/>
    <s v="Москва"/>
    <d v="2025-02-14T00:00:00"/>
    <x v="2"/>
    <s v="Раф"/>
    <x v="1"/>
    <n v="1"/>
    <n v="243"/>
    <s v="Наталья Р."/>
    <s v="Ирина Соколова"/>
  </r>
  <r>
    <x v="3"/>
    <s v="Москва"/>
    <d v="2025-01-22T00:00:00"/>
    <x v="4"/>
    <s v="Раф"/>
    <x v="1"/>
    <n v="3"/>
    <n v="867"/>
    <s v="Виктор Л."/>
    <s v="Ирина Соколова"/>
  </r>
  <r>
    <x v="3"/>
    <s v="Москва"/>
    <d v="2025-11-28T00:00:00"/>
    <x v="8"/>
    <s v="Эспрессо"/>
    <x v="1"/>
    <n v="3"/>
    <n v="474"/>
    <s v="Анна К."/>
    <s v="Ирина Соколова"/>
  </r>
  <r>
    <x v="3"/>
    <s v="Москва"/>
    <d v="2025-05-28T00:00:00"/>
    <x v="10"/>
    <s v="Латте"/>
    <x v="1"/>
    <n v="3"/>
    <n v="735"/>
    <s v="Анна К."/>
    <s v="Ирина Соколова"/>
  </r>
  <r>
    <x v="3"/>
    <s v="Москва"/>
    <d v="2025-12-25T00:00:00"/>
    <x v="0"/>
    <s v="Круассан"/>
    <x v="0"/>
    <n v="1"/>
    <n v="190"/>
    <s v="Елена В."/>
    <s v="Ирина Соколова"/>
  </r>
  <r>
    <x v="3"/>
    <s v="Москва"/>
    <d v="2025-02-24T00:00:00"/>
    <x v="2"/>
    <s v="Чизкейк"/>
    <x v="0"/>
    <n v="3"/>
    <n v="798"/>
    <s v="Виктор Л."/>
    <s v="Ирина Соколова"/>
  </r>
  <r>
    <x v="3"/>
    <s v="Москва"/>
    <d v="2025-04-27T00:00:00"/>
    <x v="11"/>
    <s v="Раф"/>
    <x v="1"/>
    <n v="3"/>
    <n v="747"/>
    <s v="Наталья Р."/>
    <s v="Ирина Соколова"/>
  </r>
  <r>
    <x v="3"/>
    <s v="Москва"/>
    <d v="2025-03-18T00:00:00"/>
    <x v="6"/>
    <s v="Раф"/>
    <x v="1"/>
    <n v="1"/>
    <n v="250"/>
    <s v="Анна К."/>
    <s v="Ирина Соколова"/>
  </r>
  <r>
    <x v="3"/>
    <s v="Москва"/>
    <d v="2025-10-25T00:00:00"/>
    <x v="3"/>
    <s v="Матча латте"/>
    <x v="1"/>
    <n v="2"/>
    <n v="582"/>
    <s v="Максим П."/>
    <s v="Ирина Соколова"/>
  </r>
  <r>
    <x v="3"/>
    <s v="Москва"/>
    <d v="2025-05-21T00:00:00"/>
    <x v="10"/>
    <s v="Чизкейк"/>
    <x v="0"/>
    <n v="2"/>
    <n v="480"/>
    <s v="Виктор Л."/>
    <s v="Ирина Соколова"/>
  </r>
  <r>
    <x v="3"/>
    <s v="Москва"/>
    <d v="2025-06-12T00:00:00"/>
    <x v="7"/>
    <s v="Круассан"/>
    <x v="0"/>
    <n v="1"/>
    <n v="166"/>
    <s v="Наталья Р."/>
    <s v="Ирина Соколова"/>
  </r>
  <r>
    <x v="3"/>
    <s v="Москва"/>
    <d v="2025-09-04T00:00:00"/>
    <x v="1"/>
    <s v="Сэндвич"/>
    <x v="2"/>
    <n v="1"/>
    <n v="314"/>
    <s v="Елена В."/>
    <s v="Ирина Соколова"/>
  </r>
  <r>
    <x v="3"/>
    <s v="Москва"/>
    <d v="2025-02-22T00:00:00"/>
    <x v="2"/>
    <s v="Эспрессо"/>
    <x v="1"/>
    <n v="3"/>
    <n v="405"/>
    <s v="Анна К."/>
    <s v="Ирина Соколова"/>
  </r>
  <r>
    <x v="3"/>
    <s v="Москва"/>
    <d v="2025-06-18T00:00:00"/>
    <x v="7"/>
    <s v="Капучино"/>
    <x v="1"/>
    <n v="2"/>
    <n v="430"/>
    <s v="Елена В."/>
    <s v="Ирина Соколова"/>
  </r>
  <r>
    <x v="3"/>
    <s v="Москва"/>
    <d v="2025-12-03T00:00:00"/>
    <x v="0"/>
    <s v="Американо"/>
    <x v="1"/>
    <n v="3"/>
    <n v="477"/>
    <s v="Виктор Л."/>
    <s v="Ирина Соколова"/>
  </r>
  <r>
    <x v="3"/>
    <s v="Москва"/>
    <d v="2025-06-12T00:00:00"/>
    <x v="7"/>
    <s v="Капучино"/>
    <x v="1"/>
    <n v="1"/>
    <n v="180"/>
    <s v="Максим П."/>
    <s v="Ирина Соколова"/>
  </r>
  <r>
    <x v="3"/>
    <s v="Москва"/>
    <d v="2025-11-16T00:00:00"/>
    <x v="8"/>
    <s v="Салат Цезарь"/>
    <x v="2"/>
    <n v="1"/>
    <n v="413"/>
    <s v="Максим П."/>
    <s v="Ирина Соколова"/>
  </r>
  <r>
    <x v="3"/>
    <s v="Москва"/>
    <d v="2025-12-05T00:00:00"/>
    <x v="0"/>
    <s v="Капучино"/>
    <x v="1"/>
    <n v="1"/>
    <n v="217"/>
    <s v="Виктор Л."/>
    <s v="Ирина Соколова"/>
  </r>
  <r>
    <x v="3"/>
    <s v="Москва"/>
    <d v="2025-09-09T00:00:00"/>
    <x v="1"/>
    <s v="Какао"/>
    <x v="1"/>
    <n v="1"/>
    <n v="236"/>
    <s v="Максим П."/>
    <s v="Ирина Соколова"/>
  </r>
  <r>
    <x v="3"/>
    <s v="Москва"/>
    <d v="2025-08-25T00:00:00"/>
    <x v="9"/>
    <s v="Американо"/>
    <x v="1"/>
    <n v="1"/>
    <n v="189"/>
    <s v="Наталья Р."/>
    <s v="Ирина Соколова"/>
  </r>
  <r>
    <x v="3"/>
    <s v="Москва"/>
    <d v="2025-01-25T00:00:00"/>
    <x v="4"/>
    <s v="Капучино"/>
    <x v="1"/>
    <n v="3"/>
    <n v="582"/>
    <s v="Елена В."/>
    <s v="Ирина Соколова"/>
  </r>
  <r>
    <x v="3"/>
    <s v="Москва"/>
    <d v="2025-10-20T00:00:00"/>
    <x v="3"/>
    <s v="Чизкейк"/>
    <x v="0"/>
    <n v="3"/>
    <n v="798"/>
    <s v="Игорь С."/>
    <s v="Ирина Соколова"/>
  </r>
  <r>
    <x v="3"/>
    <s v="Москва"/>
    <d v="2025-09-23T00:00:00"/>
    <x v="1"/>
    <s v="Салат Цезарь"/>
    <x v="2"/>
    <n v="2"/>
    <n v="712"/>
    <s v="Игорь С."/>
    <s v="Ирина Соколова"/>
  </r>
  <r>
    <x v="3"/>
    <s v="Москва"/>
    <d v="2025-11-02T00:00:00"/>
    <x v="8"/>
    <s v="Американо"/>
    <x v="1"/>
    <n v="3"/>
    <n v="489"/>
    <s v="Анна К."/>
    <s v="Ирина Соколова"/>
  </r>
  <r>
    <x v="3"/>
    <s v="Москва"/>
    <d v="2025-01-19T00:00:00"/>
    <x v="4"/>
    <s v="Эспрессо"/>
    <x v="1"/>
    <n v="1"/>
    <n v="135"/>
    <s v="Анна К."/>
    <s v="Ирина Соколова"/>
  </r>
  <r>
    <x v="3"/>
    <s v="Москва"/>
    <d v="2025-11-09T00:00:00"/>
    <x v="8"/>
    <s v="Раф"/>
    <x v="1"/>
    <n v="2"/>
    <n v="548"/>
    <s v="Максим П."/>
    <s v="Ирина Соколова"/>
  </r>
  <r>
    <x v="3"/>
    <s v="Москва"/>
    <d v="2025-05-08T00:00:00"/>
    <x v="10"/>
    <s v="Какао"/>
    <x v="1"/>
    <n v="2"/>
    <n v="402"/>
    <s v="Игорь С."/>
    <s v="Ирина Соколова"/>
  </r>
  <r>
    <x v="3"/>
    <s v="Москва"/>
    <d v="2025-10-03T00:00:00"/>
    <x v="3"/>
    <s v="Матча латте"/>
    <x v="1"/>
    <n v="2"/>
    <n v="562"/>
    <s v="Игорь С."/>
    <s v="Ирина Соколова"/>
  </r>
  <r>
    <x v="3"/>
    <s v="Москва"/>
    <d v="2025-01-07T00:00:00"/>
    <x v="4"/>
    <s v="Латте"/>
    <x v="1"/>
    <n v="1"/>
    <n v="212"/>
    <s v="Наталья Р."/>
    <s v="Ирина Соколова"/>
  </r>
  <r>
    <x v="3"/>
    <s v="Москва"/>
    <d v="2025-05-08T00:00:00"/>
    <x v="10"/>
    <s v="Латте"/>
    <x v="1"/>
    <n v="1"/>
    <n v="248"/>
    <s v="Виктор Л."/>
    <s v="Ирина Соколова"/>
  </r>
  <r>
    <x v="3"/>
    <s v="Москва"/>
    <d v="2025-08-20T00:00:00"/>
    <x v="9"/>
    <s v="Салат Цезарь"/>
    <x v="2"/>
    <n v="1"/>
    <n v="391"/>
    <s v="Елена В."/>
    <s v="Ирина Соколова"/>
  </r>
  <r>
    <x v="3"/>
    <s v="Москва"/>
    <d v="2025-10-27T00:00:00"/>
    <x v="3"/>
    <s v="Матча латте"/>
    <x v="1"/>
    <n v="2"/>
    <n v="500"/>
    <s v="Анна К."/>
    <s v="Ирина Соколова"/>
  </r>
  <r>
    <x v="3"/>
    <s v="Москва"/>
    <d v="2025-06-04T00:00:00"/>
    <x v="7"/>
    <s v="Салат Цезарь"/>
    <x v="2"/>
    <n v="2"/>
    <n v="804"/>
    <s v="Виктор Л."/>
    <s v="Ирина Соколова"/>
  </r>
  <r>
    <x v="3"/>
    <s v="Москва"/>
    <d v="2025-12-19T00:00:00"/>
    <x v="0"/>
    <s v="Матча латте"/>
    <x v="1"/>
    <n v="1"/>
    <n v="293"/>
    <s v="Максим П."/>
    <s v="Ирина Соколова"/>
  </r>
  <r>
    <x v="3"/>
    <s v="Москва"/>
    <d v="2025-05-01T00:00:00"/>
    <x v="10"/>
    <s v="Сэндвич"/>
    <x v="2"/>
    <n v="2"/>
    <n v="630"/>
    <s v="Наталья Р."/>
    <s v="Ирина Соколова"/>
  </r>
  <r>
    <x v="3"/>
    <s v="Москва"/>
    <d v="2025-04-08T00:00:00"/>
    <x v="11"/>
    <s v="Сэндвич"/>
    <x v="2"/>
    <n v="1"/>
    <n v="300"/>
    <s v="Максим П."/>
    <s v="Ирина Соколова"/>
  </r>
  <r>
    <x v="3"/>
    <s v="Москва"/>
    <d v="2025-03-09T00:00:00"/>
    <x v="6"/>
    <s v="Круассан"/>
    <x v="0"/>
    <n v="1"/>
    <n v="179"/>
    <s v="Максим П."/>
    <s v="Ирина Соколова"/>
  </r>
  <r>
    <x v="3"/>
    <s v="Москва"/>
    <d v="2025-04-28T00:00:00"/>
    <x v="11"/>
    <s v="Салат Цезарь"/>
    <x v="2"/>
    <n v="1"/>
    <n v="424"/>
    <s v="Игорь С."/>
    <s v="Ирина Соколова"/>
  </r>
  <r>
    <x v="3"/>
    <s v="Москва"/>
    <d v="2025-02-10T00:00:00"/>
    <x v="2"/>
    <s v="Чизкейк"/>
    <x v="0"/>
    <n v="1"/>
    <n v="237"/>
    <s v="Наталья Р."/>
    <s v="Ирина Соколова"/>
  </r>
  <r>
    <x v="3"/>
    <s v="Москва"/>
    <d v="2025-01-06T00:00:00"/>
    <x v="4"/>
    <s v="Круассан"/>
    <x v="0"/>
    <n v="2"/>
    <n v="386"/>
    <s v="Анна К."/>
    <s v="Ирина Соколова"/>
  </r>
  <r>
    <x v="3"/>
    <s v="Москва"/>
    <d v="2025-09-16T00:00:00"/>
    <x v="1"/>
    <s v="Капучино"/>
    <x v="1"/>
    <n v="3"/>
    <n v="573"/>
    <s v="Наталья Р."/>
    <s v="Ирина Соколова"/>
  </r>
  <r>
    <x v="3"/>
    <s v="Москва"/>
    <d v="2025-05-26T00:00:00"/>
    <x v="10"/>
    <s v="Какао"/>
    <x v="1"/>
    <n v="2"/>
    <n v="474"/>
    <s v="Виктор Л."/>
    <s v="Ирина Соколова"/>
  </r>
  <r>
    <x v="3"/>
    <s v="Москва"/>
    <d v="2025-03-16T00:00:00"/>
    <x v="6"/>
    <s v="Круассан"/>
    <x v="0"/>
    <n v="1"/>
    <n v="171"/>
    <s v="Максим П."/>
    <s v="Ирина Соколова"/>
  </r>
  <r>
    <x v="3"/>
    <s v="Москва"/>
    <d v="2025-01-16T00:00:00"/>
    <x v="4"/>
    <s v="Эспрессо"/>
    <x v="1"/>
    <n v="1"/>
    <n v="146"/>
    <s v="Игорь С."/>
    <s v="Ирина Соколова"/>
  </r>
  <r>
    <x v="3"/>
    <s v="Москва"/>
    <d v="2025-12-20T00:00:00"/>
    <x v="0"/>
    <s v="Капучино"/>
    <x v="1"/>
    <n v="3"/>
    <n v="618"/>
    <s v="Анна К."/>
    <s v="Ирина Соколова"/>
  </r>
  <r>
    <x v="3"/>
    <s v="Москва"/>
    <d v="2025-12-13T00:00:00"/>
    <x v="0"/>
    <s v="Синнабон"/>
    <x v="0"/>
    <n v="3"/>
    <n v="594"/>
    <s v="Максим П."/>
    <s v="Ирина Соколова"/>
  </r>
  <r>
    <x v="3"/>
    <s v="Москва"/>
    <d v="2025-04-14T00:00:00"/>
    <x v="11"/>
    <s v="Латте"/>
    <x v="1"/>
    <n v="1"/>
    <n v="200"/>
    <s v="Игорь С."/>
    <s v="Ирина Соколова"/>
  </r>
  <r>
    <x v="3"/>
    <s v="Москва"/>
    <d v="2025-02-18T00:00:00"/>
    <x v="2"/>
    <s v="Чизкейк"/>
    <x v="0"/>
    <n v="3"/>
    <n v="741"/>
    <s v="Не указан"/>
    <s v="Ирина Соколова"/>
  </r>
  <r>
    <x v="3"/>
    <s v="Москва"/>
    <d v="2025-06-04T00:00:00"/>
    <x v="7"/>
    <s v="Круассан"/>
    <x v="0"/>
    <n v="1"/>
    <n v="183"/>
    <s v="Виктор Л."/>
    <s v="Ирина Соколова"/>
  </r>
  <r>
    <x v="3"/>
    <s v="Москва"/>
    <d v="2025-08-14T00:00:00"/>
    <x v="9"/>
    <s v="Круассан"/>
    <x v="0"/>
    <n v="1"/>
    <n v="161"/>
    <s v="Анна К."/>
    <s v="Ирина Соколова"/>
  </r>
  <r>
    <x v="3"/>
    <s v="Москва"/>
    <d v="2025-07-07T00:00:00"/>
    <x v="5"/>
    <s v="Синнабон"/>
    <x v="0"/>
    <n v="1"/>
    <n v="185"/>
    <s v="Елена В."/>
    <s v="Ирина Соколова"/>
  </r>
  <r>
    <x v="3"/>
    <s v="Москва"/>
    <d v="2025-08-15T00:00:00"/>
    <x v="9"/>
    <s v="Эспрессо"/>
    <x v="1"/>
    <n v="1"/>
    <n v="156"/>
    <s v="Игорь С."/>
    <s v="Ирина Соколова"/>
  </r>
  <r>
    <x v="3"/>
    <s v="Москва"/>
    <d v="2025-04-01T00:00:00"/>
    <x v="11"/>
    <s v="Американо"/>
    <x v="1"/>
    <n v="1"/>
    <n v="180"/>
    <s v="Наталья Р."/>
    <s v="Ирина Соколова"/>
  </r>
  <r>
    <x v="3"/>
    <s v="Москва"/>
    <d v="2025-12-25T00:00:00"/>
    <x v="0"/>
    <s v="Латте"/>
    <x v="1"/>
    <n v="3"/>
    <n v="609"/>
    <s v="Анна К."/>
    <s v="Ирина Соколова"/>
  </r>
  <r>
    <x v="3"/>
    <s v="Москва"/>
    <d v="2025-05-10T00:00:00"/>
    <x v="10"/>
    <s v="Капучино"/>
    <x v="1"/>
    <n v="2"/>
    <n v="474"/>
    <s v="Виктор Л."/>
    <s v="Ирина Соколова"/>
  </r>
  <r>
    <x v="3"/>
    <s v="Москва"/>
    <d v="2025-09-11T00:00:00"/>
    <x v="1"/>
    <s v="Капучино"/>
    <x v="1"/>
    <n v="1"/>
    <n v="214"/>
    <s v="Виктор Л."/>
    <s v="Ирина Соколова"/>
  </r>
  <r>
    <x v="3"/>
    <s v="Москва"/>
    <d v="2025-11-23T00:00:00"/>
    <x v="8"/>
    <s v="Салат Цезарь"/>
    <x v="2"/>
    <n v="1"/>
    <n v="423"/>
    <s v="Игорь С."/>
    <s v="Ирина Соколова"/>
  </r>
  <r>
    <x v="3"/>
    <s v="Москва"/>
    <d v="2025-08-14T00:00:00"/>
    <x v="9"/>
    <s v="Чизкейк"/>
    <x v="0"/>
    <n v="1"/>
    <n v="273"/>
    <s v="Анна К."/>
    <s v="Ирина Соколова"/>
  </r>
  <r>
    <x v="3"/>
    <s v="Москва"/>
    <d v="2025-07-20T00:00:00"/>
    <x v="5"/>
    <s v="Сэндвич"/>
    <x v="2"/>
    <n v="2"/>
    <n v="684"/>
    <s v="Игорь С."/>
    <s v="Ирина Соколова"/>
  </r>
  <r>
    <x v="3"/>
    <s v="Москва"/>
    <d v="2025-06-07T00:00:00"/>
    <x v="7"/>
    <s v="Латте"/>
    <x v="1"/>
    <n v="2"/>
    <n v="464"/>
    <s v="Максим П."/>
    <s v="Ирина Соколова"/>
  </r>
  <r>
    <x v="3"/>
    <s v="Москва"/>
    <d v="2025-06-09T00:00:00"/>
    <x v="7"/>
    <s v="Матча латте"/>
    <x v="1"/>
    <n v="1"/>
    <n v="267"/>
    <s v="Анна К."/>
    <s v="Ирина Соколова"/>
  </r>
  <r>
    <x v="3"/>
    <s v="Москва"/>
    <d v="2025-06-27T00:00:00"/>
    <x v="7"/>
    <s v="Эспрессо"/>
    <x v="1"/>
    <n v="2"/>
    <n v="266"/>
    <s v="Максим П."/>
    <s v="Ирина Соколова"/>
  </r>
  <r>
    <x v="3"/>
    <s v="Москва"/>
    <d v="2025-03-11T00:00:00"/>
    <x v="6"/>
    <s v="Чизкейк"/>
    <x v="0"/>
    <n v="2"/>
    <n v="516"/>
    <s v="Игорь С."/>
    <s v="Ирина Соколова"/>
  </r>
  <r>
    <x v="3"/>
    <s v="Москва"/>
    <d v="2025-03-24T00:00:00"/>
    <x v="6"/>
    <s v="Латте"/>
    <x v="1"/>
    <n v="2"/>
    <n v="402"/>
    <s v="Наталья Р."/>
    <s v="Ирина Соколова"/>
  </r>
  <r>
    <x v="3"/>
    <s v="Москва"/>
    <d v="2025-01-09T00:00:00"/>
    <x v="4"/>
    <s v="Американо"/>
    <x v="1"/>
    <n v="2"/>
    <n v="312"/>
    <s v="Игорь С."/>
    <s v="Ирина Соколова"/>
  </r>
  <r>
    <x v="3"/>
    <s v="Москва"/>
    <d v="2025-12-17T00:00:00"/>
    <x v="0"/>
    <s v="Эспрессо"/>
    <x v="1"/>
    <n v="1"/>
    <n v="159"/>
    <s v="Елена В."/>
    <s v="Ирина Соколова"/>
  </r>
  <r>
    <x v="3"/>
    <s v="Москва"/>
    <d v="2025-11-26T00:00:00"/>
    <x v="8"/>
    <s v="Латте"/>
    <x v="1"/>
    <n v="2"/>
    <n v="456"/>
    <s v="Анна К."/>
    <s v="Ирина Соколова"/>
  </r>
  <r>
    <x v="3"/>
    <s v="Москва"/>
    <d v="2025-11-03T00:00:00"/>
    <x v="8"/>
    <s v="Какао"/>
    <x v="1"/>
    <n v="2"/>
    <n v="430"/>
    <s v="Игорь С."/>
    <s v="Ирина Соколова"/>
  </r>
  <r>
    <x v="3"/>
    <s v="Москва"/>
    <d v="2025-04-02T00:00:00"/>
    <x v="11"/>
    <s v="Синнабон"/>
    <x v="0"/>
    <n v="3"/>
    <n v="684"/>
    <s v="Максим П."/>
    <s v="Ирина Соколова"/>
  </r>
  <r>
    <x v="3"/>
    <s v="Москва"/>
    <d v="2025-04-05T00:00:00"/>
    <x v="11"/>
    <s v="Эспрессо"/>
    <x v="1"/>
    <n v="2"/>
    <n v="310"/>
    <s v="Игорь С."/>
    <s v="Ирина Соколова"/>
  </r>
  <r>
    <x v="3"/>
    <s v="Москва"/>
    <d v="2025-09-22T00:00:00"/>
    <x v="1"/>
    <s v="Сэндвич"/>
    <x v="2"/>
    <n v="1"/>
    <n v="289"/>
    <s v="Виктор Л."/>
    <s v="Ирина Соколова"/>
  </r>
  <r>
    <x v="3"/>
    <s v="Москва"/>
    <d v="2025-08-08T00:00:00"/>
    <x v="9"/>
    <s v="Круассан"/>
    <x v="0"/>
    <n v="1"/>
    <n v="194"/>
    <s v="Елена В."/>
    <s v="Ирина Соколова"/>
  </r>
  <r>
    <x v="3"/>
    <s v="Москва"/>
    <d v="2025-08-26T00:00:00"/>
    <x v="9"/>
    <s v="Сэндвич"/>
    <x v="2"/>
    <n v="2"/>
    <n v="572"/>
    <s v="Виктор Л."/>
    <s v="Ирина Соколова"/>
  </r>
  <r>
    <x v="3"/>
    <s v="Москва"/>
    <d v="2025-12-17T00:00:00"/>
    <x v="0"/>
    <s v="Эспрессо"/>
    <x v="1"/>
    <n v="1"/>
    <n v="128"/>
    <s v="Елена В."/>
    <s v="Ирина Соколова"/>
  </r>
  <r>
    <x v="3"/>
    <s v="Москва"/>
    <d v="2025-01-13T00:00:00"/>
    <x v="4"/>
    <s v="Синнабон"/>
    <x v="0"/>
    <n v="2"/>
    <n v="444"/>
    <s v="Елена В."/>
    <s v="Ирина Соколова"/>
  </r>
  <r>
    <x v="3"/>
    <s v="Москва"/>
    <d v="2025-07-07T00:00:00"/>
    <x v="5"/>
    <s v="Латте"/>
    <x v="1"/>
    <n v="2"/>
    <n v="464"/>
    <s v="Елена В."/>
    <s v="Ирина Соколова"/>
  </r>
  <r>
    <x v="3"/>
    <s v="Москва"/>
    <d v="2025-08-04T00:00:00"/>
    <x v="9"/>
    <s v="Матча латте"/>
    <x v="1"/>
    <n v="1"/>
    <n v="287"/>
    <s v="Наталья Р."/>
    <s v="Ирина Соколова"/>
  </r>
  <r>
    <x v="3"/>
    <s v="Москва"/>
    <d v="2025-02-02T00:00:00"/>
    <x v="2"/>
    <s v="Латте"/>
    <x v="1"/>
    <n v="2"/>
    <n v="510"/>
    <s v="Игорь С."/>
    <s v="Ирина Соколова"/>
  </r>
  <r>
    <x v="3"/>
    <s v="Москва"/>
    <d v="2025-04-27T00:00:00"/>
    <x v="11"/>
    <s v="Сэндвич"/>
    <x v="2"/>
    <n v="1"/>
    <n v="314"/>
    <s v="Максим П."/>
    <s v="Ирина Соколова"/>
  </r>
  <r>
    <x v="3"/>
    <s v="Москва"/>
    <d v="2025-08-26T00:00:00"/>
    <x v="9"/>
    <s v="Латте"/>
    <x v="1"/>
    <n v="1"/>
    <n v="254"/>
    <s v="Анна К."/>
    <s v="Ирина Соколова"/>
  </r>
  <r>
    <x v="3"/>
    <s v="Москва"/>
    <d v="2025-08-27T00:00:00"/>
    <x v="9"/>
    <s v="Американо"/>
    <x v="1"/>
    <n v="3"/>
    <n v="567"/>
    <s v="Виктор Л."/>
    <s v="Ирина Соколова"/>
  </r>
  <r>
    <x v="3"/>
    <s v="Москва"/>
    <d v="2025-03-20T00:00:00"/>
    <x v="6"/>
    <s v="Американо"/>
    <x v="1"/>
    <n v="2"/>
    <n v="306"/>
    <s v="Наталья Р."/>
    <s v="Ирина Соколова"/>
  </r>
  <r>
    <x v="3"/>
    <s v="Москва"/>
    <d v="2025-01-14T00:00:00"/>
    <x v="4"/>
    <s v="Раф"/>
    <x v="1"/>
    <n v="2"/>
    <n v="496"/>
    <s v="Виктор Л."/>
    <s v="Ирина Соколова"/>
  </r>
  <r>
    <x v="3"/>
    <s v="Москва"/>
    <d v="2025-01-09T00:00:00"/>
    <x v="4"/>
    <s v="Латте"/>
    <x v="1"/>
    <n v="2"/>
    <n v="430"/>
    <s v="Виктор Л."/>
    <s v="Ирина Соколова"/>
  </r>
  <r>
    <x v="3"/>
    <s v="Москва"/>
    <d v="2025-07-26T00:00:00"/>
    <x v="5"/>
    <s v="Капучино"/>
    <x v="1"/>
    <n v="2"/>
    <n v="372"/>
    <s v="Елена В."/>
    <s v="Ирина Соколова"/>
  </r>
  <r>
    <x v="3"/>
    <s v="Москва"/>
    <d v="2025-11-16T00:00:00"/>
    <x v="8"/>
    <s v="Сэндвич"/>
    <x v="2"/>
    <n v="2"/>
    <n v="694"/>
    <s v="Максим П."/>
    <s v="Ирина Соколова"/>
  </r>
  <r>
    <x v="3"/>
    <s v="Москва"/>
    <d v="2025-12-12T00:00:00"/>
    <x v="0"/>
    <s v="Чизкейк"/>
    <x v="0"/>
    <n v="2"/>
    <n v="446"/>
    <s v="Виктор Л."/>
    <s v="Ирина Соколова"/>
  </r>
  <r>
    <x v="3"/>
    <s v="Москва"/>
    <d v="2025-09-14T00:00:00"/>
    <x v="1"/>
    <s v="Салат Цезарь"/>
    <x v="2"/>
    <n v="2"/>
    <n v="804"/>
    <s v="Анна К."/>
    <s v="Ирина Соколова"/>
  </r>
  <r>
    <x v="3"/>
    <s v="Москва"/>
    <d v="2025-12-21T00:00:00"/>
    <x v="0"/>
    <s v="Синнабон"/>
    <x v="0"/>
    <n v="3"/>
    <n v="588"/>
    <s v="Виктор Л."/>
    <s v="Ирина Соколова"/>
  </r>
  <r>
    <x v="3"/>
    <s v="Москва"/>
    <d v="2025-01-09T00:00:00"/>
    <x v="4"/>
    <s v="Капучино"/>
    <x v="1"/>
    <n v="1"/>
    <n v="205"/>
    <s v="Анна К."/>
    <s v="Ирина Соколова"/>
  </r>
  <r>
    <x v="3"/>
    <s v="Москва"/>
    <d v="2025-06-11T00:00:00"/>
    <x v="7"/>
    <s v="Какао"/>
    <x v="1"/>
    <n v="3"/>
    <n v="603"/>
    <s v="Игорь С."/>
    <s v="Ирина Соколова"/>
  </r>
  <r>
    <x v="3"/>
    <s v="Москва"/>
    <d v="2025-05-17T00:00:00"/>
    <x v="10"/>
    <s v="Латте"/>
    <x v="1"/>
    <n v="2"/>
    <n v="412"/>
    <s v="Игорь С."/>
    <s v="Ирина Соколова"/>
  </r>
  <r>
    <x v="3"/>
    <s v="Москва"/>
    <d v="2025-10-20T00:00:00"/>
    <x v="3"/>
    <s v="Капучино"/>
    <x v="1"/>
    <n v="1"/>
    <n v="211"/>
    <s v="Виктор Л."/>
    <s v="Ирина Соколова"/>
  </r>
  <r>
    <x v="3"/>
    <s v="Москва"/>
    <d v="2025-06-01T00:00:00"/>
    <x v="7"/>
    <s v="Сэндвич"/>
    <x v="2"/>
    <n v="3"/>
    <n v="1068"/>
    <s v="Анна К."/>
    <s v="Ирина Соколова"/>
  </r>
  <r>
    <x v="3"/>
    <s v="Москва"/>
    <d v="2025-06-18T00:00:00"/>
    <x v="7"/>
    <s v="Синнабон"/>
    <x v="0"/>
    <n v="3"/>
    <n v="666"/>
    <s v="Виктор Л."/>
    <s v="Ирина Соколова"/>
  </r>
  <r>
    <x v="3"/>
    <s v="Москва"/>
    <d v="2025-04-05T00:00:00"/>
    <x v="11"/>
    <s v="Синнабон"/>
    <x v="0"/>
    <n v="2"/>
    <n v="464"/>
    <s v="Анна К."/>
    <s v="Ирина Соколова"/>
  </r>
  <r>
    <x v="3"/>
    <s v="Москва"/>
    <d v="2025-12-16T00:00:00"/>
    <x v="0"/>
    <s v="Латте"/>
    <x v="1"/>
    <n v="3"/>
    <n v="744"/>
    <s v="Максим П."/>
    <s v="Ирина Соколова"/>
  </r>
  <r>
    <x v="3"/>
    <s v="Москва"/>
    <d v="2025-11-18T00:00:00"/>
    <x v="8"/>
    <s v="Сэндвич"/>
    <x v="2"/>
    <n v="1"/>
    <n v="280"/>
    <s v="Максим П."/>
    <s v="Ирина Соколова"/>
  </r>
  <r>
    <x v="3"/>
    <s v="Москва"/>
    <d v="2025-07-03T00:00:00"/>
    <x v="5"/>
    <s v="Какао"/>
    <x v="1"/>
    <n v="1"/>
    <n v="224"/>
    <s v="Елена В."/>
    <s v="Ирина Соколова"/>
  </r>
  <r>
    <x v="3"/>
    <s v="Москва"/>
    <d v="2025-05-12T00:00:00"/>
    <x v="10"/>
    <s v="Американо"/>
    <x v="1"/>
    <n v="1"/>
    <n v="173"/>
    <s v="Наталья Р."/>
    <s v="Ирина Соколова"/>
  </r>
  <r>
    <x v="3"/>
    <s v="Москва"/>
    <d v="2025-01-07T00:00:00"/>
    <x v="4"/>
    <s v="Чизкейк"/>
    <x v="0"/>
    <n v="2"/>
    <n v="494"/>
    <s v="Наталья Р."/>
    <s v="Ирина Соколова"/>
  </r>
  <r>
    <x v="3"/>
    <s v="Москва"/>
    <d v="2025-04-03T00:00:00"/>
    <x v="11"/>
    <s v="Чизкейк"/>
    <x v="0"/>
    <n v="1"/>
    <n v="249"/>
    <s v="Елена В."/>
    <s v="Ирина Соколова"/>
  </r>
  <r>
    <x v="3"/>
    <s v="Москва"/>
    <d v="2025-09-21T00:00:00"/>
    <x v="1"/>
    <s v="Латте"/>
    <x v="1"/>
    <n v="1"/>
    <n v="220"/>
    <s v="Анна К."/>
    <s v="Ирина Соколова"/>
  </r>
  <r>
    <x v="3"/>
    <s v="Москва"/>
    <d v="2025-05-09T00:00:00"/>
    <x v="10"/>
    <s v="Латте"/>
    <x v="1"/>
    <n v="2"/>
    <n v="500"/>
    <s v="Елена В."/>
    <s v="Ирина Соколова"/>
  </r>
  <r>
    <x v="3"/>
    <s v="Москва"/>
    <d v="2025-09-26T00:00:00"/>
    <x v="1"/>
    <s v="Чизкейк"/>
    <x v="0"/>
    <n v="2"/>
    <n v="504"/>
    <s v="Наталья Р."/>
    <s v="Ирина Соколова"/>
  </r>
  <r>
    <x v="3"/>
    <s v="Москва"/>
    <d v="2025-02-05T00:00:00"/>
    <x v="2"/>
    <s v="Латте"/>
    <x v="1"/>
    <n v="3"/>
    <n v="771"/>
    <s v="Наталья Р."/>
    <s v="Ирина Соколова"/>
  </r>
  <r>
    <x v="3"/>
    <s v="Москва"/>
    <d v="2025-08-22T00:00:00"/>
    <x v="9"/>
    <s v="Чизкейк"/>
    <x v="0"/>
    <n v="1"/>
    <n v="261"/>
    <s v="Игорь С."/>
    <s v="Ирина Соколова"/>
  </r>
  <r>
    <x v="3"/>
    <s v="Москва"/>
    <d v="2025-03-28T00:00:00"/>
    <x v="6"/>
    <s v="Сэндвич"/>
    <x v="2"/>
    <n v="2"/>
    <n v="594"/>
    <s v="Игорь С."/>
    <s v="Ирина Соколова"/>
  </r>
  <r>
    <x v="3"/>
    <s v="Москва"/>
    <d v="2025-03-10T00:00:00"/>
    <x v="6"/>
    <s v="Круассан"/>
    <x v="0"/>
    <n v="1"/>
    <n v="182"/>
    <s v="Игорь С."/>
    <s v="Ирина Соколова"/>
  </r>
  <r>
    <x v="3"/>
    <s v="Москва"/>
    <d v="2025-11-11T00:00:00"/>
    <x v="8"/>
    <s v="Чизкейк"/>
    <x v="0"/>
    <n v="1"/>
    <n v="230"/>
    <s v="Наталья Р."/>
    <s v="Ирина Соколова"/>
  </r>
  <r>
    <x v="3"/>
    <s v="Москва"/>
    <d v="2025-11-22T00:00:00"/>
    <x v="8"/>
    <s v="Раф"/>
    <x v="1"/>
    <n v="1"/>
    <n v="266"/>
    <s v="Наталья Р."/>
    <s v="Ирина Соколова"/>
  </r>
  <r>
    <x v="3"/>
    <s v="Москва"/>
    <d v="2025-02-04T00:00:00"/>
    <x v="2"/>
    <s v="Латте"/>
    <x v="1"/>
    <n v="1"/>
    <n v="216"/>
    <s v="Анна К."/>
    <s v="Ирина Соколова"/>
  </r>
  <r>
    <x v="3"/>
    <s v="Москва"/>
    <d v="2025-05-23T00:00:00"/>
    <x v="10"/>
    <s v="Какао"/>
    <x v="1"/>
    <n v="1"/>
    <n v="197"/>
    <s v="Елена В."/>
    <s v="Ирина Соколова"/>
  </r>
  <r>
    <x v="3"/>
    <s v="Москва"/>
    <d v="2025-08-14T00:00:00"/>
    <x v="9"/>
    <s v="Салат Цезарь"/>
    <x v="2"/>
    <n v="2"/>
    <n v="680"/>
    <s v="Елена В."/>
    <s v="Ирина Соколова"/>
  </r>
  <r>
    <x v="3"/>
    <s v="Москва"/>
    <d v="2025-04-25T00:00:00"/>
    <x v="11"/>
    <s v="Матча латте"/>
    <x v="1"/>
    <n v="1"/>
    <n v="315"/>
    <s v="Наталья Р."/>
    <s v="Ирина Соколова"/>
  </r>
  <r>
    <x v="3"/>
    <s v="Москва"/>
    <d v="2025-10-01T00:00:00"/>
    <x v="3"/>
    <s v="Круассан"/>
    <x v="0"/>
    <n v="1"/>
    <n v="194"/>
    <s v="Анна К."/>
    <s v="Ирина Соколова"/>
  </r>
  <r>
    <x v="3"/>
    <s v="Москва"/>
    <d v="2025-10-05T00:00:00"/>
    <x v="3"/>
    <s v="Капучино"/>
    <x v="1"/>
    <n v="1"/>
    <n v="213"/>
    <s v="Елена В."/>
    <s v="Ирина Соколова"/>
  </r>
  <r>
    <x v="3"/>
    <s v="Москва"/>
    <d v="2025-10-20T00:00:00"/>
    <x v="3"/>
    <s v="Круассан"/>
    <x v="0"/>
    <n v="1"/>
    <n v="181"/>
    <s v="Максим П."/>
    <s v="Ирина Соколова"/>
  </r>
  <r>
    <x v="3"/>
    <s v="Москва"/>
    <d v="2025-01-25T00:00:00"/>
    <x v="4"/>
    <s v="Салат Цезарь"/>
    <x v="2"/>
    <n v="2"/>
    <n v="686"/>
    <s v="Наталья Р."/>
    <s v="Ирина Соколова"/>
  </r>
  <r>
    <x v="3"/>
    <s v="Москва"/>
    <d v="2025-10-17T00:00:00"/>
    <x v="3"/>
    <s v="Эспрессо"/>
    <x v="1"/>
    <n v="1"/>
    <n v="151"/>
    <s v="Игорь С."/>
    <s v="Ирина Соколова"/>
  </r>
  <r>
    <x v="3"/>
    <s v="Москва"/>
    <d v="2025-11-07T00:00:00"/>
    <x v="8"/>
    <s v="Сэндвич"/>
    <x v="2"/>
    <n v="1"/>
    <n v="341"/>
    <s v="Не указан"/>
    <s v="Ирина Соколова"/>
  </r>
  <r>
    <x v="3"/>
    <s v="Москва"/>
    <d v="2025-10-08T00:00:00"/>
    <x v="3"/>
    <s v="Американо"/>
    <x v="1"/>
    <n v="1"/>
    <n v="190"/>
    <s v="Елена В."/>
    <s v="Ирина Соколова"/>
  </r>
  <r>
    <x v="3"/>
    <s v="Москва"/>
    <d v="2025-05-19T00:00:00"/>
    <x v="10"/>
    <s v="Эспрессо"/>
    <x v="1"/>
    <n v="2"/>
    <n v="292"/>
    <s v="Виктор Л."/>
    <s v="Ирина Соколова"/>
  </r>
  <r>
    <x v="3"/>
    <s v="Москва"/>
    <d v="2025-02-20T00:00:00"/>
    <x v="2"/>
    <s v="Капучино"/>
    <x v="1"/>
    <n v="1"/>
    <n v="210"/>
    <s v="Анна К."/>
    <s v="Ирина Соколова"/>
  </r>
  <r>
    <x v="3"/>
    <s v="Москва"/>
    <d v="2025-12-02T00:00:00"/>
    <x v="0"/>
    <s v="Матча латте"/>
    <x v="1"/>
    <n v="1"/>
    <n v="297"/>
    <s v="Наталья Р."/>
    <s v="Ирина Соколова"/>
  </r>
  <r>
    <x v="3"/>
    <s v="Москва"/>
    <d v="2025-05-25T00:00:00"/>
    <x v="10"/>
    <s v="Синнабон"/>
    <x v="0"/>
    <n v="1"/>
    <n v="228"/>
    <s v="Виктор Л."/>
    <s v="Ирина Соколова"/>
  </r>
  <r>
    <x v="3"/>
    <s v="Москва"/>
    <d v="2025-09-21T00:00:00"/>
    <x v="1"/>
    <s v="Сэндвич"/>
    <x v="2"/>
    <n v="2"/>
    <n v="682"/>
    <s v="Максим П."/>
    <s v="Ирина Соколова"/>
  </r>
  <r>
    <x v="3"/>
    <s v="Москва"/>
    <d v="2025-01-12T00:00:00"/>
    <x v="4"/>
    <s v="Матча латте"/>
    <x v="1"/>
    <n v="1"/>
    <n v="292"/>
    <s v="Максим П."/>
    <s v="Ирина Соколова"/>
  </r>
  <r>
    <x v="3"/>
    <s v="Москва"/>
    <d v="2025-06-12T00:00:00"/>
    <x v="7"/>
    <s v="Латте"/>
    <x v="1"/>
    <n v="3"/>
    <n v="741"/>
    <s v="Максим П."/>
    <s v="Ирина Соколова"/>
  </r>
  <r>
    <x v="3"/>
    <s v="Москва"/>
    <d v="2025-09-25T00:00:00"/>
    <x v="1"/>
    <s v="Чизкейк"/>
    <x v="0"/>
    <n v="1"/>
    <n v="236"/>
    <s v="Елена В."/>
    <s v="Ирина Соколова"/>
  </r>
  <r>
    <x v="3"/>
    <s v="Москва"/>
    <d v="2025-08-02T00:00:00"/>
    <x v="9"/>
    <s v="Синнабон"/>
    <x v="0"/>
    <n v="1"/>
    <n v="201"/>
    <s v="Виктор Л."/>
    <s v="Ирина Соколова"/>
  </r>
  <r>
    <x v="3"/>
    <s v="Москва"/>
    <d v="2025-02-13T00:00:00"/>
    <x v="2"/>
    <s v="Синнабон"/>
    <x v="0"/>
    <n v="2"/>
    <n v="384"/>
    <s v="Наталья Р."/>
    <s v="Ирина Соколова"/>
  </r>
  <r>
    <x v="3"/>
    <s v="Москва"/>
    <d v="2025-06-05T00:00:00"/>
    <x v="7"/>
    <s v="Сэндвич"/>
    <x v="2"/>
    <n v="1"/>
    <n v="327"/>
    <s v="Виктор Л."/>
    <s v="Ирина Соколова"/>
  </r>
  <r>
    <x v="3"/>
    <s v="Москва"/>
    <d v="2025-07-06T00:00:00"/>
    <x v="5"/>
    <s v="Круассан"/>
    <x v="0"/>
    <n v="3"/>
    <n v="561"/>
    <s v="Максим П."/>
    <s v="Ирина Соколова"/>
  </r>
  <r>
    <x v="3"/>
    <s v="Москва"/>
    <d v="2025-11-21T00:00:00"/>
    <x v="8"/>
    <s v="Сэндвич"/>
    <x v="2"/>
    <n v="2"/>
    <n v="682"/>
    <s v="Максим П."/>
    <s v="Ирина Соколова"/>
  </r>
  <r>
    <x v="3"/>
    <s v="Москва"/>
    <d v="2025-06-21T00:00:00"/>
    <x v="7"/>
    <s v="Синнабон"/>
    <x v="0"/>
    <n v="2"/>
    <n v="456"/>
    <s v="Наталья Р."/>
    <s v="Ирина Соколова"/>
  </r>
  <r>
    <x v="3"/>
    <s v="Москва"/>
    <d v="2025-01-02T00:00:00"/>
    <x v="4"/>
    <s v="Капучино"/>
    <x v="1"/>
    <n v="3"/>
    <n v="600"/>
    <s v="Анна К."/>
    <s v="Ирина Соколова"/>
  </r>
  <r>
    <x v="3"/>
    <s v="Москва"/>
    <d v="2025-04-09T00:00:00"/>
    <x v="11"/>
    <s v="Салат Цезарь"/>
    <x v="2"/>
    <n v="1"/>
    <n v="412"/>
    <s v="Анна К."/>
    <s v="Ирина Соколова"/>
  </r>
  <r>
    <x v="3"/>
    <s v="Москва"/>
    <d v="2025-04-04T00:00:00"/>
    <x v="11"/>
    <s v="Латте"/>
    <x v="1"/>
    <n v="1"/>
    <n v="253"/>
    <s v="Игорь С."/>
    <s v="Ирина Соколова"/>
  </r>
  <r>
    <x v="3"/>
    <s v="Москва"/>
    <d v="2025-09-10T00:00:00"/>
    <x v="1"/>
    <s v="Синнабон"/>
    <x v="0"/>
    <n v="1"/>
    <n v="189"/>
    <s v="Игорь С."/>
    <s v="Ирина Соколова"/>
  </r>
  <r>
    <x v="3"/>
    <s v="Москва"/>
    <d v="2025-10-15T00:00:00"/>
    <x v="3"/>
    <s v="Салат Цезарь"/>
    <x v="2"/>
    <n v="1"/>
    <n v="355"/>
    <s v="Игорь С."/>
    <s v="Ирина Соколова"/>
  </r>
  <r>
    <x v="3"/>
    <s v="Москва"/>
    <d v="2025-04-10T00:00:00"/>
    <x v="11"/>
    <s v="Матча латте"/>
    <x v="1"/>
    <n v="2"/>
    <n v="616"/>
    <s v="Виктор Л."/>
    <s v="Ирина Соколова"/>
  </r>
  <r>
    <x v="3"/>
    <s v="Москва"/>
    <d v="2025-04-19T00:00:00"/>
    <x v="11"/>
    <s v="Круассан"/>
    <x v="0"/>
    <n v="1"/>
    <n v="160"/>
    <s v="Елена В."/>
    <s v="Ирина Соколова"/>
  </r>
  <r>
    <x v="3"/>
    <s v="Москва"/>
    <d v="2025-03-18T00:00:00"/>
    <x v="6"/>
    <s v="Чизкейк"/>
    <x v="0"/>
    <n v="3"/>
    <n v="801"/>
    <s v="Наталья Р."/>
    <s v="Ирина Соколова"/>
  </r>
  <r>
    <x v="3"/>
    <s v="Москва"/>
    <d v="2025-12-07T00:00:00"/>
    <x v="0"/>
    <s v="Матча латте"/>
    <x v="1"/>
    <n v="1"/>
    <n v="280"/>
    <s v="Виктор Л."/>
    <s v="Ирина Соколова"/>
  </r>
  <r>
    <x v="3"/>
    <s v="Москва"/>
    <d v="2025-07-10T00:00:00"/>
    <x v="5"/>
    <s v="Матча латте"/>
    <x v="1"/>
    <n v="1"/>
    <n v="292"/>
    <s v="Виктор Л."/>
    <s v="Ирина Соколова"/>
  </r>
  <r>
    <x v="3"/>
    <s v="Москва"/>
    <d v="2025-05-04T00:00:00"/>
    <x v="10"/>
    <s v="Раф"/>
    <x v="1"/>
    <n v="2"/>
    <n v="474"/>
    <s v="Максим П."/>
    <s v="Ирина Соколова"/>
  </r>
  <r>
    <x v="3"/>
    <s v="Москва"/>
    <d v="2025-12-18T00:00:00"/>
    <x v="0"/>
    <s v="Какао"/>
    <x v="1"/>
    <n v="2"/>
    <n v="438"/>
    <s v="Игорь С."/>
    <s v="Ирина Соколова"/>
  </r>
  <r>
    <x v="3"/>
    <s v="Москва"/>
    <d v="2025-11-25T00:00:00"/>
    <x v="8"/>
    <s v="Матча латте"/>
    <x v="1"/>
    <n v="1"/>
    <n v="252"/>
    <s v="Анна К."/>
    <s v="Ирина Соколова"/>
  </r>
  <r>
    <x v="3"/>
    <s v="Москва"/>
    <d v="2025-09-10T00:00:00"/>
    <x v="1"/>
    <s v="Капучино"/>
    <x v="1"/>
    <n v="3"/>
    <n v="576"/>
    <s v="Елена В."/>
    <s v="Ирина Соколова"/>
  </r>
  <r>
    <x v="3"/>
    <s v="Москва"/>
    <d v="2025-12-09T00:00:00"/>
    <x v="0"/>
    <s v="Эспрессо"/>
    <x v="1"/>
    <n v="2"/>
    <n v="278"/>
    <s v="Анна К."/>
    <s v="Ирина Соколова"/>
  </r>
  <r>
    <x v="3"/>
    <s v="Москва"/>
    <d v="2025-04-12T00:00:00"/>
    <x v="11"/>
    <s v="Эспрессо"/>
    <x v="1"/>
    <n v="1"/>
    <n v="134"/>
    <s v="Максим П."/>
    <s v="Ирина Соколова"/>
  </r>
  <r>
    <x v="3"/>
    <s v="Москва"/>
    <d v="2025-04-27T00:00:00"/>
    <x v="11"/>
    <s v="Салат Цезарь"/>
    <x v="2"/>
    <n v="1"/>
    <n v="388"/>
    <s v="Игорь С."/>
    <s v="Ирина Соколова"/>
  </r>
  <r>
    <x v="3"/>
    <s v="Москва"/>
    <d v="2025-02-02T00:00:00"/>
    <x v="2"/>
    <s v="Американо"/>
    <x v="1"/>
    <n v="2"/>
    <n v="322"/>
    <s v="Анна К."/>
    <s v="Ирина Соколова"/>
  </r>
  <r>
    <x v="3"/>
    <s v="Москва"/>
    <d v="2025-04-24T00:00:00"/>
    <x v="11"/>
    <s v="Эспрессо"/>
    <x v="1"/>
    <n v="1"/>
    <n v="127"/>
    <s v="Наталья Р."/>
    <s v="Ирина Соколова"/>
  </r>
  <r>
    <x v="3"/>
    <s v="Москва"/>
    <d v="2025-05-04T00:00:00"/>
    <x v="10"/>
    <s v="Капучино"/>
    <x v="1"/>
    <n v="1"/>
    <n v="214"/>
    <s v="Игорь С."/>
    <s v="Ирина Соколова"/>
  </r>
  <r>
    <x v="3"/>
    <s v="Москва"/>
    <d v="2025-02-15T00:00:00"/>
    <x v="2"/>
    <s v="Сэндвич"/>
    <x v="2"/>
    <n v="1"/>
    <n v="339"/>
    <s v="Игорь С."/>
    <s v="Ирина Соколова"/>
  </r>
  <r>
    <x v="3"/>
    <s v="Москва"/>
    <d v="2025-08-04T00:00:00"/>
    <x v="9"/>
    <s v="Эспрессо"/>
    <x v="1"/>
    <n v="1"/>
    <n v="140"/>
    <s v="Виктор Л."/>
    <s v="Ирина Соколова"/>
  </r>
  <r>
    <x v="3"/>
    <s v="Москва"/>
    <d v="2025-12-23T00:00:00"/>
    <x v="0"/>
    <s v="Какао"/>
    <x v="1"/>
    <n v="2"/>
    <n v="430"/>
    <s v="Игорь С."/>
    <s v="Ирина Соколова"/>
  </r>
  <r>
    <x v="3"/>
    <s v="Москва"/>
    <d v="2025-04-05T00:00:00"/>
    <x v="11"/>
    <s v="Капучино"/>
    <x v="1"/>
    <n v="3"/>
    <n v="642"/>
    <s v="Елена В."/>
    <s v="Ирина Соколова"/>
  </r>
  <r>
    <x v="3"/>
    <s v="Москва"/>
    <d v="2025-12-20T00:00:00"/>
    <x v="0"/>
    <s v="Эспрессо"/>
    <x v="1"/>
    <n v="1"/>
    <n v="126"/>
    <s v="Анна К."/>
    <s v="Ирина Соколова"/>
  </r>
  <r>
    <x v="3"/>
    <s v="Москва"/>
    <d v="2025-11-23T00:00:00"/>
    <x v="8"/>
    <s v="Латте"/>
    <x v="1"/>
    <n v="3"/>
    <n v="639"/>
    <s v="Наталья Р."/>
    <s v="Ирина Соколова"/>
  </r>
  <r>
    <x v="3"/>
    <s v="Москва"/>
    <d v="2025-11-02T00:00:00"/>
    <x v="8"/>
    <s v="Эспрессо"/>
    <x v="1"/>
    <n v="2"/>
    <n v="248"/>
    <s v="Игорь С."/>
    <s v="Ирина Соколова"/>
  </r>
  <r>
    <x v="3"/>
    <s v="Москва"/>
    <d v="2025-08-19T00:00:00"/>
    <x v="9"/>
    <s v="Американо"/>
    <x v="1"/>
    <n v="1"/>
    <n v="150"/>
    <s v="Виктор Л."/>
    <s v="Ирина Соколова"/>
  </r>
  <r>
    <x v="3"/>
    <s v="Москва"/>
    <d v="2025-10-17T00:00:00"/>
    <x v="3"/>
    <s v="Раф"/>
    <x v="1"/>
    <n v="2"/>
    <n v="502"/>
    <s v="Наталья Р."/>
    <s v="Ирина Соколова"/>
  </r>
  <r>
    <x v="3"/>
    <s v="Москва"/>
    <d v="2025-10-11T00:00:00"/>
    <x v="3"/>
    <s v="Чизкейк"/>
    <x v="0"/>
    <n v="2"/>
    <n v="452"/>
    <s v="Максим П."/>
    <s v="Ирина Соколова"/>
  </r>
  <r>
    <x v="3"/>
    <s v="Москва"/>
    <d v="2025-12-22T00:00:00"/>
    <x v="0"/>
    <s v="Чизкейк"/>
    <x v="0"/>
    <n v="3"/>
    <n v="840"/>
    <s v="Елена В."/>
    <s v="Ирина Соколова"/>
  </r>
  <r>
    <x v="3"/>
    <s v="Москва"/>
    <d v="2025-05-24T00:00:00"/>
    <x v="10"/>
    <s v="Сэндвич"/>
    <x v="2"/>
    <n v="1"/>
    <n v="309"/>
    <s v="Анна К."/>
    <s v="Ирина Соколова"/>
  </r>
  <r>
    <x v="3"/>
    <s v="Москва"/>
    <d v="2025-12-19T00:00:00"/>
    <x v="0"/>
    <s v="Салат Цезарь"/>
    <x v="2"/>
    <n v="2"/>
    <n v="750"/>
    <s v="Наталья Р."/>
    <s v="Ирина Соколова"/>
  </r>
  <r>
    <x v="3"/>
    <s v="Москва"/>
    <d v="2025-05-20T00:00:00"/>
    <x v="10"/>
    <s v="Американо"/>
    <x v="1"/>
    <n v="1"/>
    <n v="150"/>
    <s v="Игорь С."/>
    <s v="Ирина Соколова"/>
  </r>
  <r>
    <x v="3"/>
    <s v="Москва"/>
    <d v="2025-04-13T00:00:00"/>
    <x v="11"/>
    <s v="Круассан"/>
    <x v="0"/>
    <n v="1"/>
    <n v="164"/>
    <s v="Игорь С."/>
    <s v="Ирина Соколова"/>
  </r>
  <r>
    <x v="3"/>
    <s v="Москва"/>
    <d v="2025-12-02T00:00:00"/>
    <x v="0"/>
    <s v="Американо"/>
    <x v="1"/>
    <n v="2"/>
    <n v="372"/>
    <s v="Наталья Р."/>
    <s v="Ирина Соколова"/>
  </r>
  <r>
    <x v="3"/>
    <s v="Москва"/>
    <d v="2025-10-06T00:00:00"/>
    <x v="3"/>
    <s v="Латте"/>
    <x v="1"/>
    <n v="2"/>
    <n v="482"/>
    <s v="Наталья Р."/>
    <s v="Ирина Соколова"/>
  </r>
  <r>
    <x v="3"/>
    <s v="Москва"/>
    <d v="2025-04-28T00:00:00"/>
    <x v="11"/>
    <s v="Матча латте"/>
    <x v="1"/>
    <n v="1"/>
    <n v="296"/>
    <s v="Наталья Р."/>
    <s v="Ирина Соколова"/>
  </r>
  <r>
    <x v="3"/>
    <s v="Москва"/>
    <d v="2025-07-15T00:00:00"/>
    <x v="5"/>
    <s v="Круассан"/>
    <x v="0"/>
    <n v="2"/>
    <n v="394"/>
    <s v="Виктор Л."/>
    <s v="Ирина Соколова"/>
  </r>
  <r>
    <x v="3"/>
    <s v="Москва"/>
    <d v="2025-10-12T00:00:00"/>
    <x v="3"/>
    <s v="Американо"/>
    <x v="1"/>
    <n v="1"/>
    <n v="191"/>
    <s v="Игорь С."/>
    <s v="Ирина Соколова"/>
  </r>
  <r>
    <x v="3"/>
    <s v="Москва"/>
    <d v="2025-04-08T00:00:00"/>
    <x v="11"/>
    <s v="Синнабон"/>
    <x v="0"/>
    <n v="1"/>
    <n v="190"/>
    <s v="Анна К."/>
    <s v="Ирина Соколова"/>
  </r>
  <r>
    <x v="3"/>
    <s v="Москва"/>
    <d v="2025-04-23T00:00:00"/>
    <x v="11"/>
    <s v="Сэндвич"/>
    <x v="2"/>
    <n v="1"/>
    <n v="343"/>
    <s v="Елена В."/>
    <s v="Ирина Соколова"/>
  </r>
  <r>
    <x v="3"/>
    <s v="Москва"/>
    <d v="2025-11-05T00:00:00"/>
    <x v="8"/>
    <s v="Синнабон"/>
    <x v="0"/>
    <n v="1"/>
    <n v="199"/>
    <s v="Игорь С."/>
    <s v="Ирина Соколова"/>
  </r>
  <r>
    <x v="3"/>
    <s v="Москва"/>
    <d v="2025-01-20T00:00:00"/>
    <x v="4"/>
    <s v="Эспрессо"/>
    <x v="1"/>
    <n v="1"/>
    <n v="152"/>
    <s v="Анна К."/>
    <s v="Ирина Соколова"/>
  </r>
  <r>
    <x v="3"/>
    <s v="Москва"/>
    <d v="2025-03-15T00:00:00"/>
    <x v="6"/>
    <s v="Круассан"/>
    <x v="0"/>
    <n v="3"/>
    <n v="573"/>
    <s v="Анна К."/>
    <s v="Ирина Соколова"/>
  </r>
  <r>
    <x v="3"/>
    <s v="Москва"/>
    <d v="2025-02-20T00:00:00"/>
    <x v="2"/>
    <s v="Чизкейк"/>
    <x v="0"/>
    <n v="3"/>
    <n v="717"/>
    <s v="Виктор Л."/>
    <s v="Ирина Соколова"/>
  </r>
  <r>
    <x v="3"/>
    <s v="Москва"/>
    <d v="2025-05-24T00:00:00"/>
    <x v="10"/>
    <s v="Салат Цезарь"/>
    <x v="2"/>
    <n v="1"/>
    <n v="412"/>
    <s v="Игорь С."/>
    <s v="Ирина Соколова"/>
  </r>
  <r>
    <x v="3"/>
    <s v="Москва"/>
    <d v="2025-02-13T00:00:00"/>
    <x v="2"/>
    <s v="Синнабон"/>
    <x v="0"/>
    <n v="2"/>
    <n v="408"/>
    <s v="Наталья Р."/>
    <s v="Ирина Соколова"/>
  </r>
  <r>
    <x v="3"/>
    <s v="Москва"/>
    <d v="2025-12-04T00:00:00"/>
    <x v="0"/>
    <s v="Какао"/>
    <x v="1"/>
    <n v="1"/>
    <n v="201"/>
    <s v="Наталья Р."/>
    <s v="Ирина Соколова"/>
  </r>
  <r>
    <x v="3"/>
    <s v="Москва"/>
    <d v="2025-07-17T00:00:00"/>
    <x v="5"/>
    <s v="Чизкейк"/>
    <x v="0"/>
    <n v="3"/>
    <n v="702"/>
    <s v="Наталья Р."/>
    <s v="Ирина Соколова"/>
  </r>
  <r>
    <x v="3"/>
    <s v="Москва"/>
    <d v="2025-05-19T00:00:00"/>
    <x v="10"/>
    <s v="Салат Цезарь"/>
    <x v="2"/>
    <n v="2"/>
    <n v="776"/>
    <s v="Виктор Л."/>
    <s v="Ирина Соколова"/>
  </r>
  <r>
    <x v="3"/>
    <s v="Москва"/>
    <d v="2025-07-02T00:00:00"/>
    <x v="5"/>
    <s v="Раф"/>
    <x v="1"/>
    <n v="1"/>
    <n v="267"/>
    <s v="Елена В."/>
    <s v="Ирина Соколова"/>
  </r>
  <r>
    <x v="3"/>
    <s v="Москва"/>
    <d v="2025-12-21T00:00:00"/>
    <x v="0"/>
    <s v="Латте"/>
    <x v="1"/>
    <n v="3"/>
    <n v="762"/>
    <s v="Анна К."/>
    <s v="Ирина Соколова"/>
  </r>
  <r>
    <x v="3"/>
    <s v="Москва"/>
    <d v="2025-03-22T00:00:00"/>
    <x v="6"/>
    <s v="Какао"/>
    <x v="1"/>
    <n v="1"/>
    <n v="237"/>
    <s v="Игорь С."/>
    <s v="Ирина Соколова"/>
  </r>
  <r>
    <x v="3"/>
    <s v="Москва"/>
    <d v="2025-11-22T00:00:00"/>
    <x v="8"/>
    <s v="Раф"/>
    <x v="1"/>
    <n v="1"/>
    <n v="255"/>
    <s v="Наталья Р."/>
    <s v="Ирина Соколова"/>
  </r>
  <r>
    <x v="3"/>
    <s v="Москва"/>
    <d v="2025-03-22T00:00:00"/>
    <x v="6"/>
    <s v="Какао"/>
    <x v="1"/>
    <n v="2"/>
    <n v="462"/>
    <s v="Анна К."/>
    <s v="Ирина Соколова"/>
  </r>
  <r>
    <x v="3"/>
    <s v="Москва"/>
    <d v="2025-04-09T00:00:00"/>
    <x v="11"/>
    <s v="Раф"/>
    <x v="1"/>
    <n v="3"/>
    <n v="765"/>
    <s v="Наталья Р."/>
    <s v="Ирина Соколова"/>
  </r>
  <r>
    <x v="3"/>
    <s v="Москва"/>
    <d v="2025-01-15T00:00:00"/>
    <x v="4"/>
    <s v="Матча латте"/>
    <x v="1"/>
    <n v="2"/>
    <n v="622"/>
    <s v="Анна К."/>
    <s v="Ирина Соколова"/>
  </r>
  <r>
    <x v="3"/>
    <s v="Москва"/>
    <d v="2025-09-16T00:00:00"/>
    <x v="1"/>
    <s v="Американо"/>
    <x v="1"/>
    <n v="1"/>
    <n v="195"/>
    <s v="Анна К."/>
    <s v="Ирина Соколова"/>
  </r>
  <r>
    <x v="3"/>
    <s v="Москва"/>
    <d v="2025-05-16T00:00:00"/>
    <x v="10"/>
    <s v="Матча латте"/>
    <x v="1"/>
    <n v="1"/>
    <n v="274"/>
    <s v="Анна К."/>
    <s v="Ирина Соколова"/>
  </r>
  <r>
    <x v="3"/>
    <s v="Москва"/>
    <d v="2025-03-07T00:00:00"/>
    <x v="6"/>
    <s v="Чизкейк"/>
    <x v="0"/>
    <n v="1"/>
    <n v="253"/>
    <s v="Анна К."/>
    <s v="Ирина Соколова"/>
  </r>
  <r>
    <x v="3"/>
    <s v="Москва"/>
    <d v="2025-05-28T00:00:00"/>
    <x v="10"/>
    <s v="Салат Цезарь"/>
    <x v="2"/>
    <n v="1"/>
    <n v="387"/>
    <s v="Виктор Л."/>
    <s v="Ирина Соколова"/>
  </r>
  <r>
    <x v="3"/>
    <s v="Москва"/>
    <d v="2025-03-10T00:00:00"/>
    <x v="6"/>
    <s v="Латте"/>
    <x v="1"/>
    <n v="3"/>
    <n v="747"/>
    <s v="Виктор Л."/>
    <s v="Ирина Соколова"/>
  </r>
  <r>
    <x v="3"/>
    <s v="Москва"/>
    <d v="2025-10-19T00:00:00"/>
    <x v="3"/>
    <s v="Эспрессо"/>
    <x v="1"/>
    <n v="3"/>
    <n v="369"/>
    <s v="Игорь С."/>
    <s v="Ирина Соколова"/>
  </r>
  <r>
    <x v="3"/>
    <s v="Москва"/>
    <d v="2025-04-26T00:00:00"/>
    <x v="11"/>
    <s v="Какао"/>
    <x v="1"/>
    <n v="2"/>
    <n v="466"/>
    <s v="Наталья Р."/>
    <s v="Ирина Соколова"/>
  </r>
  <r>
    <x v="3"/>
    <s v="Москва"/>
    <d v="2025-02-09T00:00:00"/>
    <x v="2"/>
    <s v="Салат Цезарь"/>
    <x v="2"/>
    <n v="1"/>
    <n v="365"/>
    <s v="Игорь С."/>
    <s v="Ирина Соколова"/>
  </r>
  <r>
    <x v="3"/>
    <s v="Москва"/>
    <d v="2025-03-15T00:00:00"/>
    <x v="6"/>
    <s v="Латте"/>
    <x v="1"/>
    <n v="1"/>
    <n v="256"/>
    <s v="Максим П."/>
    <s v="Ирина Соколова"/>
  </r>
  <r>
    <x v="3"/>
    <s v="Москва"/>
    <d v="2025-12-24T00:00:00"/>
    <x v="0"/>
    <s v="Раф"/>
    <x v="1"/>
    <n v="2"/>
    <n v="546"/>
    <s v="Наталья Р."/>
    <s v="Ирина Соколова"/>
  </r>
  <r>
    <x v="3"/>
    <s v="Москва"/>
    <d v="2025-12-02T00:00:00"/>
    <x v="0"/>
    <s v="Чизкейк"/>
    <x v="0"/>
    <n v="2"/>
    <n v="524"/>
    <s v="Максим П."/>
    <s v="Ирина Соколова"/>
  </r>
  <r>
    <x v="3"/>
    <s v="Москва"/>
    <d v="2025-07-01T00:00:00"/>
    <x v="5"/>
    <s v="Раф"/>
    <x v="1"/>
    <n v="1"/>
    <n v="255"/>
    <s v="Елена В."/>
    <s v="Ирина Соколова"/>
  </r>
  <r>
    <x v="3"/>
    <s v="Москва"/>
    <d v="2025-06-26T00:00:00"/>
    <x v="7"/>
    <s v="Синнабон"/>
    <x v="0"/>
    <n v="2"/>
    <n v="382"/>
    <s v="Виктор Л."/>
    <s v="Ирина Соколова"/>
  </r>
  <r>
    <x v="3"/>
    <s v="Москва"/>
    <d v="2025-03-02T00:00:00"/>
    <x v="6"/>
    <s v="Латте"/>
    <x v="1"/>
    <n v="2"/>
    <n v="500"/>
    <s v="Елена В."/>
    <s v="Ирина Соколова"/>
  </r>
  <r>
    <x v="3"/>
    <s v="Москва"/>
    <d v="2025-12-15T00:00:00"/>
    <x v="0"/>
    <s v="Матча латте"/>
    <x v="1"/>
    <n v="3"/>
    <n v="765"/>
    <s v="Елена В."/>
    <s v="Ирина Соколова"/>
  </r>
  <r>
    <x v="3"/>
    <s v="Москва"/>
    <d v="2025-12-28T00:00:00"/>
    <x v="0"/>
    <s v="Капучино"/>
    <x v="1"/>
    <n v="1"/>
    <n v="193"/>
    <s v="Виктор Л."/>
    <s v="Ирина Соколова"/>
  </r>
  <r>
    <x v="3"/>
    <s v="Москва"/>
    <d v="2025-04-20T00:00:00"/>
    <x v="11"/>
    <s v="Какао"/>
    <x v="1"/>
    <n v="1"/>
    <n v="231"/>
    <s v="Анна К."/>
    <s v="Ирина Соколова"/>
  </r>
  <r>
    <x v="3"/>
    <s v="Москва"/>
    <d v="2025-05-20T00:00:00"/>
    <x v="10"/>
    <s v="Чизкейк"/>
    <x v="0"/>
    <n v="1"/>
    <n v="278"/>
    <s v="Максим П."/>
    <s v="Ирина Соколова"/>
  </r>
  <r>
    <x v="3"/>
    <s v="Москва"/>
    <d v="2025-02-10T00:00:00"/>
    <x v="2"/>
    <s v="Эспрессо"/>
    <x v="1"/>
    <n v="2"/>
    <n v="284"/>
    <s v="Максим П."/>
    <s v="Ирина Соколова"/>
  </r>
  <r>
    <x v="3"/>
    <s v="Москва"/>
    <d v="2025-09-18T00:00:00"/>
    <x v="1"/>
    <s v="Сэндвич"/>
    <x v="2"/>
    <n v="1"/>
    <n v="288"/>
    <s v="Наталья Р."/>
    <s v="Ирина Соколова"/>
  </r>
  <r>
    <x v="3"/>
    <s v="Москва"/>
    <d v="2025-10-13T00:00:00"/>
    <x v="3"/>
    <s v="Капучино"/>
    <x v="1"/>
    <n v="1"/>
    <n v="240"/>
    <s v="Наталья Р."/>
    <s v="Ирина Соколова"/>
  </r>
  <r>
    <x v="3"/>
    <s v="Москва"/>
    <d v="2025-07-17T00:00:00"/>
    <x v="5"/>
    <s v="Раф"/>
    <x v="1"/>
    <n v="1"/>
    <n v="278"/>
    <s v="Анна К."/>
    <s v="Ирина Соколова"/>
  </r>
  <r>
    <x v="3"/>
    <s v="Москва"/>
    <d v="2025-01-09T00:00:00"/>
    <x v="4"/>
    <s v="Эспрессо"/>
    <x v="1"/>
    <n v="1"/>
    <n v="144"/>
    <s v="Игорь С."/>
    <s v="Ирина Соколова"/>
  </r>
  <r>
    <x v="3"/>
    <s v="Москва"/>
    <d v="2025-09-10T00:00:00"/>
    <x v="1"/>
    <s v="Круассан"/>
    <x v="0"/>
    <n v="1"/>
    <n v="199"/>
    <s v="Виктор Л."/>
    <s v="Ирина Соколова"/>
  </r>
  <r>
    <x v="3"/>
    <s v="Москва"/>
    <d v="2025-08-24T00:00:00"/>
    <x v="9"/>
    <s v="Какао"/>
    <x v="1"/>
    <n v="1"/>
    <n v="211"/>
    <s v="Виктор Л."/>
    <s v="Ирина Соколова"/>
  </r>
  <r>
    <x v="3"/>
    <s v="Москва"/>
    <d v="2025-02-03T00:00:00"/>
    <x v="2"/>
    <s v="Эспрессо"/>
    <x v="1"/>
    <n v="1"/>
    <n v="147"/>
    <s v="Виктор Л."/>
    <s v="Ирина Соколова"/>
  </r>
  <r>
    <x v="3"/>
    <s v="Москва"/>
    <d v="2025-09-21T00:00:00"/>
    <x v="1"/>
    <s v="Синнабон"/>
    <x v="0"/>
    <n v="2"/>
    <n v="372"/>
    <s v="Наталья Р."/>
    <s v="Ирина Соколова"/>
  </r>
  <r>
    <x v="3"/>
    <s v="Москва"/>
    <d v="2025-02-26T00:00:00"/>
    <x v="2"/>
    <s v="Какао"/>
    <x v="1"/>
    <n v="1"/>
    <n v="241"/>
    <s v="Елена В."/>
    <s v="Ирина Соколова"/>
  </r>
  <r>
    <x v="3"/>
    <s v="Москва"/>
    <d v="2025-01-28T00:00:00"/>
    <x v="4"/>
    <s v="Чизкейк"/>
    <x v="0"/>
    <n v="1"/>
    <n v="255"/>
    <s v="Анна К."/>
    <s v="Ирина Соколова"/>
  </r>
  <r>
    <x v="3"/>
    <s v="Москва"/>
    <d v="2025-02-27T00:00:00"/>
    <x v="2"/>
    <s v="Синнабон"/>
    <x v="0"/>
    <n v="1"/>
    <n v="190"/>
    <s v="Максим П."/>
    <s v="Ирина Соколова"/>
  </r>
  <r>
    <x v="3"/>
    <s v="Москва"/>
    <d v="2025-10-10T00:00:00"/>
    <x v="3"/>
    <s v="Круассан"/>
    <x v="0"/>
    <n v="1"/>
    <n v="185"/>
    <s v="Игорь С."/>
    <s v="Ирина Соколова"/>
  </r>
  <r>
    <x v="3"/>
    <s v="Москва"/>
    <d v="2025-12-20T00:00:00"/>
    <x v="0"/>
    <s v="Какао"/>
    <x v="1"/>
    <n v="3"/>
    <n v="699"/>
    <s v="Анна К."/>
    <s v="Ирина Соколова"/>
  </r>
  <r>
    <x v="3"/>
    <s v="Москва"/>
    <d v="2025-11-26T00:00:00"/>
    <x v="8"/>
    <s v="Какао"/>
    <x v="1"/>
    <n v="1"/>
    <n v="244"/>
    <s v="Максим П."/>
    <s v="Ирина Соколова"/>
  </r>
  <r>
    <x v="3"/>
    <s v="Москва"/>
    <d v="2025-10-10T00:00:00"/>
    <x v="3"/>
    <s v="Круассан"/>
    <x v="0"/>
    <n v="3"/>
    <n v="588"/>
    <s v="Игорь С."/>
    <s v="Ирина Соколова"/>
  </r>
  <r>
    <x v="3"/>
    <s v="Москва"/>
    <d v="2025-04-22T00:00:00"/>
    <x v="11"/>
    <s v="Какао"/>
    <x v="1"/>
    <n v="1"/>
    <n v="215"/>
    <s v="Анна К."/>
    <s v="Ирина Соколова"/>
  </r>
  <r>
    <x v="3"/>
    <s v="Москва"/>
    <d v="2025-02-01T00:00:00"/>
    <x v="2"/>
    <s v="Сэндвич"/>
    <x v="2"/>
    <n v="2"/>
    <n v="644"/>
    <s v="Анна К."/>
    <s v="Ирина Соколова"/>
  </r>
  <r>
    <x v="3"/>
    <s v="Москва"/>
    <d v="2025-03-16T00:00:00"/>
    <x v="6"/>
    <s v="Американо"/>
    <x v="1"/>
    <n v="1"/>
    <n v="153"/>
    <s v="Виктор Л."/>
    <s v="Ирина Соколова"/>
  </r>
  <r>
    <x v="3"/>
    <s v="Москва"/>
    <d v="2025-02-17T00:00:00"/>
    <x v="2"/>
    <s v="Сэндвич"/>
    <x v="2"/>
    <n v="1"/>
    <n v="316"/>
    <s v="Виктор Л."/>
    <s v="Ирина Соколова"/>
  </r>
  <r>
    <x v="3"/>
    <s v="Москва"/>
    <d v="2025-06-24T00:00:00"/>
    <x v="7"/>
    <s v="Сэндвич"/>
    <x v="2"/>
    <n v="3"/>
    <n v="1050"/>
    <s v="Максим П."/>
    <s v="Ирина Соколова"/>
  </r>
  <r>
    <x v="3"/>
    <s v="Москва"/>
    <d v="2025-09-24T00:00:00"/>
    <x v="1"/>
    <s v="Какао"/>
    <x v="1"/>
    <n v="1"/>
    <n v="211"/>
    <s v="Анна К."/>
    <s v="Ирина Соколова"/>
  </r>
  <r>
    <x v="3"/>
    <s v="Москва"/>
    <d v="2025-11-08T00:00:00"/>
    <x v="8"/>
    <s v="Раф"/>
    <x v="1"/>
    <n v="2"/>
    <n v="498"/>
    <s v="Елена В."/>
    <s v="Ирина Соколова"/>
  </r>
  <r>
    <x v="3"/>
    <s v="Москва"/>
    <d v="2025-07-20T00:00:00"/>
    <x v="5"/>
    <s v="Раф"/>
    <x v="1"/>
    <n v="1"/>
    <n v="241"/>
    <s v="Максим П."/>
    <s v="Ирина Соколова"/>
  </r>
  <r>
    <x v="3"/>
    <s v="Москва"/>
    <d v="2025-01-25T00:00:00"/>
    <x v="4"/>
    <s v="Синнабон"/>
    <x v="0"/>
    <n v="1"/>
    <n v="185"/>
    <s v="Максим П."/>
    <s v="Ирина Соколова"/>
  </r>
  <r>
    <x v="3"/>
    <s v="Москва"/>
    <d v="2025-02-14T00:00:00"/>
    <x v="2"/>
    <s v="Раф"/>
    <x v="1"/>
    <n v="1"/>
    <n v="275"/>
    <s v="Анна К."/>
    <s v="Ирина Соколова"/>
  </r>
  <r>
    <x v="3"/>
    <s v="Москва"/>
    <d v="2025-02-08T00:00:00"/>
    <x v="2"/>
    <s v="Какао"/>
    <x v="1"/>
    <n v="2"/>
    <n v="440"/>
    <s v="Максим П."/>
    <s v="Ирина Соколова"/>
  </r>
  <r>
    <x v="3"/>
    <s v="Москва"/>
    <d v="2025-09-24T00:00:00"/>
    <x v="1"/>
    <s v="Латте"/>
    <x v="1"/>
    <n v="1"/>
    <n v="215"/>
    <s v="Виктор Л."/>
    <s v="Ирина Соколова"/>
  </r>
  <r>
    <x v="3"/>
    <s v="Москва"/>
    <d v="2025-07-26T00:00:00"/>
    <x v="5"/>
    <s v="Салат Цезарь"/>
    <x v="2"/>
    <n v="1"/>
    <n v="392"/>
    <s v="Наталья Р."/>
    <s v="Ирина Соколова"/>
  </r>
  <r>
    <x v="3"/>
    <s v="Москва"/>
    <d v="2025-09-23T00:00:00"/>
    <x v="1"/>
    <s v="Раф"/>
    <x v="1"/>
    <n v="1"/>
    <n v="275"/>
    <s v="Виктор Л."/>
    <s v="Ирина Соколова"/>
  </r>
  <r>
    <x v="3"/>
    <s v="Москва"/>
    <d v="2025-12-03T00:00:00"/>
    <x v="0"/>
    <s v="Круассан"/>
    <x v="0"/>
    <n v="1"/>
    <n v="162"/>
    <s v="Виктор Л."/>
    <s v="Ирина Соколова"/>
  </r>
  <r>
    <x v="3"/>
    <s v="Москва"/>
    <d v="2025-03-16T00:00:00"/>
    <x v="6"/>
    <s v="Сэндвич"/>
    <x v="2"/>
    <n v="2"/>
    <n v="654"/>
    <s v="Наталья Р."/>
    <s v="Ирина Соколова"/>
  </r>
  <r>
    <x v="3"/>
    <s v="Москва"/>
    <d v="2025-06-10T00:00:00"/>
    <x v="7"/>
    <s v="Какао"/>
    <x v="1"/>
    <n v="2"/>
    <n v="456"/>
    <s v="Игорь С."/>
    <s v="Ирина Соколова"/>
  </r>
  <r>
    <x v="3"/>
    <s v="Москва"/>
    <d v="2025-02-09T00:00:00"/>
    <x v="2"/>
    <s v="Матча латте"/>
    <x v="1"/>
    <n v="2"/>
    <n v="552"/>
    <s v="Максим П."/>
    <s v="Ирина Соколова"/>
  </r>
  <r>
    <x v="3"/>
    <s v="Москва"/>
    <d v="2025-02-02T00:00:00"/>
    <x v="2"/>
    <s v="Сэндвич"/>
    <x v="2"/>
    <n v="2"/>
    <n v="630"/>
    <s v="Анна К."/>
    <s v="Ирина Соколова"/>
  </r>
  <r>
    <x v="3"/>
    <s v="Москва"/>
    <d v="2025-05-12T00:00:00"/>
    <x v="10"/>
    <s v="Американо"/>
    <x v="1"/>
    <n v="2"/>
    <n v="348"/>
    <s v="Виктор Л."/>
    <s v="Ирина Соколова"/>
  </r>
  <r>
    <x v="3"/>
    <s v="Москва"/>
    <d v="2025-07-11T00:00:00"/>
    <x v="5"/>
    <s v="Американо"/>
    <x v="1"/>
    <n v="1"/>
    <n v="163"/>
    <s v="Анна К."/>
    <s v="Ирина Соколова"/>
  </r>
  <r>
    <x v="3"/>
    <s v="Москва"/>
    <d v="2025-02-13T00:00:00"/>
    <x v="2"/>
    <s v="Капучино"/>
    <x v="1"/>
    <n v="3"/>
    <n v="576"/>
    <s v="Елена В."/>
    <s v="Ирина Соколова"/>
  </r>
  <r>
    <x v="3"/>
    <s v="Москва"/>
    <d v="2025-09-15T00:00:00"/>
    <x v="1"/>
    <s v="Синнабон"/>
    <x v="0"/>
    <n v="1"/>
    <n v="228"/>
    <s v="Елена В."/>
    <s v="Ирина Соколова"/>
  </r>
  <r>
    <x v="3"/>
    <s v="Москва"/>
    <d v="2025-04-03T00:00:00"/>
    <x v="11"/>
    <s v="Какао"/>
    <x v="1"/>
    <n v="3"/>
    <n v="678"/>
    <s v="Игорь С."/>
    <s v="Ирина Соколова"/>
  </r>
  <r>
    <x v="3"/>
    <s v="Москва"/>
    <d v="2025-10-14T00:00:00"/>
    <x v="3"/>
    <s v="Матча латте"/>
    <x v="1"/>
    <n v="1"/>
    <n v="259"/>
    <s v="Наталья Р."/>
    <s v="Ирина Соколова"/>
  </r>
  <r>
    <x v="3"/>
    <s v="Москва"/>
    <d v="2025-09-20T00:00:00"/>
    <x v="1"/>
    <s v="Круассан"/>
    <x v="0"/>
    <n v="1"/>
    <n v="182"/>
    <s v="Игорь С."/>
    <s v="Ирина Соколова"/>
  </r>
  <r>
    <x v="3"/>
    <s v="Москва"/>
    <d v="2025-09-19T00:00:00"/>
    <x v="1"/>
    <s v="Синнабон"/>
    <x v="0"/>
    <n v="1"/>
    <n v="200"/>
    <s v="Игорь С."/>
    <s v="Ирина Соколова"/>
  </r>
  <r>
    <x v="4"/>
    <s v="Новосибирск"/>
    <d v="2025-02-21T00:00:00"/>
    <x v="2"/>
    <s v="Эспрессо"/>
    <x v="1"/>
    <n v="1"/>
    <n v="136"/>
    <s v="Юлия Д."/>
    <s v="Ольга Кузнецова"/>
  </r>
  <r>
    <x v="4"/>
    <s v="Новосибирск"/>
    <d v="2025-05-10T00:00:00"/>
    <x v="10"/>
    <s v="Эспрессо"/>
    <x v="1"/>
    <n v="2"/>
    <n v="272"/>
    <s v="Юлия Д."/>
    <s v="Ольга Кузнецова"/>
  </r>
  <r>
    <x v="4"/>
    <s v="Новосибирск"/>
    <d v="2025-04-15T00:00:00"/>
    <x v="11"/>
    <s v="Эспрессо"/>
    <x v="1"/>
    <n v="1"/>
    <n v="133"/>
    <s v="Светлана М."/>
    <s v="Ольга Кузнецова"/>
  </r>
  <r>
    <x v="4"/>
    <s v="Новосибирск"/>
    <d v="2025-11-13T00:00:00"/>
    <x v="8"/>
    <s v="Матча латте"/>
    <x v="1"/>
    <n v="2"/>
    <n v="524"/>
    <s v="Наталья Р."/>
    <s v="Ольга Кузнецова"/>
  </r>
  <r>
    <x v="4"/>
    <s v="Новосибирск"/>
    <d v="2025-03-09T00:00:00"/>
    <x v="6"/>
    <s v="Чизкейк"/>
    <x v="0"/>
    <n v="1"/>
    <n v="258"/>
    <s v="Наталья Р."/>
    <s v="Ольга Кузнецова"/>
  </r>
  <r>
    <x v="4"/>
    <s v="Новосибирск"/>
    <d v="2025-02-12T00:00:00"/>
    <x v="2"/>
    <s v="Раф"/>
    <x v="1"/>
    <n v="1"/>
    <n v="288"/>
    <s v="Светлана М."/>
    <s v="Ольга Кузнецова"/>
  </r>
  <r>
    <x v="4"/>
    <s v="Новосибирск"/>
    <d v="2025-08-14T00:00:00"/>
    <x v="9"/>
    <s v="Капучино"/>
    <x v="1"/>
    <n v="1"/>
    <n v="200"/>
    <s v="Виктор Л."/>
    <s v="Ольга Кузнецова"/>
  </r>
  <r>
    <x v="4"/>
    <s v="Новосибирск"/>
    <d v="2025-02-11T00:00:00"/>
    <x v="2"/>
    <s v="Латте"/>
    <x v="1"/>
    <n v="2"/>
    <n v="458"/>
    <s v="Наталья Р."/>
    <s v="Ольга Кузнецова"/>
  </r>
  <r>
    <x v="4"/>
    <s v="Новосибирск"/>
    <d v="2025-01-22T00:00:00"/>
    <x v="4"/>
    <s v="Синнабон"/>
    <x v="0"/>
    <n v="2"/>
    <n v="398"/>
    <s v="Виктор Л."/>
    <s v="Ольга Кузнецова"/>
  </r>
  <r>
    <x v="4"/>
    <s v="Новосибирск"/>
    <d v="2025-06-26T00:00:00"/>
    <x v="7"/>
    <s v="Матча латте"/>
    <x v="1"/>
    <n v="1"/>
    <n v="276"/>
    <s v="Артём Б."/>
    <s v="Ольга Кузнецова"/>
  </r>
  <r>
    <x v="4"/>
    <s v="Новосибирск"/>
    <d v="2025-11-15T00:00:00"/>
    <x v="8"/>
    <s v="Сэндвич"/>
    <x v="2"/>
    <n v="2"/>
    <n v="616"/>
    <s v="Светлана М."/>
    <s v="Ольга Кузнецова"/>
  </r>
  <r>
    <x v="4"/>
    <s v="Новосибирск"/>
    <d v="2025-10-19T00:00:00"/>
    <x v="3"/>
    <s v="Синнабон"/>
    <x v="0"/>
    <n v="3"/>
    <n v="573"/>
    <s v="Наталья Р."/>
    <s v="Ольга Кузнецова"/>
  </r>
  <r>
    <x v="4"/>
    <s v="Новосибирск"/>
    <d v="2025-08-21T00:00:00"/>
    <x v="9"/>
    <s v="Матча латте"/>
    <x v="1"/>
    <n v="1"/>
    <n v="268"/>
    <s v="Юлия Д."/>
    <s v="Ольга Кузнецова"/>
  </r>
  <r>
    <x v="4"/>
    <s v="Новосибирск"/>
    <d v="2025-09-10T00:00:00"/>
    <x v="1"/>
    <s v="Капучино"/>
    <x v="1"/>
    <n v="2"/>
    <n v="386"/>
    <s v="Артём Б."/>
    <s v="Ольга Кузнецова"/>
  </r>
  <r>
    <x v="4"/>
    <s v="Новосибирск"/>
    <d v="2025-09-06T00:00:00"/>
    <x v="1"/>
    <s v="Американо"/>
    <x v="1"/>
    <n v="2"/>
    <n v="312"/>
    <s v="Юлия Д."/>
    <s v="Ольга Кузнецова"/>
  </r>
  <r>
    <x v="4"/>
    <s v="Новосибирск"/>
    <d v="2025-05-11T00:00:00"/>
    <x v="10"/>
    <s v="Круассан"/>
    <x v="0"/>
    <n v="2"/>
    <n v="320"/>
    <s v="Светлана М."/>
    <s v="Ольга Кузнецова"/>
  </r>
  <r>
    <x v="4"/>
    <s v="Новосибирск"/>
    <d v="2025-01-08T00:00:00"/>
    <x v="4"/>
    <s v="Какао"/>
    <x v="1"/>
    <n v="3"/>
    <n v="696"/>
    <s v="Роман Ф."/>
    <s v="Ольга Кузнецова"/>
  </r>
  <r>
    <x v="4"/>
    <s v="Новосибирск"/>
    <d v="2025-11-19T00:00:00"/>
    <x v="8"/>
    <s v="Салат Цезарь"/>
    <x v="2"/>
    <n v="1"/>
    <n v="403"/>
    <s v="Виктор Л."/>
    <s v="Ольга Кузнецова"/>
  </r>
  <r>
    <x v="4"/>
    <s v="Новосибирск"/>
    <d v="2025-03-20T00:00:00"/>
    <x v="6"/>
    <s v="Раф"/>
    <x v="1"/>
    <n v="1"/>
    <n v="271"/>
    <s v="Роман Ф."/>
    <s v="Ольга Кузнецова"/>
  </r>
  <r>
    <x v="4"/>
    <s v="Новосибирск"/>
    <d v="2025-09-20T00:00:00"/>
    <x v="1"/>
    <s v="Салат Цезарь"/>
    <x v="2"/>
    <n v="2"/>
    <n v="742"/>
    <s v="Наталья Р."/>
    <s v="Ольга Кузнецова"/>
  </r>
  <r>
    <x v="4"/>
    <s v="Новосибирск"/>
    <d v="2025-04-16T00:00:00"/>
    <x v="11"/>
    <s v="Круассан"/>
    <x v="0"/>
    <n v="1"/>
    <n v="165"/>
    <s v="Светлана М."/>
    <s v="Ольга Кузнецова"/>
  </r>
  <r>
    <x v="4"/>
    <s v="Новосибирск"/>
    <d v="2025-10-15T00:00:00"/>
    <x v="3"/>
    <s v="Матча латте"/>
    <x v="1"/>
    <n v="1"/>
    <n v="280"/>
    <s v="Наталья Р."/>
    <s v="Ольга Кузнецова"/>
  </r>
  <r>
    <x v="4"/>
    <s v="Новосибирск"/>
    <d v="2025-07-12T00:00:00"/>
    <x v="5"/>
    <s v="Эспрессо"/>
    <x v="1"/>
    <n v="3"/>
    <n v="396"/>
    <s v="Роман Ф."/>
    <s v="Ольга Кузнецова"/>
  </r>
  <r>
    <x v="4"/>
    <s v="Новосибирск"/>
    <d v="2025-12-10T00:00:00"/>
    <x v="0"/>
    <s v="Чизкейк"/>
    <x v="0"/>
    <n v="1"/>
    <n v="223"/>
    <s v="Артём Б."/>
    <s v="Ольга Кузнецова"/>
  </r>
  <r>
    <x v="4"/>
    <s v="Новосибирск"/>
    <d v="2025-05-02T00:00:00"/>
    <x v="10"/>
    <s v="Латте"/>
    <x v="1"/>
    <n v="1"/>
    <n v="223"/>
    <s v="Виктор Л."/>
    <s v="Ольга Кузнецова"/>
  </r>
  <r>
    <x v="4"/>
    <s v="Новосибирск"/>
    <d v="2025-07-01T00:00:00"/>
    <x v="5"/>
    <s v="Латте"/>
    <x v="1"/>
    <n v="1"/>
    <n v="231"/>
    <s v="Светлана М."/>
    <s v="Ольга Кузнецова"/>
  </r>
  <r>
    <x v="4"/>
    <s v="Новосибирск"/>
    <d v="2025-10-24T00:00:00"/>
    <x v="3"/>
    <s v="Какао"/>
    <x v="1"/>
    <n v="2"/>
    <n v="480"/>
    <s v="Наталья Р."/>
    <s v="Ольга Кузнецова"/>
  </r>
  <r>
    <x v="4"/>
    <s v="Новосибирск"/>
    <d v="2025-02-01T00:00:00"/>
    <x v="2"/>
    <s v="Круассан"/>
    <x v="0"/>
    <n v="1"/>
    <n v="196"/>
    <s v="Артём Б."/>
    <s v="Ольга Кузнецова"/>
  </r>
  <r>
    <x v="4"/>
    <s v="Новосибирск"/>
    <d v="2025-03-04T00:00:00"/>
    <x v="6"/>
    <s v="Синнабон"/>
    <x v="0"/>
    <n v="1"/>
    <n v="206"/>
    <s v="Светлана М."/>
    <s v="Ольга Кузнецова"/>
  </r>
  <r>
    <x v="4"/>
    <s v="Новосибирск"/>
    <d v="2025-04-24T00:00:00"/>
    <x v="11"/>
    <s v="Круассан"/>
    <x v="0"/>
    <n v="1"/>
    <n v="176"/>
    <s v="Светлана М."/>
    <s v="Ольга Кузнецова"/>
  </r>
  <r>
    <x v="4"/>
    <s v="Новосибирск"/>
    <d v="2025-06-13T00:00:00"/>
    <x v="7"/>
    <s v="Капучино"/>
    <x v="1"/>
    <n v="1"/>
    <n v="231"/>
    <s v="Роман Ф."/>
    <s v="Ольга Кузнецова"/>
  </r>
  <r>
    <x v="4"/>
    <s v="Новосибирск"/>
    <d v="2025-05-21T00:00:00"/>
    <x v="10"/>
    <s v="Какао"/>
    <x v="1"/>
    <n v="1"/>
    <n v="242"/>
    <s v="Наталья Р."/>
    <s v="Ольга Кузнецова"/>
  </r>
  <r>
    <x v="4"/>
    <s v="Новосибирск"/>
    <d v="2025-11-10T00:00:00"/>
    <x v="8"/>
    <s v="Эспрессо"/>
    <x v="1"/>
    <n v="3"/>
    <n v="444"/>
    <s v="Юлия Д."/>
    <s v="Ольга Кузнецова"/>
  </r>
  <r>
    <x v="4"/>
    <s v="Новосибирск"/>
    <d v="2025-06-17T00:00:00"/>
    <x v="7"/>
    <s v="Сэндвич"/>
    <x v="2"/>
    <n v="3"/>
    <n v="960"/>
    <s v="Юлия Д."/>
    <s v="Ольга Кузнецова"/>
  </r>
  <r>
    <x v="4"/>
    <s v="Новосибирск"/>
    <d v="2025-03-15T00:00:00"/>
    <x v="6"/>
    <s v="Американо"/>
    <x v="1"/>
    <n v="2"/>
    <n v="360"/>
    <s v="Артём Б."/>
    <s v="Ольга Кузнецова"/>
  </r>
  <r>
    <x v="4"/>
    <s v="Новосибирск"/>
    <d v="2025-07-25T00:00:00"/>
    <x v="5"/>
    <s v="Сэндвич"/>
    <x v="2"/>
    <n v="2"/>
    <n v="666"/>
    <s v="Роман Ф."/>
    <s v="Ольга Кузнецова"/>
  </r>
  <r>
    <x v="4"/>
    <s v="Новосибирск"/>
    <d v="2025-09-01T00:00:00"/>
    <x v="1"/>
    <s v="Капучино"/>
    <x v="1"/>
    <n v="1"/>
    <n v="191"/>
    <s v="Виктор Л."/>
    <s v="Ольга Кузнецова"/>
  </r>
  <r>
    <x v="4"/>
    <s v="Новосибирск"/>
    <d v="2025-09-26T00:00:00"/>
    <x v="1"/>
    <s v="Капучино"/>
    <x v="1"/>
    <n v="3"/>
    <n v="711"/>
    <s v="Артём Б."/>
    <s v="Ольга Кузнецова"/>
  </r>
  <r>
    <x v="4"/>
    <s v="Новосибирск"/>
    <d v="2025-04-13T00:00:00"/>
    <x v="11"/>
    <s v="Салат Цезарь"/>
    <x v="2"/>
    <n v="2"/>
    <n v="822"/>
    <s v="Юлия Д."/>
    <s v="Ольга Кузнецова"/>
  </r>
  <r>
    <x v="4"/>
    <s v="Новосибирск"/>
    <d v="2025-11-23T00:00:00"/>
    <x v="8"/>
    <s v="Синнабон"/>
    <x v="0"/>
    <n v="2"/>
    <n v="424"/>
    <s v="Виктор Л."/>
    <s v="Ольга Кузнецова"/>
  </r>
  <r>
    <x v="4"/>
    <s v="Новосибирск"/>
    <d v="2025-07-17T00:00:00"/>
    <x v="5"/>
    <s v="Чизкейк"/>
    <x v="0"/>
    <n v="3"/>
    <n v="825"/>
    <s v="Артём Б."/>
    <s v="Ольга Кузнецова"/>
  </r>
  <r>
    <x v="4"/>
    <s v="Новосибирск"/>
    <d v="2025-06-21T00:00:00"/>
    <x v="7"/>
    <s v="Какао"/>
    <x v="1"/>
    <n v="2"/>
    <n v="414"/>
    <s v="Наталья Р."/>
    <s v="Ольга Кузнецова"/>
  </r>
  <r>
    <x v="4"/>
    <s v="Новосибирск"/>
    <d v="2025-01-07T00:00:00"/>
    <x v="4"/>
    <s v="Круассан"/>
    <x v="0"/>
    <n v="1"/>
    <n v="168"/>
    <s v="Роман Ф."/>
    <s v="Ольга Кузнецова"/>
  </r>
  <r>
    <x v="4"/>
    <s v="Новосибирск"/>
    <d v="2025-09-25T00:00:00"/>
    <x v="1"/>
    <s v="Чизкейк"/>
    <x v="0"/>
    <n v="1"/>
    <n v="230"/>
    <s v="Виктор Л."/>
    <s v="Ольга Кузнецова"/>
  </r>
  <r>
    <x v="4"/>
    <s v="Новосибирск"/>
    <d v="2025-03-22T00:00:00"/>
    <x v="6"/>
    <s v="Чизкейк"/>
    <x v="0"/>
    <n v="2"/>
    <n v="494"/>
    <s v="Артём Б."/>
    <s v="Ольга Кузнецова"/>
  </r>
  <r>
    <x v="4"/>
    <s v="Новосибирск"/>
    <d v="2025-12-04T00:00:00"/>
    <x v="0"/>
    <s v="Латте"/>
    <x v="1"/>
    <n v="3"/>
    <n v="621"/>
    <s v="Виктор Л."/>
    <s v="Ольга Кузнецова"/>
  </r>
  <r>
    <x v="4"/>
    <s v="Новосибирск"/>
    <d v="2025-01-06T00:00:00"/>
    <x v="4"/>
    <s v="Круассан"/>
    <x v="0"/>
    <n v="2"/>
    <n v="348"/>
    <s v="Светлана М."/>
    <s v="Ольга Кузнецова"/>
  </r>
  <r>
    <x v="4"/>
    <s v="Новосибирск"/>
    <d v="2025-08-09T00:00:00"/>
    <x v="9"/>
    <s v="Чизкейк"/>
    <x v="0"/>
    <n v="2"/>
    <n v="548"/>
    <s v="Наталья Р."/>
    <s v="Ольга Кузнецова"/>
  </r>
  <r>
    <x v="4"/>
    <s v="Новосибирск"/>
    <d v="2025-01-16T00:00:00"/>
    <x v="4"/>
    <s v="Синнабон"/>
    <x v="0"/>
    <n v="1"/>
    <n v="219"/>
    <s v="Светлана М."/>
    <s v="Ольга Кузнецова"/>
  </r>
  <r>
    <x v="4"/>
    <s v="Новосибирск"/>
    <d v="2025-08-18T00:00:00"/>
    <x v="9"/>
    <s v="Эспрессо"/>
    <x v="1"/>
    <n v="2"/>
    <n v="280"/>
    <s v="Артём Б."/>
    <s v="Ольга Кузнецова"/>
  </r>
  <r>
    <x v="4"/>
    <s v="Новосибирск"/>
    <d v="2025-12-04T00:00:00"/>
    <x v="0"/>
    <s v="Чизкейк"/>
    <x v="0"/>
    <n v="1"/>
    <n v="277"/>
    <s v="Артём Б."/>
    <s v="Ольга Кузнецова"/>
  </r>
  <r>
    <x v="4"/>
    <s v="Новосибирск"/>
    <d v="2025-09-15T00:00:00"/>
    <x v="1"/>
    <s v="Сэндвич"/>
    <x v="2"/>
    <n v="2"/>
    <n v="662"/>
    <s v="Виктор Л."/>
    <s v="Ольга Кузнецова"/>
  </r>
  <r>
    <x v="4"/>
    <s v="Новосибирск"/>
    <d v="2025-06-23T00:00:00"/>
    <x v="7"/>
    <s v="Салат Цезарь"/>
    <x v="2"/>
    <n v="2"/>
    <n v="700"/>
    <s v="Юлия Д."/>
    <s v="Ольга Кузнецова"/>
  </r>
  <r>
    <x v="4"/>
    <s v="Новосибирск"/>
    <d v="2025-05-22T00:00:00"/>
    <x v="10"/>
    <s v="Чизкейк"/>
    <x v="0"/>
    <n v="2"/>
    <n v="550"/>
    <s v="Наталья Р."/>
    <s v="Ольга Кузнецова"/>
  </r>
  <r>
    <x v="4"/>
    <s v="Новосибирск"/>
    <d v="2025-04-11T00:00:00"/>
    <x v="11"/>
    <s v="Раф"/>
    <x v="1"/>
    <n v="2"/>
    <n v="470"/>
    <s v="Артём Б."/>
    <s v="Ольга Кузнецова"/>
  </r>
  <r>
    <x v="4"/>
    <s v="Новосибирск"/>
    <d v="2025-09-12T00:00:00"/>
    <x v="1"/>
    <s v="Раф"/>
    <x v="1"/>
    <n v="1"/>
    <n v="280"/>
    <s v="Артём Б."/>
    <s v="Ольга Кузнецова"/>
  </r>
  <r>
    <x v="4"/>
    <s v="Новосибирск"/>
    <d v="2025-01-02T00:00:00"/>
    <x v="4"/>
    <s v="Сэндвич"/>
    <x v="2"/>
    <n v="1"/>
    <n v="320"/>
    <s v="Артём Б."/>
    <s v="Ольга Кузнецова"/>
  </r>
  <r>
    <x v="4"/>
    <s v="Новосибирск"/>
    <d v="2025-06-01T00:00:00"/>
    <x v="7"/>
    <s v="Американо"/>
    <x v="1"/>
    <n v="2"/>
    <n v="326"/>
    <s v="Виктор Л."/>
    <s v="Ольга Кузнецова"/>
  </r>
  <r>
    <x v="4"/>
    <s v="Новосибирск"/>
    <d v="2025-05-24T00:00:00"/>
    <x v="10"/>
    <s v="Эспрессо"/>
    <x v="1"/>
    <n v="2"/>
    <n v="318"/>
    <s v="Артём Б."/>
    <s v="Ольга Кузнецова"/>
  </r>
  <r>
    <x v="4"/>
    <s v="Новосибирск"/>
    <d v="2025-07-16T00:00:00"/>
    <x v="5"/>
    <s v="Сэндвич"/>
    <x v="2"/>
    <n v="1"/>
    <n v="347"/>
    <s v="Виктор Л."/>
    <s v="Ольга Кузнецова"/>
  </r>
  <r>
    <x v="4"/>
    <s v="Новосибирск"/>
    <d v="2025-03-11T00:00:00"/>
    <x v="6"/>
    <s v="Раф"/>
    <x v="1"/>
    <n v="1"/>
    <n v="266"/>
    <s v="Артём Б."/>
    <s v="Ольга Кузнецова"/>
  </r>
  <r>
    <x v="4"/>
    <s v="Новосибирск"/>
    <d v="2025-11-12T00:00:00"/>
    <x v="8"/>
    <s v="Раф"/>
    <x v="1"/>
    <n v="2"/>
    <n v="506"/>
    <s v="Виктор Л."/>
    <s v="Ольга Кузнецова"/>
  </r>
  <r>
    <x v="4"/>
    <s v="Новосибирск"/>
    <d v="2025-04-11T00:00:00"/>
    <x v="11"/>
    <s v="Американо"/>
    <x v="1"/>
    <n v="2"/>
    <n v="364"/>
    <s v="Светлана М."/>
    <s v="Ольга Кузнецова"/>
  </r>
  <r>
    <x v="4"/>
    <s v="Новосибирск"/>
    <d v="2025-12-12T00:00:00"/>
    <x v="0"/>
    <s v="Эспрессо"/>
    <x v="1"/>
    <n v="2"/>
    <n v="318"/>
    <s v="Артём Б."/>
    <s v="Ольга Кузнецова"/>
  </r>
  <r>
    <x v="4"/>
    <s v="Новосибирск"/>
    <d v="2025-05-19T00:00:00"/>
    <x v="10"/>
    <s v="Эспрессо"/>
    <x v="1"/>
    <n v="3"/>
    <n v="459"/>
    <s v="Артём Б."/>
    <s v="Ольга Кузнецова"/>
  </r>
  <r>
    <x v="4"/>
    <s v="Новосибирск"/>
    <d v="2025-04-13T00:00:00"/>
    <x v="11"/>
    <s v="Синнабон"/>
    <x v="0"/>
    <n v="2"/>
    <n v="466"/>
    <s v="Наталья Р."/>
    <s v="Ольга Кузнецова"/>
  </r>
  <r>
    <x v="4"/>
    <s v="Новосибирск"/>
    <d v="2025-04-24T00:00:00"/>
    <x v="11"/>
    <s v="Эспрессо"/>
    <x v="1"/>
    <n v="2"/>
    <n v="250"/>
    <s v="Виктор Л."/>
    <s v="Ольга Кузнецова"/>
  </r>
  <r>
    <x v="4"/>
    <s v="Новосибирск"/>
    <d v="2025-06-12T00:00:00"/>
    <x v="7"/>
    <s v="Латте"/>
    <x v="1"/>
    <n v="3"/>
    <n v="630"/>
    <s v="Артём Б."/>
    <s v="Ольга Кузнецова"/>
  </r>
  <r>
    <x v="4"/>
    <s v="Новосибирск"/>
    <d v="2025-04-15T00:00:00"/>
    <x v="11"/>
    <s v="Матча латте"/>
    <x v="1"/>
    <n v="1"/>
    <n v="311"/>
    <s v="Роман Ф."/>
    <s v="Ольга Кузнецова"/>
  </r>
  <r>
    <x v="4"/>
    <s v="Новосибирск"/>
    <d v="2025-03-20T00:00:00"/>
    <x v="6"/>
    <s v="Круассан"/>
    <x v="0"/>
    <n v="1"/>
    <n v="177"/>
    <s v="Виктор Л."/>
    <s v="Ольга Кузнецова"/>
  </r>
  <r>
    <x v="4"/>
    <s v="Новосибирск"/>
    <d v="2025-02-19T00:00:00"/>
    <x v="2"/>
    <s v="Круассан"/>
    <x v="0"/>
    <n v="1"/>
    <n v="190"/>
    <s v="Наталья Р."/>
    <s v="Ольга Кузнецова"/>
  </r>
  <r>
    <x v="4"/>
    <s v="Новосибирск"/>
    <d v="2025-02-13T00:00:00"/>
    <x v="2"/>
    <s v="Эспрессо"/>
    <x v="1"/>
    <n v="1"/>
    <n v="129"/>
    <s v="Юлия Д."/>
    <s v="Ольга Кузнецова"/>
  </r>
  <r>
    <x v="4"/>
    <s v="Новосибирск"/>
    <d v="2025-09-05T00:00:00"/>
    <x v="1"/>
    <s v="Какао"/>
    <x v="1"/>
    <n v="1"/>
    <n v="237"/>
    <s v="Юлия Д."/>
    <s v="Ольга Кузнецова"/>
  </r>
  <r>
    <x v="4"/>
    <s v="Новосибирск"/>
    <d v="2025-03-24T00:00:00"/>
    <x v="6"/>
    <s v="Эспрессо"/>
    <x v="1"/>
    <n v="1"/>
    <n v="132"/>
    <s v="Роман Ф."/>
    <s v="Ольга Кузнецова"/>
  </r>
  <r>
    <x v="4"/>
    <s v="Новосибирск"/>
    <d v="2025-10-13T00:00:00"/>
    <x v="3"/>
    <s v="Американо"/>
    <x v="1"/>
    <n v="3"/>
    <n v="513"/>
    <s v="Юлия Д."/>
    <s v="Ольга Кузнецова"/>
  </r>
  <r>
    <x v="4"/>
    <s v="Новосибирск"/>
    <d v="2025-07-24T00:00:00"/>
    <x v="5"/>
    <s v="Американо"/>
    <x v="1"/>
    <n v="1"/>
    <n v="166"/>
    <s v="Светлана М."/>
    <s v="Ольга Кузнецова"/>
  </r>
  <r>
    <x v="4"/>
    <s v="Новосибирск"/>
    <d v="2025-01-07T00:00:00"/>
    <x v="4"/>
    <s v="Сэндвич"/>
    <x v="2"/>
    <n v="1"/>
    <n v="346"/>
    <s v="Светлана М."/>
    <s v="Ольга Кузнецова"/>
  </r>
  <r>
    <x v="4"/>
    <s v="Новосибирск"/>
    <d v="2025-07-22T00:00:00"/>
    <x v="5"/>
    <s v="Синнабон"/>
    <x v="0"/>
    <n v="1"/>
    <n v="221"/>
    <s v="Виктор Л."/>
    <s v="Ольга Кузнецова"/>
  </r>
  <r>
    <x v="4"/>
    <s v="Новосибирск"/>
    <d v="2025-05-28T00:00:00"/>
    <x v="10"/>
    <s v="Какао"/>
    <x v="1"/>
    <n v="1"/>
    <n v="237"/>
    <s v="Юлия Д."/>
    <s v="Ольга Кузнецова"/>
  </r>
  <r>
    <x v="4"/>
    <s v="Новосибирск"/>
    <d v="2025-12-08T00:00:00"/>
    <x v="0"/>
    <s v="Чизкейк"/>
    <x v="0"/>
    <n v="1"/>
    <n v="241"/>
    <s v="Светлана М."/>
    <s v="Ольга Кузнецова"/>
  </r>
  <r>
    <x v="4"/>
    <s v="Новосибирск"/>
    <d v="2025-06-25T00:00:00"/>
    <x v="7"/>
    <s v="Круассан"/>
    <x v="0"/>
    <n v="3"/>
    <n v="573"/>
    <s v="Виктор Л."/>
    <s v="Ольга Кузнецова"/>
  </r>
  <r>
    <x v="4"/>
    <s v="Новосибирск"/>
    <d v="2025-05-12T00:00:00"/>
    <x v="10"/>
    <s v="Сэндвич"/>
    <x v="2"/>
    <n v="2"/>
    <n v="702"/>
    <s v="Наталья Р."/>
    <s v="Ольга Кузнецова"/>
  </r>
  <r>
    <x v="4"/>
    <s v="Новосибирск"/>
    <d v="2025-01-21T00:00:00"/>
    <x v="4"/>
    <s v="Матча латте"/>
    <x v="1"/>
    <n v="1"/>
    <n v="303"/>
    <s v="Роман Ф."/>
    <s v="Ольга Кузнецова"/>
  </r>
  <r>
    <x v="4"/>
    <s v="Новосибирск"/>
    <d v="2025-07-04T00:00:00"/>
    <x v="5"/>
    <s v="Матча латте"/>
    <x v="1"/>
    <n v="2"/>
    <n v="610"/>
    <s v="Роман Ф."/>
    <s v="Ольга Кузнецова"/>
  </r>
  <r>
    <x v="4"/>
    <s v="Новосибирск"/>
    <d v="2025-10-16T00:00:00"/>
    <x v="3"/>
    <s v="Чизкейк"/>
    <x v="0"/>
    <n v="2"/>
    <n v="554"/>
    <s v="Артём Б."/>
    <s v="Ольга Кузнецова"/>
  </r>
  <r>
    <x v="4"/>
    <s v="Новосибирск"/>
    <d v="2025-05-03T00:00:00"/>
    <x v="10"/>
    <s v="Салат Цезарь"/>
    <x v="2"/>
    <n v="1"/>
    <n v="363"/>
    <s v="Юлия Д."/>
    <s v="Ольга Кузнецова"/>
  </r>
  <r>
    <x v="4"/>
    <s v="Новосибирск"/>
    <d v="2025-01-14T00:00:00"/>
    <x v="4"/>
    <s v="Эспрессо"/>
    <x v="1"/>
    <n v="1"/>
    <n v="138"/>
    <s v="Артём Б."/>
    <s v="Ольга Кузнецова"/>
  </r>
  <r>
    <x v="4"/>
    <s v="Новосибирск"/>
    <d v="2025-04-03T00:00:00"/>
    <x v="11"/>
    <s v="Американо"/>
    <x v="1"/>
    <n v="1"/>
    <n v="164"/>
    <s v="Виктор Л."/>
    <s v="Ольга Кузнецова"/>
  </r>
  <r>
    <x v="4"/>
    <s v="Новосибирск"/>
    <d v="2025-07-03T00:00:00"/>
    <x v="5"/>
    <s v="Раф"/>
    <x v="1"/>
    <n v="2"/>
    <n v="494"/>
    <s v="Роман Ф."/>
    <s v="Ольга Кузнецова"/>
  </r>
  <r>
    <x v="4"/>
    <s v="Новосибирск"/>
    <d v="2025-05-10T00:00:00"/>
    <x v="10"/>
    <s v="Салат Цезарь"/>
    <x v="2"/>
    <n v="2"/>
    <n v="764"/>
    <s v="Светлана М."/>
    <s v="Ольга Кузнецова"/>
  </r>
  <r>
    <x v="4"/>
    <s v="Новосибирск"/>
    <d v="2025-07-10T00:00:00"/>
    <x v="5"/>
    <s v="Латте"/>
    <x v="1"/>
    <n v="1"/>
    <n v="213"/>
    <s v="Юлия Д."/>
    <s v="Ольга Кузнецова"/>
  </r>
  <r>
    <x v="4"/>
    <s v="Новосибирск"/>
    <d v="2025-06-15T00:00:00"/>
    <x v="7"/>
    <s v="Эспрессо"/>
    <x v="1"/>
    <n v="2"/>
    <n v="298"/>
    <s v="Виктор Л."/>
    <s v="Ольга Кузнецова"/>
  </r>
  <r>
    <x v="4"/>
    <s v="Новосибирск"/>
    <d v="2025-09-05T00:00:00"/>
    <x v="1"/>
    <s v="Сэндвич"/>
    <x v="2"/>
    <n v="1"/>
    <n v="285"/>
    <s v="Виктор Л."/>
    <s v="Ольга Кузнецова"/>
  </r>
  <r>
    <x v="4"/>
    <s v="Новосибирск"/>
    <d v="2025-08-18T00:00:00"/>
    <x v="9"/>
    <s v="Раф"/>
    <x v="1"/>
    <n v="2"/>
    <n v="484"/>
    <s v="Наталья Р."/>
    <s v="Ольга Кузнецова"/>
  </r>
  <r>
    <x v="4"/>
    <s v="Новосибирск"/>
    <d v="2025-08-27T00:00:00"/>
    <x v="9"/>
    <s v="Какао"/>
    <x v="1"/>
    <n v="2"/>
    <n v="396"/>
    <s v="Юлия Д."/>
    <s v="Ольга Кузнецова"/>
  </r>
  <r>
    <x v="4"/>
    <s v="Новосибирск"/>
    <d v="2025-10-14T00:00:00"/>
    <x v="3"/>
    <s v="Сэндвич"/>
    <x v="2"/>
    <n v="2"/>
    <n v="670"/>
    <s v="Наталья Р."/>
    <s v="Ольга Кузнецова"/>
  </r>
  <r>
    <x v="4"/>
    <s v="Новосибирск"/>
    <d v="2025-03-24T00:00:00"/>
    <x v="6"/>
    <s v="Латте"/>
    <x v="1"/>
    <n v="1"/>
    <n v="211"/>
    <s v="Наталья Р."/>
    <s v="Ольга Кузнецова"/>
  </r>
  <r>
    <x v="4"/>
    <s v="Новосибирск"/>
    <d v="2025-08-12T00:00:00"/>
    <x v="9"/>
    <s v="Сэндвич"/>
    <x v="2"/>
    <n v="1"/>
    <n v="353"/>
    <s v="Роман Ф."/>
    <s v="Ольга Кузнецова"/>
  </r>
  <r>
    <x v="4"/>
    <s v="Новосибирск"/>
    <d v="2025-06-26T00:00:00"/>
    <x v="7"/>
    <s v="Синнабон"/>
    <x v="0"/>
    <n v="2"/>
    <n v="400"/>
    <s v="Виктор Л."/>
    <s v="Ольга Кузнецова"/>
  </r>
  <r>
    <x v="4"/>
    <s v="Новосибирск"/>
    <d v="2025-08-27T00:00:00"/>
    <x v="9"/>
    <s v="Американо"/>
    <x v="1"/>
    <n v="2"/>
    <n v="304"/>
    <s v="Артём Б."/>
    <s v="Ольга Кузнецова"/>
  </r>
  <r>
    <x v="4"/>
    <s v="Новосибирск"/>
    <d v="2025-09-12T00:00:00"/>
    <x v="1"/>
    <s v="Салат Цезарь"/>
    <x v="2"/>
    <n v="3"/>
    <n v="1116"/>
    <s v="Юлия Д."/>
    <s v="Ольга Кузнецова"/>
  </r>
  <r>
    <x v="4"/>
    <s v="Новосибирск"/>
    <d v="2025-07-19T00:00:00"/>
    <x v="5"/>
    <s v="Эспрессо"/>
    <x v="1"/>
    <n v="1"/>
    <n v="135"/>
    <s v="Юлия Д."/>
    <s v="Ольга Кузнецова"/>
  </r>
  <r>
    <x v="4"/>
    <s v="Новосибирск"/>
    <d v="2025-10-02T00:00:00"/>
    <x v="3"/>
    <s v="Синнабон"/>
    <x v="0"/>
    <n v="2"/>
    <n v="378"/>
    <s v="Артём Б."/>
    <s v="Ольга Кузнецова"/>
  </r>
  <r>
    <x v="4"/>
    <s v="Новосибирск"/>
    <d v="2025-01-12T00:00:00"/>
    <x v="4"/>
    <s v="Матча латте"/>
    <x v="1"/>
    <n v="3"/>
    <n v="777"/>
    <s v="Роман Ф."/>
    <s v="Ольга Кузнецова"/>
  </r>
  <r>
    <x v="4"/>
    <s v="Новосибирск"/>
    <d v="2025-01-20T00:00:00"/>
    <x v="4"/>
    <s v="Чизкейк"/>
    <x v="0"/>
    <n v="1"/>
    <n v="256"/>
    <s v="Светлана М."/>
    <s v="Ольга Кузнецова"/>
  </r>
  <r>
    <x v="4"/>
    <s v="Новосибирск"/>
    <d v="2025-10-05T00:00:00"/>
    <x v="3"/>
    <s v="Американо"/>
    <x v="1"/>
    <n v="1"/>
    <n v="173"/>
    <s v="Роман Ф."/>
    <s v="Ольга Кузнецова"/>
  </r>
  <r>
    <x v="4"/>
    <s v="Новосибирск"/>
    <d v="2025-07-14T00:00:00"/>
    <x v="5"/>
    <s v="Матча латте"/>
    <x v="1"/>
    <n v="2"/>
    <n v="568"/>
    <s v="Юлия Д."/>
    <s v="Ольга Кузнецова"/>
  </r>
  <r>
    <x v="4"/>
    <s v="Новосибирск"/>
    <d v="2025-03-19T00:00:00"/>
    <x v="6"/>
    <s v="Круассан"/>
    <x v="0"/>
    <n v="2"/>
    <n v="330"/>
    <s v="Артём Б."/>
    <s v="Ольга Кузнецова"/>
  </r>
  <r>
    <x v="4"/>
    <s v="Новосибирск"/>
    <d v="2025-02-01T00:00:00"/>
    <x v="2"/>
    <s v="Американо"/>
    <x v="1"/>
    <n v="1"/>
    <n v="164"/>
    <s v="Виктор Л."/>
    <s v="Ольга Кузнецова"/>
  </r>
  <r>
    <x v="4"/>
    <s v="Новосибирск"/>
    <d v="2025-02-23T00:00:00"/>
    <x v="2"/>
    <s v="Американо"/>
    <x v="1"/>
    <n v="1"/>
    <n v="178"/>
    <s v="Артём Б."/>
    <s v="Ольга Кузнецова"/>
  </r>
  <r>
    <x v="4"/>
    <s v="Новосибирск"/>
    <d v="2025-11-24T00:00:00"/>
    <x v="8"/>
    <s v="Раф"/>
    <x v="1"/>
    <n v="1"/>
    <n v="288"/>
    <s v="Наталья Р."/>
    <s v="Ольга Кузнецова"/>
  </r>
  <r>
    <x v="4"/>
    <s v="Новосибирск"/>
    <d v="2025-12-11T00:00:00"/>
    <x v="0"/>
    <s v="Американо"/>
    <x v="1"/>
    <n v="1"/>
    <n v="190"/>
    <s v="Наталья Р."/>
    <s v="Ольга Кузнецова"/>
  </r>
  <r>
    <x v="4"/>
    <s v="Новосибирск"/>
    <d v="2025-08-15T00:00:00"/>
    <x v="9"/>
    <s v="Матча латте"/>
    <x v="1"/>
    <n v="3"/>
    <n v="786"/>
    <s v="Светлана М."/>
    <s v="Ольга Кузнецова"/>
  </r>
  <r>
    <x v="4"/>
    <s v="Новосибирск"/>
    <d v="2025-07-05T00:00:00"/>
    <x v="5"/>
    <s v="Раф"/>
    <x v="1"/>
    <n v="1"/>
    <n v="244"/>
    <s v="Светлана М."/>
    <s v="Ольга Кузнецова"/>
  </r>
  <r>
    <x v="4"/>
    <s v="Новосибирск"/>
    <d v="2025-12-20T00:00:00"/>
    <x v="0"/>
    <s v="Матча латте"/>
    <x v="1"/>
    <n v="2"/>
    <n v="612"/>
    <s v="Артём Б."/>
    <s v="Ольга Кузнецова"/>
  </r>
  <r>
    <x v="4"/>
    <s v="Новосибирск"/>
    <d v="2025-04-12T00:00:00"/>
    <x v="11"/>
    <s v="Раф"/>
    <x v="1"/>
    <n v="1"/>
    <n v="281"/>
    <s v="Артём Б."/>
    <s v="Ольга Кузнецова"/>
  </r>
  <r>
    <x v="4"/>
    <s v="Новосибирск"/>
    <d v="2025-09-26T00:00:00"/>
    <x v="1"/>
    <s v="Американо"/>
    <x v="1"/>
    <n v="1"/>
    <n v="166"/>
    <s v="Артём Б."/>
    <s v="Ольга Кузнецова"/>
  </r>
  <r>
    <x v="4"/>
    <s v="Новосибирск"/>
    <d v="2025-03-16T00:00:00"/>
    <x v="6"/>
    <s v="Круассан"/>
    <x v="0"/>
    <n v="2"/>
    <n v="342"/>
    <s v="Роман Ф."/>
    <s v="Ольга Кузнецова"/>
  </r>
  <r>
    <x v="4"/>
    <s v="Новосибирск"/>
    <d v="2025-08-13T00:00:00"/>
    <x v="9"/>
    <s v="Какао"/>
    <x v="1"/>
    <n v="1"/>
    <n v="243"/>
    <s v="Наталья Р."/>
    <s v="Ольга Кузнецова"/>
  </r>
  <r>
    <x v="4"/>
    <s v="Новосибирск"/>
    <d v="2025-10-08T00:00:00"/>
    <x v="3"/>
    <s v="Салат Цезарь"/>
    <x v="2"/>
    <n v="2"/>
    <n v="744"/>
    <s v="Юлия Д."/>
    <s v="Ольга Кузнецова"/>
  </r>
  <r>
    <x v="4"/>
    <s v="Новосибирск"/>
    <d v="2025-01-22T00:00:00"/>
    <x v="4"/>
    <s v="Чизкейк"/>
    <x v="0"/>
    <n v="1"/>
    <n v="236"/>
    <s v="Светлана М."/>
    <s v="Ольга Кузнецова"/>
  </r>
  <r>
    <x v="4"/>
    <s v="Новосибирск"/>
    <d v="2025-02-26T00:00:00"/>
    <x v="2"/>
    <s v="Эспрессо"/>
    <x v="1"/>
    <n v="2"/>
    <n v="278"/>
    <s v="Светлана М."/>
    <s v="Ольга Кузнецова"/>
  </r>
  <r>
    <x v="4"/>
    <s v="Новосибирск"/>
    <d v="2025-03-12T00:00:00"/>
    <x v="6"/>
    <s v="Чизкейк"/>
    <x v="0"/>
    <n v="1"/>
    <n v="222"/>
    <s v="Наталья Р."/>
    <s v="Ольга Кузнецова"/>
  </r>
  <r>
    <x v="4"/>
    <s v="Новосибирск"/>
    <d v="2025-01-11T00:00:00"/>
    <x v="4"/>
    <s v="Эспрессо"/>
    <x v="1"/>
    <n v="1"/>
    <n v="151"/>
    <s v="Наталья Р."/>
    <s v="Ольга Кузнецова"/>
  </r>
  <r>
    <x v="4"/>
    <s v="Новосибирск"/>
    <d v="2025-11-27T00:00:00"/>
    <x v="8"/>
    <s v="Чизкейк"/>
    <x v="0"/>
    <n v="3"/>
    <n v="813"/>
    <s v="Виктор Л."/>
    <s v="Ольга Кузнецова"/>
  </r>
  <r>
    <x v="4"/>
    <s v="Новосибирск"/>
    <d v="2025-07-10T00:00:00"/>
    <x v="5"/>
    <s v="Матча латте"/>
    <x v="1"/>
    <n v="1"/>
    <n v="309"/>
    <s v="Роман Ф."/>
    <s v="Ольга Кузнецова"/>
  </r>
  <r>
    <x v="4"/>
    <s v="Новосибирск"/>
    <d v="2025-08-26T00:00:00"/>
    <x v="9"/>
    <s v="Матча латте"/>
    <x v="1"/>
    <n v="2"/>
    <n v="540"/>
    <s v="Виктор Л."/>
    <s v="Ольга Кузнецова"/>
  </r>
  <r>
    <x v="4"/>
    <s v="Новосибирск"/>
    <d v="2025-06-01T00:00:00"/>
    <x v="7"/>
    <s v="Раф"/>
    <x v="1"/>
    <n v="1"/>
    <n v="267"/>
    <s v="Светлана М."/>
    <s v="Ольга Кузнецова"/>
  </r>
  <r>
    <x v="4"/>
    <s v="Новосибирск"/>
    <d v="2025-03-09T00:00:00"/>
    <x v="6"/>
    <s v="Чизкейк"/>
    <x v="0"/>
    <n v="1"/>
    <n v="266"/>
    <s v="Наталья Р."/>
    <s v="Ольга Кузнецова"/>
  </r>
  <r>
    <x v="4"/>
    <s v="Новосибирск"/>
    <d v="2025-12-19T00:00:00"/>
    <x v="0"/>
    <s v="Эспрессо"/>
    <x v="1"/>
    <n v="2"/>
    <n v="266"/>
    <s v="Роман Ф."/>
    <s v="Ольга Кузнецова"/>
  </r>
  <r>
    <x v="4"/>
    <s v="Новосибирск"/>
    <d v="2025-02-01T00:00:00"/>
    <x v="2"/>
    <s v="Салат Цезарь"/>
    <x v="2"/>
    <n v="2"/>
    <n v="674"/>
    <s v="Роман Ф."/>
    <s v="Ольга Кузнецова"/>
  </r>
  <r>
    <x v="4"/>
    <s v="Новосибирск"/>
    <d v="2025-06-21T00:00:00"/>
    <x v="7"/>
    <s v="Раф"/>
    <x v="1"/>
    <n v="1"/>
    <n v="251"/>
    <s v="Роман Ф."/>
    <s v="Ольга Кузнецова"/>
  </r>
  <r>
    <x v="4"/>
    <s v="Новосибирск"/>
    <d v="2025-11-12T00:00:00"/>
    <x v="8"/>
    <s v="Американо"/>
    <x v="1"/>
    <n v="1"/>
    <n v="188"/>
    <s v="Наталья Р."/>
    <s v="Ольга Кузнецова"/>
  </r>
  <r>
    <x v="4"/>
    <s v="Новосибирск"/>
    <d v="2025-09-23T00:00:00"/>
    <x v="1"/>
    <s v="Сэндвич"/>
    <x v="2"/>
    <n v="1"/>
    <n v="309"/>
    <s v="Наталья Р."/>
    <s v="Ольга Кузнецова"/>
  </r>
  <r>
    <x v="4"/>
    <s v="Новосибирск"/>
    <d v="2025-10-24T00:00:00"/>
    <x v="3"/>
    <s v="Латте"/>
    <x v="1"/>
    <n v="1"/>
    <n v="253"/>
    <s v="Роман Ф."/>
    <s v="Ольга Кузнецова"/>
  </r>
  <r>
    <x v="4"/>
    <s v="Новосибирск"/>
    <d v="2025-05-02T00:00:00"/>
    <x v="10"/>
    <s v="Капучино"/>
    <x v="1"/>
    <n v="2"/>
    <n v="396"/>
    <s v="Наталья Р."/>
    <s v="Ольга Кузнецова"/>
  </r>
  <r>
    <x v="4"/>
    <s v="Новосибирск"/>
    <d v="2025-07-11T00:00:00"/>
    <x v="5"/>
    <s v="Синнабон"/>
    <x v="0"/>
    <n v="3"/>
    <n v="585"/>
    <s v="Юлия Д."/>
    <s v="Ольга Кузнецова"/>
  </r>
  <r>
    <x v="4"/>
    <s v="Новосибирск"/>
    <d v="2025-10-06T00:00:00"/>
    <x v="3"/>
    <s v="Эспрессо"/>
    <x v="1"/>
    <n v="3"/>
    <n v="459"/>
    <s v="Светлана М."/>
    <s v="Ольга Кузнецова"/>
  </r>
  <r>
    <x v="4"/>
    <s v="Новосибирск"/>
    <d v="2025-12-17T00:00:00"/>
    <x v="0"/>
    <s v="Матча латте"/>
    <x v="1"/>
    <n v="2"/>
    <n v="626"/>
    <s v="Артём Б."/>
    <s v="Ольга Кузнецова"/>
  </r>
  <r>
    <x v="4"/>
    <s v="Новосибирск"/>
    <d v="2025-09-28T00:00:00"/>
    <x v="1"/>
    <s v="Синнабон"/>
    <x v="0"/>
    <n v="2"/>
    <n v="430"/>
    <s v="Светлана М."/>
    <s v="Ольга Кузнецова"/>
  </r>
  <r>
    <x v="4"/>
    <s v="Новосибирск"/>
    <d v="2025-06-28T00:00:00"/>
    <x v="7"/>
    <s v="Сэндвич"/>
    <x v="2"/>
    <n v="1"/>
    <n v="283"/>
    <s v="Виктор Л."/>
    <s v="Ольга Кузнецова"/>
  </r>
  <r>
    <x v="4"/>
    <s v="Новосибирск"/>
    <d v="2025-08-21T00:00:00"/>
    <x v="9"/>
    <s v="Капучино"/>
    <x v="1"/>
    <n v="1"/>
    <n v="187"/>
    <s v="Артём Б."/>
    <s v="Ольга Кузнецова"/>
  </r>
  <r>
    <x v="4"/>
    <s v="Новосибирск"/>
    <d v="2025-05-06T00:00:00"/>
    <x v="10"/>
    <s v="Латте"/>
    <x v="1"/>
    <n v="2"/>
    <n v="436"/>
    <s v="Не указан"/>
    <s v="Ольга Кузнецова"/>
  </r>
  <r>
    <x v="4"/>
    <s v="Новосибирск"/>
    <d v="2025-09-27T00:00:00"/>
    <x v="1"/>
    <s v="Матча латте"/>
    <x v="1"/>
    <n v="1"/>
    <n v="284"/>
    <s v="Наталья Р."/>
    <s v="Ольга Кузнецова"/>
  </r>
  <r>
    <x v="4"/>
    <s v="Новосибирск"/>
    <d v="2025-08-07T00:00:00"/>
    <x v="9"/>
    <s v="Какао"/>
    <x v="1"/>
    <n v="1"/>
    <n v="209"/>
    <s v="Светлана М."/>
    <s v="Ольга Кузнецова"/>
  </r>
  <r>
    <x v="4"/>
    <s v="Новосибирск"/>
    <d v="2025-08-24T00:00:00"/>
    <x v="9"/>
    <s v="Раф"/>
    <x v="1"/>
    <n v="2"/>
    <n v="516"/>
    <s v="Виктор Л."/>
    <s v="Ольга Кузнецова"/>
  </r>
  <r>
    <x v="4"/>
    <s v="Новосибирск"/>
    <d v="2025-08-08T00:00:00"/>
    <x v="9"/>
    <s v="Салат Цезарь"/>
    <x v="2"/>
    <n v="3"/>
    <n v="1191"/>
    <s v="Светлана М."/>
    <s v="Ольга Кузнецова"/>
  </r>
  <r>
    <x v="4"/>
    <s v="Новосибирск"/>
    <d v="2025-01-25T00:00:00"/>
    <x v="4"/>
    <s v="Американо"/>
    <x v="1"/>
    <n v="2"/>
    <n v="316"/>
    <s v="Роман Ф."/>
    <s v="Ольга Кузнецова"/>
  </r>
  <r>
    <x v="4"/>
    <s v="Новосибирск"/>
    <d v="2025-04-14T00:00:00"/>
    <x v="11"/>
    <s v="Синнабон"/>
    <x v="0"/>
    <n v="1"/>
    <n v="229"/>
    <s v="Светлана М."/>
    <s v="Ольга Кузнецова"/>
  </r>
  <r>
    <x v="4"/>
    <s v="Новосибирск"/>
    <d v="2025-06-21T00:00:00"/>
    <x v="7"/>
    <s v="Матча латте"/>
    <x v="1"/>
    <n v="2"/>
    <n v="620"/>
    <s v="Роман Ф."/>
    <s v="Ольга Кузнецова"/>
  </r>
  <r>
    <x v="4"/>
    <s v="Новосибирск"/>
    <d v="2025-12-08T00:00:00"/>
    <x v="0"/>
    <s v="Американо"/>
    <x v="1"/>
    <n v="1"/>
    <n v="183"/>
    <s v="Юлия Д."/>
    <s v="Ольга Кузнецова"/>
  </r>
  <r>
    <x v="4"/>
    <s v="Новосибирск"/>
    <d v="2025-02-10T00:00:00"/>
    <x v="2"/>
    <s v="Чизкейк"/>
    <x v="0"/>
    <n v="1"/>
    <n v="250"/>
    <s v="Роман Ф."/>
    <s v="Ольга Кузнецова"/>
  </r>
  <r>
    <x v="4"/>
    <s v="Новосибирск"/>
    <d v="2025-11-03T00:00:00"/>
    <x v="8"/>
    <s v="Раф"/>
    <x v="1"/>
    <n v="2"/>
    <n v="532"/>
    <s v="Светлана М."/>
    <s v="Ольга Кузнецова"/>
  </r>
  <r>
    <x v="4"/>
    <s v="Новосибирск"/>
    <d v="2025-05-09T00:00:00"/>
    <x v="10"/>
    <s v="Сэндвич"/>
    <x v="2"/>
    <n v="1"/>
    <n v="315"/>
    <s v="Артём Б."/>
    <s v="Ольга Кузнецова"/>
  </r>
  <r>
    <x v="4"/>
    <s v="Новосибирск"/>
    <d v="2025-07-28T00:00:00"/>
    <x v="5"/>
    <s v="Эспрессо"/>
    <x v="1"/>
    <n v="1"/>
    <n v="150"/>
    <s v="Светлана М."/>
    <s v="Ольга Кузнецова"/>
  </r>
  <r>
    <x v="4"/>
    <s v="Новосибирск"/>
    <d v="2025-01-14T00:00:00"/>
    <x v="4"/>
    <s v="Салат Цезарь"/>
    <x v="2"/>
    <n v="1"/>
    <n v="392"/>
    <s v="Роман Ф."/>
    <s v="Ольга Кузнецова"/>
  </r>
  <r>
    <x v="4"/>
    <s v="Новосибирск"/>
    <d v="2025-08-19T00:00:00"/>
    <x v="9"/>
    <s v="Американо"/>
    <x v="1"/>
    <n v="2"/>
    <n v="300"/>
    <s v="Артём Б."/>
    <s v="Ольга Кузнецова"/>
  </r>
  <r>
    <x v="4"/>
    <s v="Новосибирск"/>
    <d v="2025-10-25T00:00:00"/>
    <x v="3"/>
    <s v="Какао"/>
    <x v="1"/>
    <n v="3"/>
    <n v="726"/>
    <s v="Артём Б."/>
    <s v="Ольга Кузнецова"/>
  </r>
  <r>
    <x v="4"/>
    <s v="Новосибирск"/>
    <d v="2025-03-18T00:00:00"/>
    <x v="6"/>
    <s v="Раф"/>
    <x v="1"/>
    <n v="3"/>
    <n v="711"/>
    <s v="Артём Б."/>
    <s v="Ольга Кузнецова"/>
  </r>
  <r>
    <x v="4"/>
    <s v="Новосибирск"/>
    <d v="2025-01-27T00:00:00"/>
    <x v="4"/>
    <s v="Латте"/>
    <x v="1"/>
    <n v="1"/>
    <n v="235"/>
    <s v="Юлия Д."/>
    <s v="Ольга Кузнецова"/>
  </r>
  <r>
    <x v="4"/>
    <s v="Новосибирск"/>
    <d v="2025-04-21T00:00:00"/>
    <x v="11"/>
    <s v="Латте"/>
    <x v="1"/>
    <n v="2"/>
    <n v="484"/>
    <s v="Виктор Л."/>
    <s v="Ольга Кузнецова"/>
  </r>
  <r>
    <x v="4"/>
    <s v="Новосибирск"/>
    <d v="2025-11-13T00:00:00"/>
    <x v="8"/>
    <s v="Матча латте"/>
    <x v="1"/>
    <n v="1"/>
    <n v="257"/>
    <s v="Юлия Д."/>
    <s v="Ольга Кузнецова"/>
  </r>
  <r>
    <x v="4"/>
    <s v="Новосибирск"/>
    <d v="2025-03-13T00:00:00"/>
    <x v="6"/>
    <s v="Раф"/>
    <x v="1"/>
    <n v="3"/>
    <n v="780"/>
    <s v="Наталья Р."/>
    <s v="Ольга Кузнецова"/>
  </r>
  <r>
    <x v="4"/>
    <s v="Новосибирск"/>
    <d v="2025-11-23T00:00:00"/>
    <x v="8"/>
    <s v="Матча латте"/>
    <x v="1"/>
    <n v="1"/>
    <n v="251"/>
    <s v="Светлана М."/>
    <s v="Ольга Кузнецова"/>
  </r>
  <r>
    <x v="4"/>
    <s v="Новосибирск"/>
    <d v="2025-07-17T00:00:00"/>
    <x v="5"/>
    <s v="Салат Цезарь"/>
    <x v="2"/>
    <n v="1"/>
    <n v="351"/>
    <s v="Светлана М."/>
    <s v="Ольга Кузнецова"/>
  </r>
  <r>
    <x v="4"/>
    <s v="Новосибирск"/>
    <d v="2025-03-28T00:00:00"/>
    <x v="6"/>
    <s v="Латте"/>
    <x v="1"/>
    <n v="2"/>
    <n v="506"/>
    <s v="Наталья Р."/>
    <s v="Ольга Кузнецова"/>
  </r>
  <r>
    <x v="4"/>
    <s v="Новосибирск"/>
    <d v="2025-01-26T00:00:00"/>
    <x v="4"/>
    <s v="Капучино"/>
    <x v="1"/>
    <n v="3"/>
    <n v="543"/>
    <s v="Артём Б."/>
    <s v="Ольга Кузнецова"/>
  </r>
  <r>
    <x v="4"/>
    <s v="Новосибирск"/>
    <d v="2025-03-21T00:00:00"/>
    <x v="6"/>
    <s v="Салат Цезарь"/>
    <x v="2"/>
    <n v="1"/>
    <n v="370"/>
    <s v="Наталья Р."/>
    <s v="Ольга Кузнецова"/>
  </r>
  <r>
    <x v="4"/>
    <s v="Новосибирск"/>
    <d v="2025-06-15T00:00:00"/>
    <x v="7"/>
    <s v="Чизкейк"/>
    <x v="0"/>
    <n v="1"/>
    <n v="268"/>
    <s v="Роман Ф."/>
    <s v="Ольга Кузнецова"/>
  </r>
  <r>
    <x v="4"/>
    <s v="Новосибирск"/>
    <d v="2025-03-12T00:00:00"/>
    <x v="6"/>
    <s v="Раф"/>
    <x v="1"/>
    <n v="1"/>
    <n v="265"/>
    <s v="Наталья Р."/>
    <s v="Ольга Кузнецова"/>
  </r>
  <r>
    <x v="4"/>
    <s v="Новосибирск"/>
    <d v="2025-06-26T00:00:00"/>
    <x v="7"/>
    <s v="Чизкейк"/>
    <x v="0"/>
    <n v="3"/>
    <n v="681"/>
    <s v="Юлия Д."/>
    <s v="Ольга Кузнецова"/>
  </r>
  <r>
    <x v="4"/>
    <s v="Новосибирск"/>
    <d v="2025-12-06T00:00:00"/>
    <x v="0"/>
    <s v="Сэндвич"/>
    <x v="2"/>
    <n v="1"/>
    <n v="292"/>
    <s v="Наталья Р."/>
    <s v="Ольга Кузнецова"/>
  </r>
  <r>
    <x v="4"/>
    <s v="Новосибирск"/>
    <d v="2025-11-11T00:00:00"/>
    <x v="8"/>
    <s v="Американо"/>
    <x v="1"/>
    <n v="2"/>
    <n v="300"/>
    <s v="Светлана М."/>
    <s v="Ольга Кузнецова"/>
  </r>
  <r>
    <x v="4"/>
    <s v="Новосибирск"/>
    <d v="2025-04-24T00:00:00"/>
    <x v="11"/>
    <s v="Латте"/>
    <x v="1"/>
    <n v="1"/>
    <n v="243"/>
    <s v="Наталья Р."/>
    <s v="Ольга Кузнецова"/>
  </r>
  <r>
    <x v="4"/>
    <s v="Новосибирск"/>
    <d v="2025-08-25T00:00:00"/>
    <x v="9"/>
    <s v="Синнабон"/>
    <x v="0"/>
    <n v="1"/>
    <n v="220"/>
    <s v="Наталья Р."/>
    <s v="Ольга Кузнецова"/>
  </r>
  <r>
    <x v="4"/>
    <s v="Новосибирск"/>
    <d v="2025-02-28T00:00:00"/>
    <x v="2"/>
    <s v="Американо"/>
    <x v="1"/>
    <n v="2"/>
    <n v="340"/>
    <s v="Роман Ф."/>
    <s v="Ольга Кузнецова"/>
  </r>
  <r>
    <x v="4"/>
    <s v="Новосибирск"/>
    <d v="2025-12-25T00:00:00"/>
    <x v="0"/>
    <s v="Раф"/>
    <x v="1"/>
    <n v="1"/>
    <n v="282"/>
    <s v="Артём Б."/>
    <s v="Ольга Кузнецова"/>
  </r>
  <r>
    <x v="4"/>
    <s v="Новосибирск"/>
    <d v="2025-04-08T00:00:00"/>
    <x v="11"/>
    <s v="Матча латте"/>
    <x v="1"/>
    <n v="2"/>
    <n v="496"/>
    <s v="Юлия Д."/>
    <s v="Ольга Кузнецова"/>
  </r>
  <r>
    <x v="4"/>
    <s v="Новосибирск"/>
    <d v="2025-03-11T00:00:00"/>
    <x v="6"/>
    <s v="Матча латте"/>
    <x v="1"/>
    <n v="1"/>
    <n v="311"/>
    <s v="Юлия Д."/>
    <s v="Ольга Кузнецова"/>
  </r>
  <r>
    <x v="4"/>
    <s v="Новосибирск"/>
    <d v="2025-01-24T00:00:00"/>
    <x v="4"/>
    <s v="Матча латте"/>
    <x v="1"/>
    <n v="1"/>
    <n v="258"/>
    <s v="Наталья Р."/>
    <s v="Ольга Кузнецова"/>
  </r>
  <r>
    <x v="4"/>
    <s v="Новосибирск"/>
    <d v="2025-08-03T00:00:00"/>
    <x v="9"/>
    <s v="Синнабон"/>
    <x v="0"/>
    <n v="1"/>
    <n v="225"/>
    <s v="Роман Ф."/>
    <s v="Ольга Кузнецова"/>
  </r>
  <r>
    <x v="4"/>
    <s v="Новосибирск"/>
    <d v="2025-01-11T00:00:00"/>
    <x v="4"/>
    <s v="Эспрессо"/>
    <x v="1"/>
    <n v="3"/>
    <n v="372"/>
    <s v="Виктор Л."/>
    <s v="Ольга Кузнецова"/>
  </r>
  <r>
    <x v="4"/>
    <s v="Новосибирск"/>
    <d v="2025-01-14T00:00:00"/>
    <x v="4"/>
    <s v="Капучино"/>
    <x v="1"/>
    <n v="1"/>
    <n v="208"/>
    <s v="Виктор Л."/>
    <s v="Ольга Кузнецова"/>
  </r>
  <r>
    <x v="4"/>
    <s v="Новосибирск"/>
    <d v="2025-09-18T00:00:00"/>
    <x v="1"/>
    <s v="Американо"/>
    <x v="1"/>
    <n v="1"/>
    <n v="187"/>
    <s v="Светлана М."/>
    <s v="Ольга Кузнецова"/>
  </r>
  <r>
    <x v="4"/>
    <s v="Новосибирск"/>
    <d v="2025-08-03T00:00:00"/>
    <x v="9"/>
    <s v="Американо"/>
    <x v="1"/>
    <n v="2"/>
    <n v="334"/>
    <s v="Светлана М."/>
    <s v="Ольга Кузнецова"/>
  </r>
  <r>
    <x v="4"/>
    <s v="Новосибирск"/>
    <d v="2025-07-13T00:00:00"/>
    <x v="5"/>
    <s v="Американо"/>
    <x v="1"/>
    <n v="1"/>
    <n v="194"/>
    <s v="Виктор Л."/>
    <s v="Ольга Кузнецова"/>
  </r>
  <r>
    <x v="4"/>
    <s v="Новосибирск"/>
    <d v="2025-11-15T00:00:00"/>
    <x v="8"/>
    <s v="Капучино"/>
    <x v="1"/>
    <n v="2"/>
    <n v="438"/>
    <s v="Артём Б."/>
    <s v="Ольга Кузнецова"/>
  </r>
  <r>
    <x v="4"/>
    <s v="Новосибирск"/>
    <d v="2025-01-22T00:00:00"/>
    <x v="4"/>
    <s v="Синнабон"/>
    <x v="0"/>
    <n v="1"/>
    <n v="199"/>
    <s v="Светлана М."/>
    <s v="Ольга Кузнецова"/>
  </r>
  <r>
    <x v="4"/>
    <s v="Новосибирск"/>
    <d v="2025-01-07T00:00:00"/>
    <x v="4"/>
    <s v="Чизкейк"/>
    <x v="0"/>
    <n v="3"/>
    <n v="801"/>
    <s v="Наталья Р."/>
    <s v="Ольга Кузнецова"/>
  </r>
  <r>
    <x v="4"/>
    <s v="Новосибирск"/>
    <d v="2025-07-07T00:00:00"/>
    <x v="5"/>
    <s v="Салат Цезарь"/>
    <x v="2"/>
    <n v="1"/>
    <n v="418"/>
    <s v="Светлана М."/>
    <s v="Ольга Кузнецова"/>
  </r>
  <r>
    <x v="4"/>
    <s v="Новосибирск"/>
    <d v="2025-05-27T00:00:00"/>
    <x v="10"/>
    <s v="Салат Цезарь"/>
    <x v="2"/>
    <n v="3"/>
    <n v="1236"/>
    <s v="Артём Б."/>
    <s v="Ольга Кузнецова"/>
  </r>
  <r>
    <x v="4"/>
    <s v="Новосибирск"/>
    <d v="2025-10-19T00:00:00"/>
    <x v="3"/>
    <s v="Сэндвич"/>
    <x v="2"/>
    <n v="2"/>
    <n v="676"/>
    <s v="Юлия Д."/>
    <s v="Ольга Кузнецова"/>
  </r>
  <r>
    <x v="4"/>
    <s v="Новосибирск"/>
    <d v="2025-02-06T00:00:00"/>
    <x v="2"/>
    <s v="Капучино"/>
    <x v="1"/>
    <n v="2"/>
    <n v="422"/>
    <s v="Роман Ф."/>
    <s v="Ольга Кузнецова"/>
  </r>
  <r>
    <x v="4"/>
    <s v="Новосибирск"/>
    <d v="2025-10-21T00:00:00"/>
    <x v="3"/>
    <s v="Латте"/>
    <x v="1"/>
    <n v="3"/>
    <n v="630"/>
    <s v="Роман Ф."/>
    <s v="Ольга Кузнецова"/>
  </r>
  <r>
    <x v="4"/>
    <s v="Новосибирск"/>
    <d v="2025-03-17T00:00:00"/>
    <x v="6"/>
    <s v="Эспрессо"/>
    <x v="1"/>
    <n v="2"/>
    <n v="286"/>
    <s v="Виктор Л."/>
    <s v="Ольга Кузнецова"/>
  </r>
  <r>
    <x v="4"/>
    <s v="Новосибирск"/>
    <d v="2025-11-16T00:00:00"/>
    <x v="8"/>
    <s v="Какао"/>
    <x v="1"/>
    <n v="1"/>
    <n v="234"/>
    <s v="Роман Ф."/>
    <s v="Ольга Кузнецова"/>
  </r>
  <r>
    <x v="4"/>
    <s v="Новосибирск"/>
    <d v="2025-07-28T00:00:00"/>
    <x v="5"/>
    <s v="Сэндвич"/>
    <x v="2"/>
    <n v="1"/>
    <n v="313"/>
    <s v="Юлия Д."/>
    <s v="Ольга Кузнецова"/>
  </r>
  <r>
    <x v="4"/>
    <s v="Новосибирск"/>
    <d v="2025-10-18T00:00:00"/>
    <x v="3"/>
    <s v="Круассан"/>
    <x v="0"/>
    <n v="1"/>
    <n v="167"/>
    <s v="Роман Ф."/>
    <s v="Ольга Кузнецова"/>
  </r>
  <r>
    <x v="4"/>
    <s v="Новосибирск"/>
    <d v="2025-12-11T00:00:00"/>
    <x v="0"/>
    <s v="Чизкейк"/>
    <x v="0"/>
    <n v="1"/>
    <n v="261"/>
    <s v="Роман Ф."/>
    <s v="Ольга Кузнецова"/>
  </r>
  <r>
    <x v="4"/>
    <s v="Новосибирск"/>
    <d v="2025-04-14T00:00:00"/>
    <x v="11"/>
    <s v="Синнабон"/>
    <x v="0"/>
    <n v="2"/>
    <n v="458"/>
    <s v="Роман Ф."/>
    <s v="Ольга Кузнецова"/>
  </r>
  <r>
    <x v="4"/>
    <s v="Новосибирск"/>
    <d v="2025-09-07T00:00:00"/>
    <x v="1"/>
    <s v="Круассан"/>
    <x v="0"/>
    <n v="2"/>
    <n v="344"/>
    <s v="Артём Б."/>
    <s v="Ольга Кузнецова"/>
  </r>
  <r>
    <x v="4"/>
    <s v="Новосибирск"/>
    <d v="2025-12-13T00:00:00"/>
    <x v="0"/>
    <s v="Капучино"/>
    <x v="1"/>
    <n v="1"/>
    <n v="239"/>
    <s v="Виктор Л."/>
    <s v="Ольга Кузнецова"/>
  </r>
  <r>
    <x v="4"/>
    <s v="Новосибирск"/>
    <d v="2025-12-23T00:00:00"/>
    <x v="0"/>
    <s v="Синнабон"/>
    <x v="0"/>
    <n v="1"/>
    <n v="225"/>
    <s v="Артём Б."/>
    <s v="Ольга Кузнецова"/>
  </r>
  <r>
    <x v="4"/>
    <s v="Новосибирск"/>
    <d v="2025-08-25T00:00:00"/>
    <x v="9"/>
    <s v="Синнабон"/>
    <x v="0"/>
    <n v="2"/>
    <n v="374"/>
    <s v="Роман Ф."/>
    <s v="Ольга Кузнецова"/>
  </r>
  <r>
    <x v="4"/>
    <s v="Новосибирск"/>
    <d v="2025-01-25T00:00:00"/>
    <x v="4"/>
    <s v="Салат Цезарь"/>
    <x v="2"/>
    <n v="2"/>
    <n v="744"/>
    <s v="Артём Б."/>
    <s v="Ольга Кузнецова"/>
  </r>
  <r>
    <x v="4"/>
    <s v="Новосибирск"/>
    <d v="2025-11-18T00:00:00"/>
    <x v="8"/>
    <s v="Чизкейк"/>
    <x v="0"/>
    <n v="3"/>
    <n v="750"/>
    <s v="Светлана М."/>
    <s v="Ольга Кузнецова"/>
  </r>
  <r>
    <x v="4"/>
    <s v="Новосибирск"/>
    <d v="2025-01-26T00:00:00"/>
    <x v="4"/>
    <s v="Сэндвич"/>
    <x v="2"/>
    <n v="1"/>
    <n v="325"/>
    <s v="Наталья Р."/>
    <s v="Ольга Кузнецова"/>
  </r>
  <r>
    <x v="4"/>
    <s v="Новосибирск"/>
    <d v="2025-05-06T00:00:00"/>
    <x v="10"/>
    <s v="Салат Цезарь"/>
    <x v="2"/>
    <n v="2"/>
    <n v="732"/>
    <s v="Не указан"/>
    <s v="Ольга Кузнецова"/>
  </r>
  <r>
    <x v="4"/>
    <s v="Новосибирск"/>
    <d v="2025-10-24T00:00:00"/>
    <x v="3"/>
    <s v="Эспрессо"/>
    <x v="1"/>
    <n v="1"/>
    <n v="132"/>
    <s v="Роман Ф."/>
    <s v="Ольга Кузнецова"/>
  </r>
  <r>
    <x v="4"/>
    <s v="Новосибирск"/>
    <d v="2025-07-19T00:00:00"/>
    <x v="5"/>
    <s v="Латте"/>
    <x v="1"/>
    <n v="1"/>
    <n v="228"/>
    <s v="Юлия Д."/>
    <s v="Ольга Кузнецова"/>
  </r>
  <r>
    <x v="4"/>
    <s v="Новосибирск"/>
    <d v="2025-12-26T00:00:00"/>
    <x v="0"/>
    <s v="Синнабон"/>
    <x v="0"/>
    <n v="1"/>
    <n v="219"/>
    <s v="Наталья Р."/>
    <s v="Ольга Кузнецова"/>
  </r>
  <r>
    <x v="4"/>
    <s v="Новосибирск"/>
    <d v="2025-12-27T00:00:00"/>
    <x v="0"/>
    <s v="Латте"/>
    <x v="1"/>
    <n v="1"/>
    <n v="225"/>
    <s v="Виктор Л."/>
    <s v="Ольга Кузнецова"/>
  </r>
  <r>
    <x v="4"/>
    <s v="Новосибирск"/>
    <d v="2025-07-06T00:00:00"/>
    <x v="5"/>
    <s v="Эспрессо"/>
    <x v="1"/>
    <n v="3"/>
    <n v="447"/>
    <s v="Наталья Р."/>
    <s v="Ольга Кузнецова"/>
  </r>
  <r>
    <x v="4"/>
    <s v="Новосибирск"/>
    <d v="2025-03-03T00:00:00"/>
    <x v="6"/>
    <s v="Круассан"/>
    <x v="0"/>
    <n v="2"/>
    <n v="340"/>
    <s v="Светлана М."/>
    <s v="Ольга Кузнецова"/>
  </r>
  <r>
    <x v="4"/>
    <s v="Новосибирск"/>
    <d v="2025-01-13T00:00:00"/>
    <x v="4"/>
    <s v="Какао"/>
    <x v="1"/>
    <n v="2"/>
    <n v="444"/>
    <s v="Светлана М."/>
    <s v="Ольга Кузнецова"/>
  </r>
  <r>
    <x v="4"/>
    <s v="Новосибирск"/>
    <d v="2025-01-15T00:00:00"/>
    <x v="4"/>
    <s v="Чизкейк"/>
    <x v="0"/>
    <n v="1"/>
    <n v="273"/>
    <s v="Светлана М."/>
    <s v="Ольга Кузнецова"/>
  </r>
  <r>
    <x v="4"/>
    <s v="Новосибирск"/>
    <d v="2025-02-24T00:00:00"/>
    <x v="2"/>
    <s v="Синнабон"/>
    <x v="0"/>
    <n v="1"/>
    <n v="191"/>
    <s v="Юлия Д."/>
    <s v="Ольга Кузнецова"/>
  </r>
  <r>
    <x v="4"/>
    <s v="Новосибирск"/>
    <d v="2025-09-12T00:00:00"/>
    <x v="1"/>
    <s v="Салат Цезарь"/>
    <x v="2"/>
    <n v="3"/>
    <n v="1074"/>
    <s v="Наталья Р."/>
    <s v="Ольга Кузнецова"/>
  </r>
  <r>
    <x v="4"/>
    <s v="Новосибирск"/>
    <d v="2025-08-18T00:00:00"/>
    <x v="9"/>
    <s v="Эспрессо"/>
    <x v="1"/>
    <n v="1"/>
    <n v="156"/>
    <s v="Роман Ф."/>
    <s v="Ольга Кузнецова"/>
  </r>
  <r>
    <x v="4"/>
    <s v="Новосибирск"/>
    <d v="2025-09-17T00:00:00"/>
    <x v="1"/>
    <s v="Латте"/>
    <x v="1"/>
    <n v="1"/>
    <n v="211"/>
    <s v="Юлия Д."/>
    <s v="Ольга Кузнецова"/>
  </r>
  <r>
    <x v="4"/>
    <s v="Новосибирск"/>
    <d v="2025-01-20T00:00:00"/>
    <x v="4"/>
    <s v="Латте"/>
    <x v="1"/>
    <n v="2"/>
    <n v="470"/>
    <s v="Виктор Л."/>
    <s v="Ольга Кузнецова"/>
  </r>
  <r>
    <x v="4"/>
    <s v="Новосибирск"/>
    <d v="2025-11-12T00:00:00"/>
    <x v="8"/>
    <s v="Синнабон"/>
    <x v="0"/>
    <n v="1"/>
    <n v="231"/>
    <s v="Роман Ф."/>
    <s v="Ольга Кузнецова"/>
  </r>
  <r>
    <x v="4"/>
    <s v="Новосибирск"/>
    <d v="2025-10-10T00:00:00"/>
    <x v="3"/>
    <s v="Салат Цезарь"/>
    <x v="2"/>
    <n v="2"/>
    <n v="840"/>
    <s v="Виктор Л."/>
    <s v="Ольга Кузнецова"/>
  </r>
  <r>
    <x v="4"/>
    <s v="Новосибирск"/>
    <d v="2025-01-27T00:00:00"/>
    <x v="4"/>
    <s v="Круассан"/>
    <x v="0"/>
    <n v="1"/>
    <n v="191"/>
    <s v="Виктор Л."/>
    <s v="Ольга Кузнецова"/>
  </r>
  <r>
    <x v="4"/>
    <s v="Новосибирск"/>
    <d v="2025-03-01T00:00:00"/>
    <x v="6"/>
    <s v="Салат Цезарь"/>
    <x v="2"/>
    <n v="1"/>
    <n v="401"/>
    <s v="Роман Ф."/>
    <s v="Ольга Кузнецова"/>
  </r>
  <r>
    <x v="4"/>
    <s v="Новосибирск"/>
    <d v="2025-05-15T00:00:00"/>
    <x v="10"/>
    <s v="Матча латте"/>
    <x v="1"/>
    <n v="2"/>
    <n v="528"/>
    <s v="Роман Ф."/>
    <s v="Ольга Кузнецова"/>
  </r>
  <r>
    <x v="4"/>
    <s v="Новосибирск"/>
    <d v="2025-10-25T00:00:00"/>
    <x v="3"/>
    <s v="Американо"/>
    <x v="1"/>
    <n v="2"/>
    <n v="310"/>
    <s v="Виктор Л."/>
    <s v="Ольга Кузнецова"/>
  </r>
  <r>
    <x v="4"/>
    <s v="Новосибирск"/>
    <d v="2025-06-10T00:00:00"/>
    <x v="7"/>
    <s v="Американо"/>
    <x v="1"/>
    <n v="1"/>
    <n v="183"/>
    <s v="Артём Б."/>
    <s v="Ольга Кузнецова"/>
  </r>
  <r>
    <x v="4"/>
    <s v="Новосибирск"/>
    <d v="2025-05-06T00:00:00"/>
    <x v="10"/>
    <s v="Какао"/>
    <x v="1"/>
    <n v="2"/>
    <n v="392"/>
    <s v="Роман Ф."/>
    <s v="Ольга Кузнецова"/>
  </r>
  <r>
    <x v="4"/>
    <s v="Новосибирск"/>
    <d v="2025-12-17T00:00:00"/>
    <x v="0"/>
    <s v="Круассан"/>
    <x v="0"/>
    <n v="1"/>
    <n v="163"/>
    <s v="Наталья Р."/>
    <s v="Ольга Кузнецова"/>
  </r>
  <r>
    <x v="4"/>
    <s v="Новосибирск"/>
    <d v="2025-04-22T00:00:00"/>
    <x v="11"/>
    <s v="Салат Цезарь"/>
    <x v="2"/>
    <n v="1"/>
    <n v="395"/>
    <s v="Артём Б."/>
    <s v="Ольга Кузнецова"/>
  </r>
  <r>
    <x v="4"/>
    <s v="Новосибирск"/>
    <d v="2025-03-07T00:00:00"/>
    <x v="6"/>
    <s v="Сэндвич"/>
    <x v="2"/>
    <n v="1"/>
    <n v="334"/>
    <s v="Юлия Д."/>
    <s v="Ольга Кузнецова"/>
  </r>
  <r>
    <x v="4"/>
    <s v="Новосибирск"/>
    <d v="2025-11-16T00:00:00"/>
    <x v="8"/>
    <s v="Американо"/>
    <x v="1"/>
    <n v="1"/>
    <n v="186"/>
    <s v="Роман Ф."/>
    <s v="Ольга Кузнецова"/>
  </r>
  <r>
    <x v="4"/>
    <s v="Новосибирск"/>
    <d v="2025-12-13T00:00:00"/>
    <x v="0"/>
    <s v="Капучино"/>
    <x v="1"/>
    <n v="1"/>
    <n v="200"/>
    <s v="Светлана М."/>
    <s v="Ольга Кузнецова"/>
  </r>
  <r>
    <x v="4"/>
    <s v="Новосибирск"/>
    <d v="2025-10-01T00:00:00"/>
    <x v="3"/>
    <s v="Раф"/>
    <x v="1"/>
    <n v="1"/>
    <n v="235"/>
    <s v="Наталья Р."/>
    <s v="Ольга Кузнецова"/>
  </r>
  <r>
    <x v="4"/>
    <s v="Новосибирск"/>
    <d v="2025-09-09T00:00:00"/>
    <x v="1"/>
    <s v="Чизкейк"/>
    <x v="0"/>
    <n v="2"/>
    <n v="552"/>
    <s v="Виктор Л."/>
    <s v="Ольга Кузнецова"/>
  </r>
  <r>
    <x v="4"/>
    <s v="Новосибирск"/>
    <d v="2025-08-24T00:00:00"/>
    <x v="9"/>
    <s v="Матча латте"/>
    <x v="1"/>
    <n v="1"/>
    <n v="302"/>
    <s v="Виктор Л."/>
    <s v="Ольга Кузнецова"/>
  </r>
  <r>
    <x v="4"/>
    <s v="Новосибирск"/>
    <d v="2025-03-23T00:00:00"/>
    <x v="6"/>
    <s v="Раф"/>
    <x v="1"/>
    <n v="1"/>
    <n v="254"/>
    <s v="Светлана М."/>
    <s v="Ольга Кузнецова"/>
  </r>
  <r>
    <x v="4"/>
    <s v="Новосибирск"/>
    <d v="2025-06-10T00:00:00"/>
    <x v="7"/>
    <s v="Американо"/>
    <x v="1"/>
    <n v="2"/>
    <n v="370"/>
    <s v="Артём Б."/>
    <s v="Ольга Кузнецова"/>
  </r>
  <r>
    <x v="4"/>
    <s v="Новосибирск"/>
    <d v="2025-12-11T00:00:00"/>
    <x v="0"/>
    <s v="Синнабон"/>
    <x v="0"/>
    <n v="1"/>
    <n v="224"/>
    <s v="Артём Б."/>
    <s v="Ольга Кузнецова"/>
  </r>
  <r>
    <x v="4"/>
    <s v="Новосибирск"/>
    <d v="2025-10-07T00:00:00"/>
    <x v="3"/>
    <s v="Американо"/>
    <x v="1"/>
    <n v="2"/>
    <n v="354"/>
    <s v="Виктор Л."/>
    <s v="Ольга Кузнецова"/>
  </r>
  <r>
    <x v="4"/>
    <s v="Новосибирск"/>
    <d v="2025-06-19T00:00:00"/>
    <x v="7"/>
    <s v="Синнабон"/>
    <x v="0"/>
    <n v="1"/>
    <n v="195"/>
    <s v="Роман Ф."/>
    <s v="Ольга Кузнецова"/>
  </r>
  <r>
    <x v="4"/>
    <s v="Новосибирск"/>
    <d v="2025-09-14T00:00:00"/>
    <x v="1"/>
    <s v="Капучино"/>
    <x v="1"/>
    <n v="2"/>
    <n v="462"/>
    <s v="Артём Б."/>
    <s v="Ольга Кузнецова"/>
  </r>
  <r>
    <x v="4"/>
    <s v="Новосибирск"/>
    <d v="2025-11-01T00:00:00"/>
    <x v="8"/>
    <s v="Какао"/>
    <x v="1"/>
    <n v="1"/>
    <n v="205"/>
    <s v="Юлия Д."/>
    <s v="Ольга Кузнецова"/>
  </r>
  <r>
    <x v="4"/>
    <s v="Новосибирск"/>
    <d v="2025-07-09T00:00:00"/>
    <x v="5"/>
    <s v="Раф"/>
    <x v="1"/>
    <n v="2"/>
    <n v="536"/>
    <s v="Артём Б."/>
    <s v="Ольга Кузнецова"/>
  </r>
  <r>
    <x v="4"/>
    <s v="Новосибирск"/>
    <d v="2025-03-06T00:00:00"/>
    <x v="6"/>
    <s v="Сэндвич"/>
    <x v="2"/>
    <n v="2"/>
    <n v="612"/>
    <s v="Наталья Р."/>
    <s v="Ольга Кузнецова"/>
  </r>
  <r>
    <x v="4"/>
    <s v="Новосибирск"/>
    <d v="2025-03-04T00:00:00"/>
    <x v="6"/>
    <s v="Раф"/>
    <x v="1"/>
    <n v="2"/>
    <n v="556"/>
    <s v="Виктор Л."/>
    <s v="Ольга Кузнецова"/>
  </r>
  <r>
    <x v="4"/>
    <s v="Новосибирск"/>
    <d v="2025-05-05T00:00:00"/>
    <x v="10"/>
    <s v="Латте"/>
    <x v="1"/>
    <n v="1"/>
    <n v="246"/>
    <s v="Роман Ф."/>
    <s v="Ольга Кузнецова"/>
  </r>
  <r>
    <x v="4"/>
    <s v="Новосибирск"/>
    <d v="2025-05-11T00:00:00"/>
    <x v="10"/>
    <s v="Какао"/>
    <x v="1"/>
    <n v="3"/>
    <n v="699"/>
    <s v="Юлия Д."/>
    <s v="Ольга Кузнецова"/>
  </r>
  <r>
    <x v="4"/>
    <s v="Новосибирск"/>
    <d v="2025-12-28T00:00:00"/>
    <x v="0"/>
    <s v="Синнабон"/>
    <x v="0"/>
    <n v="2"/>
    <n v="416"/>
    <s v="Наталья Р."/>
    <s v="Ольга Кузнецова"/>
  </r>
  <r>
    <x v="4"/>
    <s v="Новосибирск"/>
    <d v="2025-12-22T00:00:00"/>
    <x v="0"/>
    <s v="Салат Цезарь"/>
    <x v="2"/>
    <n v="2"/>
    <n v="702"/>
    <s v="Роман Ф."/>
    <s v="Ольга Кузнецова"/>
  </r>
  <r>
    <x v="4"/>
    <s v="Новосибирск"/>
    <d v="2025-09-16T00:00:00"/>
    <x v="1"/>
    <s v="Сэндвич"/>
    <x v="2"/>
    <n v="3"/>
    <n v="876"/>
    <s v="Артём Б."/>
    <s v="Ольга Кузнецова"/>
  </r>
  <r>
    <x v="4"/>
    <s v="Новосибирск"/>
    <d v="2025-07-11T00:00:00"/>
    <x v="5"/>
    <s v="Какао"/>
    <x v="1"/>
    <n v="3"/>
    <n v="603"/>
    <s v="Юлия Д."/>
    <s v="Ольга Кузнецова"/>
  </r>
  <r>
    <x v="4"/>
    <s v="Новосибирск"/>
    <d v="2025-03-21T00:00:00"/>
    <x v="6"/>
    <s v="Чизкейк"/>
    <x v="0"/>
    <n v="1"/>
    <n v="242"/>
    <s v="Наталья Р."/>
    <s v="Ольга Кузнецова"/>
  </r>
  <r>
    <x v="4"/>
    <s v="Новосибирск"/>
    <d v="2025-04-07T00:00:00"/>
    <x v="11"/>
    <s v="Эспрессо"/>
    <x v="1"/>
    <n v="1"/>
    <n v="151"/>
    <s v="Наталья Р."/>
    <s v="Ольга Кузнецова"/>
  </r>
  <r>
    <x v="4"/>
    <s v="Новосибирск"/>
    <d v="2025-03-25T00:00:00"/>
    <x v="6"/>
    <s v="Матча латте"/>
    <x v="1"/>
    <n v="2"/>
    <n v="494"/>
    <s v="Виктор Л."/>
    <s v="Ольга Кузнецова"/>
  </r>
  <r>
    <x v="4"/>
    <s v="Новосибирск"/>
    <d v="2025-12-06T00:00:00"/>
    <x v="0"/>
    <s v="Синнабон"/>
    <x v="0"/>
    <n v="1"/>
    <n v="221"/>
    <s v="Артём Б."/>
    <s v="Ольга Кузнецова"/>
  </r>
  <r>
    <x v="4"/>
    <s v="Новосибирск"/>
    <d v="2025-11-01T00:00:00"/>
    <x v="8"/>
    <s v="Капучино"/>
    <x v="1"/>
    <n v="1"/>
    <n v="195"/>
    <s v="Юлия Д."/>
    <s v="Ольга Кузнецова"/>
  </r>
  <r>
    <x v="4"/>
    <s v="Новосибирск"/>
    <d v="2025-06-11T00:00:00"/>
    <x v="7"/>
    <s v="Матча латте"/>
    <x v="1"/>
    <n v="1"/>
    <n v="301"/>
    <s v="Артём Б."/>
    <s v="Ольга Кузнецова"/>
  </r>
  <r>
    <x v="4"/>
    <s v="Новосибирск"/>
    <d v="2025-10-20T00:00:00"/>
    <x v="3"/>
    <s v="Латте"/>
    <x v="1"/>
    <n v="3"/>
    <n v="714"/>
    <s v="Светлана М."/>
    <s v="Ольга Кузнецова"/>
  </r>
  <r>
    <x v="4"/>
    <s v="Новосибирск"/>
    <d v="2025-10-17T00:00:00"/>
    <x v="3"/>
    <s v="Матча латте"/>
    <x v="1"/>
    <n v="1"/>
    <n v="260"/>
    <s v="Светлана М."/>
    <s v="Ольга Кузнецова"/>
  </r>
  <r>
    <x v="4"/>
    <s v="Новосибирск"/>
    <d v="2025-08-28T00:00:00"/>
    <x v="9"/>
    <s v="Салат Цезарь"/>
    <x v="2"/>
    <n v="2"/>
    <n v="708"/>
    <s v="Виктор Л."/>
    <s v="Ольга Кузнецова"/>
  </r>
  <r>
    <x v="4"/>
    <s v="Новосибирск"/>
    <d v="2025-04-28T00:00:00"/>
    <x v="11"/>
    <s v="Латте"/>
    <x v="1"/>
    <n v="3"/>
    <n v="666"/>
    <s v="Наталья Р."/>
    <s v="Ольга Кузнецова"/>
  </r>
  <r>
    <x v="4"/>
    <s v="Новосибирск"/>
    <d v="2025-01-25T00:00:00"/>
    <x v="4"/>
    <s v="Матча латте"/>
    <x v="1"/>
    <n v="2"/>
    <n v="570"/>
    <s v="Виктор Л."/>
    <s v="Ольга Кузнецова"/>
  </r>
  <r>
    <x v="4"/>
    <s v="Новосибирск"/>
    <d v="2025-01-13T00:00:00"/>
    <x v="4"/>
    <s v="Матча латте"/>
    <x v="1"/>
    <n v="3"/>
    <n v="909"/>
    <s v="Светлана М."/>
    <s v="Ольга Кузнецова"/>
  </r>
  <r>
    <x v="4"/>
    <s v="Новосибирск"/>
    <d v="2025-12-07T00:00:00"/>
    <x v="0"/>
    <s v="Чизкейк"/>
    <x v="0"/>
    <n v="1"/>
    <n v="269"/>
    <s v="Роман Ф."/>
    <s v="Ольга Кузнецова"/>
  </r>
  <r>
    <x v="4"/>
    <s v="Новосибирск"/>
    <d v="2025-01-02T00:00:00"/>
    <x v="4"/>
    <s v="Капучино"/>
    <x v="1"/>
    <n v="2"/>
    <n v="474"/>
    <s v="Юлия Д."/>
    <s v="Ольга Кузнецова"/>
  </r>
  <r>
    <x v="4"/>
    <s v="Новосибирск"/>
    <d v="2025-04-18T00:00:00"/>
    <x v="11"/>
    <s v="Матча латте"/>
    <x v="1"/>
    <n v="1"/>
    <n v="305"/>
    <s v="Роман Ф."/>
    <s v="Ольга Кузнецова"/>
  </r>
  <r>
    <x v="4"/>
    <s v="Новосибирск"/>
    <d v="2025-01-27T00:00:00"/>
    <x v="4"/>
    <s v="Салат Цезарь"/>
    <x v="2"/>
    <n v="1"/>
    <n v="396"/>
    <s v="Артём Б."/>
    <s v="Ольга Кузнецова"/>
  </r>
  <r>
    <x v="4"/>
    <s v="Новосибирск"/>
    <d v="2025-06-16T00:00:00"/>
    <x v="7"/>
    <s v="Какао"/>
    <x v="1"/>
    <n v="1"/>
    <n v="220"/>
    <s v="Артём Б."/>
    <s v="Ольга Кузнецова"/>
  </r>
  <r>
    <x v="4"/>
    <s v="Новосибирск"/>
    <d v="2025-10-18T00:00:00"/>
    <x v="3"/>
    <s v="Раф"/>
    <x v="1"/>
    <n v="2"/>
    <n v="514"/>
    <s v="Наталья Р."/>
    <s v="Ольга Кузнецова"/>
  </r>
  <r>
    <x v="4"/>
    <s v="Новосибирск"/>
    <d v="2025-12-27T00:00:00"/>
    <x v="0"/>
    <s v="Американо"/>
    <x v="1"/>
    <n v="2"/>
    <n v="308"/>
    <s v="Артём Б."/>
    <s v="Ольга Кузнецова"/>
  </r>
  <r>
    <x v="4"/>
    <s v="Новосибирск"/>
    <d v="2025-10-24T00:00:00"/>
    <x v="3"/>
    <s v="Какао"/>
    <x v="1"/>
    <n v="1"/>
    <n v="241"/>
    <s v="Юлия Д."/>
    <s v="Ольга Кузнецова"/>
  </r>
  <r>
    <x v="4"/>
    <s v="Новосибирск"/>
    <d v="2025-10-01T00:00:00"/>
    <x v="3"/>
    <s v="Американо"/>
    <x v="1"/>
    <n v="3"/>
    <n v="492"/>
    <s v="Наталья Р."/>
    <s v="Ольга Кузнецова"/>
  </r>
  <r>
    <x v="4"/>
    <s v="Новосибирск"/>
    <d v="2025-09-22T00:00:00"/>
    <x v="1"/>
    <s v="Матча латте"/>
    <x v="1"/>
    <n v="3"/>
    <n v="912"/>
    <s v="Юлия Д."/>
    <s v="Ольга Кузнецова"/>
  </r>
  <r>
    <x v="4"/>
    <s v="Новосибирск"/>
    <d v="2025-03-21T00:00:00"/>
    <x v="6"/>
    <s v="Чизкейк"/>
    <x v="0"/>
    <n v="2"/>
    <n v="462"/>
    <s v="Роман Ф."/>
    <s v="Ольга Кузнецова"/>
  </r>
  <r>
    <x v="4"/>
    <s v="Новосибирск"/>
    <d v="2025-04-06T00:00:00"/>
    <x v="11"/>
    <s v="Американо"/>
    <x v="1"/>
    <n v="1"/>
    <n v="164"/>
    <s v="Артём Б."/>
    <s v="Ольга Кузнецова"/>
  </r>
  <r>
    <x v="4"/>
    <s v="Новосибирск"/>
    <d v="2025-12-21T00:00:00"/>
    <x v="0"/>
    <s v="Раф"/>
    <x v="1"/>
    <n v="1"/>
    <n v="290"/>
    <s v="Роман Ф."/>
    <s v="Ольга Кузнецова"/>
  </r>
  <r>
    <x v="4"/>
    <s v="Новосибирск"/>
    <d v="2025-10-16T00:00:00"/>
    <x v="3"/>
    <s v="Латте"/>
    <x v="1"/>
    <n v="3"/>
    <n v="714"/>
    <s v="Виктор Л."/>
    <s v="Ольга Кузнецова"/>
  </r>
  <r>
    <x v="4"/>
    <s v="Новосибирск"/>
    <d v="2025-02-14T00:00:00"/>
    <x v="2"/>
    <s v="Круассан"/>
    <x v="0"/>
    <n v="1"/>
    <n v="195"/>
    <s v="Артём Б."/>
    <s v="Ольга Кузнецова"/>
  </r>
  <r>
    <x v="4"/>
    <s v="Новосибирск"/>
    <d v="2025-04-17T00:00:00"/>
    <x v="11"/>
    <s v="Раф"/>
    <x v="1"/>
    <n v="2"/>
    <n v="548"/>
    <s v="Виктор Л."/>
    <s v="Ольга Кузнецова"/>
  </r>
  <r>
    <x v="4"/>
    <s v="Новосибирск"/>
    <d v="2025-06-22T00:00:00"/>
    <x v="7"/>
    <s v="Салат Цезарь"/>
    <x v="2"/>
    <n v="1"/>
    <n v="422"/>
    <s v="Артём Б."/>
    <s v="Ольга Кузнецова"/>
  </r>
  <r>
    <x v="4"/>
    <s v="Новосибирск"/>
    <d v="2025-10-18T00:00:00"/>
    <x v="3"/>
    <s v="Эспрессо"/>
    <x v="1"/>
    <n v="3"/>
    <n v="387"/>
    <s v="Юлия Д."/>
    <s v="Ольга Кузнецова"/>
  </r>
  <r>
    <x v="4"/>
    <s v="Новосибирск"/>
    <d v="2025-06-05T00:00:00"/>
    <x v="7"/>
    <s v="Круассан"/>
    <x v="0"/>
    <n v="3"/>
    <n v="534"/>
    <s v="Роман Ф."/>
    <s v="Ольга Кузнецова"/>
  </r>
  <r>
    <x v="4"/>
    <s v="Новосибирск"/>
    <d v="2025-08-19T00:00:00"/>
    <x v="9"/>
    <s v="Чизкейк"/>
    <x v="0"/>
    <n v="1"/>
    <n v="221"/>
    <s v="Артём Б."/>
    <s v="Ольга Кузнецова"/>
  </r>
  <r>
    <x v="4"/>
    <s v="Новосибирск"/>
    <d v="2025-06-20T00:00:00"/>
    <x v="7"/>
    <s v="Раф"/>
    <x v="1"/>
    <n v="2"/>
    <n v="494"/>
    <s v="Наталья Р."/>
    <s v="Ольга Кузнецова"/>
  </r>
  <r>
    <x v="4"/>
    <s v="Новосибирск"/>
    <d v="2025-03-20T00:00:00"/>
    <x v="6"/>
    <s v="Салат Цезарь"/>
    <x v="2"/>
    <n v="1"/>
    <n v="382"/>
    <s v="Артём Б."/>
    <s v="Ольга Кузнецова"/>
  </r>
  <r>
    <x v="4"/>
    <s v="Новосибирск"/>
    <d v="2025-03-23T00:00:00"/>
    <x v="6"/>
    <s v="Матча латте"/>
    <x v="1"/>
    <n v="3"/>
    <n v="855"/>
    <s v="Виктор Л."/>
    <s v="Ольга Кузнецова"/>
  </r>
  <r>
    <x v="4"/>
    <s v="Новосибирск"/>
    <d v="2025-10-14T00:00:00"/>
    <x v="3"/>
    <s v="Матча латте"/>
    <x v="1"/>
    <n v="1"/>
    <n v="282"/>
    <s v="Наталья Р."/>
    <s v="Ольга Кузнецова"/>
  </r>
  <r>
    <x v="4"/>
    <s v="Новосибирск"/>
    <d v="2025-02-10T00:00:00"/>
    <x v="2"/>
    <s v="Раф"/>
    <x v="1"/>
    <n v="1"/>
    <n v="257"/>
    <s v="Роман Ф."/>
    <s v="Ольга Кузнецова"/>
  </r>
  <r>
    <x v="4"/>
    <s v="Новосибирск"/>
    <d v="2025-11-23T00:00:00"/>
    <x v="8"/>
    <s v="Чизкейк"/>
    <x v="0"/>
    <n v="1"/>
    <n v="224"/>
    <s v="Виктор Л."/>
    <s v="Ольга Кузнецова"/>
  </r>
  <r>
    <x v="4"/>
    <s v="Новосибирск"/>
    <d v="2025-01-17T00:00:00"/>
    <x v="4"/>
    <s v="Чизкейк"/>
    <x v="0"/>
    <n v="2"/>
    <n v="514"/>
    <s v="Артём Б."/>
    <s v="Ольга Кузнецова"/>
  </r>
  <r>
    <x v="4"/>
    <s v="Новосибирск"/>
    <d v="2025-06-15T00:00:00"/>
    <x v="7"/>
    <s v="Чизкейк"/>
    <x v="0"/>
    <n v="3"/>
    <n v="663"/>
    <s v="Артём Б."/>
    <s v="Ольга Кузнецова"/>
  </r>
  <r>
    <x v="4"/>
    <s v="Новосибирск"/>
    <d v="2025-04-09T00:00:00"/>
    <x v="11"/>
    <s v="Сэндвич"/>
    <x v="2"/>
    <n v="2"/>
    <n v="568"/>
    <s v="Артём Б."/>
    <s v="Ольга Кузнецова"/>
  </r>
  <r>
    <x v="4"/>
    <s v="Новосибирск"/>
    <d v="2025-01-01T00:00:00"/>
    <x v="4"/>
    <s v="Какао"/>
    <x v="1"/>
    <n v="3"/>
    <n v="630"/>
    <s v="Светлана М."/>
    <s v="Ольга Кузнецова"/>
  </r>
  <r>
    <x v="4"/>
    <s v="Новосибирск"/>
    <d v="2025-04-09T00:00:00"/>
    <x v="11"/>
    <s v="Чизкейк"/>
    <x v="0"/>
    <n v="3"/>
    <n v="810"/>
    <s v="Наталья Р."/>
    <s v="Ольга Кузнецова"/>
  </r>
  <r>
    <x v="4"/>
    <s v="Новосибирск"/>
    <d v="2025-03-24T00:00:00"/>
    <x v="6"/>
    <s v="Синнабон"/>
    <x v="0"/>
    <n v="1"/>
    <n v="191"/>
    <s v="Виктор Л."/>
    <s v="Ольга Кузнецова"/>
  </r>
  <r>
    <x v="4"/>
    <s v="Новосибирск"/>
    <d v="2025-02-13T00:00:00"/>
    <x v="2"/>
    <s v="Чизкейк"/>
    <x v="0"/>
    <n v="1"/>
    <n v="252"/>
    <s v="Артём Б."/>
    <s v="Ольга Кузнецова"/>
  </r>
  <r>
    <x v="4"/>
    <s v="Новосибирск"/>
    <d v="2025-02-10T00:00:00"/>
    <x v="2"/>
    <s v="Круассан"/>
    <x v="0"/>
    <n v="1"/>
    <n v="186"/>
    <s v="Роман Ф."/>
    <s v="Ольга Кузнецова"/>
  </r>
  <r>
    <x v="4"/>
    <s v="Новосибирск"/>
    <d v="2025-10-16T00:00:00"/>
    <x v="3"/>
    <s v="Круассан"/>
    <x v="0"/>
    <n v="1"/>
    <n v="197"/>
    <s v="Виктор Л."/>
    <s v="Ольга Кузнецова"/>
  </r>
  <r>
    <x v="4"/>
    <s v="Новосибирск"/>
    <d v="2025-10-19T00:00:00"/>
    <x v="3"/>
    <s v="Сэндвич"/>
    <x v="2"/>
    <n v="2"/>
    <n v="668"/>
    <s v="Виктор Л."/>
    <s v="Ольга Кузнецова"/>
  </r>
  <r>
    <x v="4"/>
    <s v="Новосибирск"/>
    <d v="2025-12-01T00:00:00"/>
    <x v="0"/>
    <s v="Какао"/>
    <x v="1"/>
    <n v="1"/>
    <n v="226"/>
    <s v="Артём Б."/>
    <s v="Ольга Кузнецова"/>
  </r>
  <r>
    <x v="4"/>
    <s v="Новосибирск"/>
    <d v="2025-02-11T00:00:00"/>
    <x v="2"/>
    <s v="Круассан"/>
    <x v="0"/>
    <n v="2"/>
    <n v="346"/>
    <s v="Роман Ф."/>
    <s v="Ольга Кузнецова"/>
  </r>
  <r>
    <x v="4"/>
    <s v="Новосибирск"/>
    <d v="2025-01-10T00:00:00"/>
    <x v="4"/>
    <s v="Круассан"/>
    <x v="0"/>
    <n v="2"/>
    <n v="342"/>
    <s v="Виктор Л."/>
    <s v="Ольга Кузнецова"/>
  </r>
  <r>
    <x v="4"/>
    <s v="Новосибирск"/>
    <d v="2025-05-04T00:00:00"/>
    <x v="10"/>
    <s v="Матча латте"/>
    <x v="1"/>
    <n v="2"/>
    <n v="582"/>
    <s v="Виктор Л."/>
    <s v="Ольга Кузнецова"/>
  </r>
  <r>
    <x v="4"/>
    <s v="Новосибирск"/>
    <d v="2025-11-18T00:00:00"/>
    <x v="8"/>
    <s v="Какао"/>
    <x v="1"/>
    <n v="1"/>
    <n v="244"/>
    <s v="Роман Ф."/>
    <s v="Ольга Кузнецова"/>
  </r>
  <r>
    <x v="4"/>
    <s v="Новосибирск"/>
    <d v="2025-09-13T00:00:00"/>
    <x v="1"/>
    <s v="Салат Цезарь"/>
    <x v="2"/>
    <n v="3"/>
    <n v="1083"/>
    <s v="Наталья Р."/>
    <s v="Ольга Кузнецова"/>
  </r>
  <r>
    <x v="4"/>
    <s v="Новосибирск"/>
    <d v="2025-12-19T00:00:00"/>
    <x v="0"/>
    <s v="Латте"/>
    <x v="1"/>
    <n v="1"/>
    <n v="257"/>
    <s v="Роман Ф."/>
    <s v="Ольга Кузнецова"/>
  </r>
  <r>
    <x v="4"/>
    <s v="Новосибирск"/>
    <d v="2025-10-05T00:00:00"/>
    <x v="3"/>
    <s v="Чизкейк"/>
    <x v="0"/>
    <n v="2"/>
    <n v="538"/>
    <s v="Юлия Д."/>
    <s v="Ольга Кузнецова"/>
  </r>
  <r>
    <x v="4"/>
    <s v="Новосибирск"/>
    <d v="2025-09-03T00:00:00"/>
    <x v="1"/>
    <s v="Какао"/>
    <x v="1"/>
    <n v="1"/>
    <n v="208"/>
    <s v="Юлия Д."/>
    <s v="Ольга Кузнецова"/>
  </r>
  <r>
    <x v="4"/>
    <s v="Новосибирск"/>
    <d v="2025-12-19T00:00:00"/>
    <x v="0"/>
    <s v="Раф"/>
    <x v="1"/>
    <n v="2"/>
    <n v="546"/>
    <s v="Роман Ф."/>
    <s v="Ольга Кузнецова"/>
  </r>
  <r>
    <x v="4"/>
    <s v="Новосибирск"/>
    <d v="2025-02-07T00:00:00"/>
    <x v="2"/>
    <s v="Капучино"/>
    <x v="1"/>
    <n v="1"/>
    <n v="224"/>
    <s v="Виктор Л."/>
    <s v="Ольга Кузнецова"/>
  </r>
  <r>
    <x v="4"/>
    <s v="Новосибирск"/>
    <d v="2025-07-20T00:00:00"/>
    <x v="5"/>
    <s v="Эспрессо"/>
    <x v="1"/>
    <n v="2"/>
    <n v="320"/>
    <s v="Артём Б."/>
    <s v="Ольга Кузнецова"/>
  </r>
  <r>
    <x v="4"/>
    <s v="Новосибирск"/>
    <d v="2025-07-28T00:00:00"/>
    <x v="5"/>
    <s v="Сэндвич"/>
    <x v="2"/>
    <n v="1"/>
    <n v="292"/>
    <s v="Артём Б."/>
    <s v="Ольга Кузнецова"/>
  </r>
  <r>
    <x v="4"/>
    <s v="Новосибирск"/>
    <d v="2025-05-01T00:00:00"/>
    <x v="10"/>
    <s v="Круассан"/>
    <x v="0"/>
    <n v="3"/>
    <n v="567"/>
    <s v="Виктор Л."/>
    <s v="Ольга Кузнецова"/>
  </r>
  <r>
    <x v="4"/>
    <s v="Новосибирск"/>
    <d v="2025-09-04T00:00:00"/>
    <x v="1"/>
    <s v="Круассан"/>
    <x v="0"/>
    <n v="1"/>
    <n v="192"/>
    <s v="Артём Б."/>
    <s v="Ольга Кузнецова"/>
  </r>
  <r>
    <x v="4"/>
    <s v="Новосибирск"/>
    <d v="2025-07-27T00:00:00"/>
    <x v="5"/>
    <s v="Сэндвич"/>
    <x v="2"/>
    <n v="3"/>
    <n v="1044"/>
    <s v="Виктор Л."/>
    <s v="Ольга Кузнецова"/>
  </r>
  <r>
    <x v="4"/>
    <s v="Новосибирск"/>
    <d v="2025-09-01T00:00:00"/>
    <x v="1"/>
    <s v="Матча латте"/>
    <x v="1"/>
    <n v="1"/>
    <n v="286"/>
    <s v="Наталья Р."/>
    <s v="Ольга Кузнецова"/>
  </r>
  <r>
    <x v="4"/>
    <s v="Новосибирск"/>
    <d v="2025-02-20T00:00:00"/>
    <x v="2"/>
    <s v="Раф"/>
    <x v="1"/>
    <n v="2"/>
    <n v="500"/>
    <s v="Светлана М."/>
    <s v="Ольга Кузнецова"/>
  </r>
  <r>
    <x v="4"/>
    <s v="Новосибирск"/>
    <d v="2025-06-06T00:00:00"/>
    <x v="7"/>
    <s v="Круассан"/>
    <x v="0"/>
    <n v="1"/>
    <n v="175"/>
    <s v="Артём Б."/>
    <s v="Ольга Кузнецова"/>
  </r>
  <r>
    <x v="4"/>
    <s v="Новосибирск"/>
    <d v="2025-05-20T00:00:00"/>
    <x v="10"/>
    <s v="Круассан"/>
    <x v="0"/>
    <n v="1"/>
    <n v="163"/>
    <s v="Роман Ф."/>
    <s v="Ольга Кузнецова"/>
  </r>
  <r>
    <x v="4"/>
    <s v="Новосибирск"/>
    <d v="2025-06-01T00:00:00"/>
    <x v="7"/>
    <s v="Сэндвич"/>
    <x v="2"/>
    <n v="1"/>
    <n v="327"/>
    <s v="Роман Ф."/>
    <s v="Ольга Кузнецова"/>
  </r>
  <r>
    <x v="4"/>
    <s v="Новосибирск"/>
    <d v="2025-05-22T00:00:00"/>
    <x v="10"/>
    <s v="Раф"/>
    <x v="1"/>
    <n v="2"/>
    <n v="502"/>
    <s v="Светлана М."/>
    <s v="Ольга Кузнецова"/>
  </r>
  <r>
    <x v="4"/>
    <s v="Новосибирск"/>
    <d v="2025-02-18T00:00:00"/>
    <x v="2"/>
    <s v="Какао"/>
    <x v="1"/>
    <n v="1"/>
    <n v="243"/>
    <s v="Роман Ф."/>
    <s v="Ольга Кузнецова"/>
  </r>
  <r>
    <x v="4"/>
    <s v="Новосибирск"/>
    <d v="2025-12-08T00:00:00"/>
    <x v="0"/>
    <s v="Латте"/>
    <x v="1"/>
    <n v="1"/>
    <n v="200"/>
    <s v="Роман Ф."/>
    <s v="Ольга Кузнецова"/>
  </r>
  <r>
    <x v="4"/>
    <s v="Новосибирск"/>
    <d v="2025-09-04T00:00:00"/>
    <x v="1"/>
    <s v="Чизкейк"/>
    <x v="0"/>
    <n v="1"/>
    <n v="230"/>
    <s v="Наталья Р."/>
    <s v="Ольга Кузнецова"/>
  </r>
  <r>
    <x v="4"/>
    <s v="Новосибирск"/>
    <d v="2025-11-18T00:00:00"/>
    <x v="8"/>
    <s v="Круассан"/>
    <x v="0"/>
    <n v="2"/>
    <n v="390"/>
    <s v="Юлия Д."/>
    <s v="Ольга Кузнецова"/>
  </r>
  <r>
    <x v="4"/>
    <s v="Новосибирск"/>
    <d v="2025-12-12T00:00:00"/>
    <x v="0"/>
    <s v="Американо"/>
    <x v="1"/>
    <n v="2"/>
    <n v="318"/>
    <s v="Артём Б."/>
    <s v="Ольга Кузнецова"/>
  </r>
  <r>
    <x v="4"/>
    <s v="Новосибирск"/>
    <d v="2025-03-11T00:00:00"/>
    <x v="6"/>
    <s v="Круассан"/>
    <x v="0"/>
    <n v="3"/>
    <n v="489"/>
    <s v="Наталья Р."/>
    <s v="Ольга Кузнецова"/>
  </r>
  <r>
    <x v="4"/>
    <s v="Новосибирск"/>
    <d v="2025-04-10T00:00:00"/>
    <x v="11"/>
    <s v="Раф"/>
    <x v="1"/>
    <n v="1"/>
    <n v="241"/>
    <s v="Светлана М."/>
    <s v="Ольга Кузнецова"/>
  </r>
  <r>
    <x v="4"/>
    <s v="Новосибирск"/>
    <d v="2025-10-11T00:00:00"/>
    <x v="3"/>
    <s v="Раф"/>
    <x v="1"/>
    <n v="3"/>
    <n v="786"/>
    <s v="Артём Б."/>
    <s v="Ольга Кузнецова"/>
  </r>
  <r>
    <x v="4"/>
    <s v="Новосибирск"/>
    <d v="2025-11-09T00:00:00"/>
    <x v="8"/>
    <s v="Синнабон"/>
    <x v="0"/>
    <n v="2"/>
    <n v="464"/>
    <s v="Роман Ф."/>
    <s v="Ольга Кузнецова"/>
  </r>
  <r>
    <x v="4"/>
    <s v="Новосибирск"/>
    <d v="2025-11-04T00:00:00"/>
    <x v="8"/>
    <s v="Американо"/>
    <x v="1"/>
    <n v="1"/>
    <n v="156"/>
    <s v="Светлана М."/>
    <s v="Ольга Кузнецова"/>
  </r>
  <r>
    <x v="4"/>
    <s v="Новосибирск"/>
    <d v="2025-11-24T00:00:00"/>
    <x v="8"/>
    <s v="Чизкейк"/>
    <x v="0"/>
    <n v="3"/>
    <n v="720"/>
    <s v="Артём Б."/>
    <s v="Ольга Кузнецова"/>
  </r>
  <r>
    <x v="4"/>
    <s v="Новосибирск"/>
    <d v="2025-08-05T00:00:00"/>
    <x v="9"/>
    <s v="Американо"/>
    <x v="1"/>
    <n v="1"/>
    <n v="194"/>
    <s v="Виктор Л."/>
    <s v="Ольга Кузнецова"/>
  </r>
  <r>
    <x v="4"/>
    <s v="Новосибирск"/>
    <d v="2025-10-22T00:00:00"/>
    <x v="3"/>
    <s v="Эспрессо"/>
    <x v="1"/>
    <n v="1"/>
    <n v="157"/>
    <s v="Роман Ф."/>
    <s v="Ольга Кузнецова"/>
  </r>
  <r>
    <x v="4"/>
    <s v="Новосибирск"/>
    <d v="2025-10-27T00:00:00"/>
    <x v="3"/>
    <s v="Круассан"/>
    <x v="0"/>
    <n v="1"/>
    <n v="182"/>
    <s v="Роман Ф."/>
    <s v="Ольга Кузнецова"/>
  </r>
  <r>
    <x v="4"/>
    <s v="Новосибирск"/>
    <d v="2025-07-12T00:00:00"/>
    <x v="5"/>
    <s v="Чизкейк"/>
    <x v="0"/>
    <n v="1"/>
    <n v="253"/>
    <s v="Артём Б."/>
    <s v="Ольга Кузнецова"/>
  </r>
  <r>
    <x v="4"/>
    <s v="Новосибирск"/>
    <d v="2025-02-17T00:00:00"/>
    <x v="2"/>
    <s v="Латте"/>
    <x v="1"/>
    <n v="1"/>
    <n v="204"/>
    <s v="Роман Ф."/>
    <s v="Ольга Кузнецова"/>
  </r>
  <r>
    <x v="4"/>
    <s v="Новосибирск"/>
    <d v="2025-05-06T00:00:00"/>
    <x v="10"/>
    <s v="Капучино"/>
    <x v="1"/>
    <n v="2"/>
    <n v="410"/>
    <s v="Роман Ф."/>
    <s v="Ольга Кузнецова"/>
  </r>
  <r>
    <x v="4"/>
    <s v="Новосибирск"/>
    <d v="2025-02-07T00:00:00"/>
    <x v="2"/>
    <s v="Салат Цезарь"/>
    <x v="2"/>
    <n v="1"/>
    <n v="356"/>
    <s v="Артём Б."/>
    <s v="Ольга Кузнецова"/>
  </r>
  <r>
    <x v="4"/>
    <s v="Новосибирск"/>
    <d v="2025-09-01T00:00:00"/>
    <x v="1"/>
    <s v="Сэндвич"/>
    <x v="2"/>
    <n v="2"/>
    <n v="680"/>
    <s v="Светлана М."/>
    <s v="Ольга Кузнецова"/>
  </r>
  <r>
    <x v="4"/>
    <s v="Новосибирск"/>
    <d v="2025-02-14T00:00:00"/>
    <x v="2"/>
    <s v="Салат Цезарь"/>
    <x v="2"/>
    <n v="1"/>
    <n v="348"/>
    <s v="Роман Ф."/>
    <s v="Ольга Кузнецова"/>
  </r>
  <r>
    <x v="4"/>
    <s v="Новосибирск"/>
    <d v="2025-07-26T00:00:00"/>
    <x v="5"/>
    <s v="Круассан"/>
    <x v="0"/>
    <n v="1"/>
    <n v="194"/>
    <s v="Наталья Р."/>
    <s v="Ольга Кузнецова"/>
  </r>
  <r>
    <x v="4"/>
    <s v="Новосибирск"/>
    <d v="2025-01-25T00:00:00"/>
    <x v="4"/>
    <s v="Салат Цезарь"/>
    <x v="2"/>
    <n v="1"/>
    <n v="380"/>
    <s v="Юлия Д."/>
    <s v="Ольга Кузнецова"/>
  </r>
  <r>
    <x v="4"/>
    <s v="Новосибирск"/>
    <d v="2025-04-11T00:00:00"/>
    <x v="11"/>
    <s v="Какао"/>
    <x v="1"/>
    <n v="2"/>
    <n v="432"/>
    <s v="Роман Ф."/>
    <s v="Ольга Кузнецова"/>
  </r>
  <r>
    <x v="4"/>
    <s v="Новосибирск"/>
    <d v="2025-04-11T00:00:00"/>
    <x v="11"/>
    <s v="Сэндвич"/>
    <x v="2"/>
    <n v="1"/>
    <n v="306"/>
    <s v="Роман Ф."/>
    <s v="Ольга Кузнецова"/>
  </r>
  <r>
    <x v="4"/>
    <s v="Новосибирск"/>
    <d v="2025-12-28T00:00:00"/>
    <x v="0"/>
    <s v="Эспрессо"/>
    <x v="1"/>
    <n v="1"/>
    <n v="126"/>
    <s v="Роман Ф."/>
    <s v="Ольга Кузнецова"/>
  </r>
  <r>
    <x v="4"/>
    <s v="Новосибирск"/>
    <d v="2025-12-25T00:00:00"/>
    <x v="0"/>
    <s v="Какао"/>
    <x v="1"/>
    <n v="1"/>
    <n v="200"/>
    <s v="Роман Ф."/>
    <s v="Ольга Кузнецова"/>
  </r>
  <r>
    <x v="4"/>
    <s v="Новосибирск"/>
    <d v="2025-12-27T00:00:00"/>
    <x v="0"/>
    <s v="Матча латте"/>
    <x v="1"/>
    <n v="2"/>
    <n v="502"/>
    <s v="Роман Ф."/>
    <s v="Ольга Кузнецова"/>
  </r>
  <r>
    <x v="4"/>
    <s v="Новосибирск"/>
    <d v="2025-05-18T00:00:00"/>
    <x v="10"/>
    <s v="Круассан"/>
    <x v="0"/>
    <n v="1"/>
    <n v="184"/>
    <s v="Виктор Л."/>
    <s v="Ольга Кузнецова"/>
  </r>
  <r>
    <x v="4"/>
    <s v="Новосибирск"/>
    <d v="2025-07-06T00:00:00"/>
    <x v="5"/>
    <s v="Круассан"/>
    <x v="0"/>
    <n v="1"/>
    <n v="340"/>
    <s v="Наталья Р."/>
    <s v="Ольга Кузнецова"/>
  </r>
  <r>
    <x v="4"/>
    <s v="Новосибирск"/>
    <d v="2025-12-05T00:00:00"/>
    <x v="0"/>
    <s v="Чизкейк"/>
    <x v="0"/>
    <n v="2"/>
    <n v="464"/>
    <s v="Юлия Д."/>
    <s v="Ольга Кузнецова"/>
  </r>
  <r>
    <x v="4"/>
    <s v="Новосибирск"/>
    <d v="2025-10-25T00:00:00"/>
    <x v="3"/>
    <s v="Круассан"/>
    <x v="0"/>
    <n v="1"/>
    <n v="164"/>
    <s v="Роман Ф."/>
    <s v="Ольга Кузнецова"/>
  </r>
  <r>
    <x v="4"/>
    <s v="Новосибирск"/>
    <d v="2025-05-01T00:00:00"/>
    <x v="10"/>
    <s v="Какао"/>
    <x v="1"/>
    <n v="3"/>
    <n v="672"/>
    <s v="Артём Б."/>
    <s v="Ольга Кузнецова"/>
  </r>
  <r>
    <x v="4"/>
    <s v="Новосибирск"/>
    <d v="2025-09-25T00:00:00"/>
    <x v="1"/>
    <s v="Капучино"/>
    <x v="1"/>
    <n v="2"/>
    <n v="408"/>
    <s v="Юлия Д."/>
    <s v="Ольга Кузнецова"/>
  </r>
  <r>
    <x v="4"/>
    <s v="Новосибирск"/>
    <d v="2025-10-19T00:00:00"/>
    <x v="3"/>
    <s v="Чизкейк"/>
    <x v="0"/>
    <n v="2"/>
    <n v="546"/>
    <s v="Артём Б."/>
    <s v="Ольга Кузнецова"/>
  </r>
  <r>
    <x v="4"/>
    <s v="Новосибирск"/>
    <d v="2025-10-04T00:00:00"/>
    <x v="3"/>
    <s v="Какао"/>
    <x v="1"/>
    <n v="3"/>
    <n v="636"/>
    <s v="Роман Ф."/>
    <s v="Ольга Кузнецова"/>
  </r>
  <r>
    <x v="4"/>
    <s v="Новосибирск"/>
    <d v="2025-09-13T00:00:00"/>
    <x v="1"/>
    <s v="Капучино"/>
    <x v="1"/>
    <n v="1"/>
    <n v="190"/>
    <s v="Светлана М."/>
    <s v="Ольга Кузнецова"/>
  </r>
  <r>
    <x v="4"/>
    <s v="Новосибирск"/>
    <d v="2025-03-26T00:00:00"/>
    <x v="6"/>
    <s v="Синнабон"/>
    <x v="0"/>
    <n v="2"/>
    <n v="404"/>
    <s v="Роман Ф."/>
    <s v="Ольга Кузнецова"/>
  </r>
  <r>
    <x v="4"/>
    <s v="Новосибирск"/>
    <d v="2025-04-17T00:00:00"/>
    <x v="11"/>
    <s v="Американо"/>
    <x v="1"/>
    <n v="2"/>
    <n v="376"/>
    <s v="Наталья Р."/>
    <s v="Ольга Кузнецова"/>
  </r>
  <r>
    <x v="4"/>
    <s v="Новосибирск"/>
    <d v="2025-04-10T00:00:00"/>
    <x v="11"/>
    <s v="Матча латте"/>
    <x v="1"/>
    <n v="2"/>
    <n v="592"/>
    <s v="Наталья Р."/>
    <s v="Ольга Кузнецова"/>
  </r>
  <r>
    <x v="4"/>
    <s v="Новосибирск"/>
    <d v="2025-01-08T00:00:00"/>
    <x v="4"/>
    <s v="Раф"/>
    <x v="1"/>
    <n v="2"/>
    <n v="552"/>
    <s v="Светлана М."/>
    <s v="Ольга Кузнецова"/>
  </r>
  <r>
    <x v="4"/>
    <s v="Новосибирск"/>
    <d v="2025-04-01T00:00:00"/>
    <x v="11"/>
    <s v="Сэндвич"/>
    <x v="2"/>
    <n v="2"/>
    <n v="654"/>
    <s v="Артём Б."/>
    <s v="Ольга Кузнецова"/>
  </r>
  <r>
    <x v="4"/>
    <s v="Новосибирск"/>
    <d v="2025-01-01T00:00:00"/>
    <x v="4"/>
    <s v="Сэндвич"/>
    <x v="2"/>
    <n v="1"/>
    <n v="360"/>
    <s v="Виктор Л."/>
    <s v="Ольга Кузнецова"/>
  </r>
  <r>
    <x v="4"/>
    <s v="Новосибирск"/>
    <d v="2025-01-01T00:00:00"/>
    <x v="4"/>
    <s v="Латте"/>
    <x v="1"/>
    <n v="1"/>
    <n v="257"/>
    <s v="Юлия Д."/>
    <s v="Ольга Кузнецова"/>
  </r>
  <r>
    <x v="4"/>
    <s v="Новосибирск"/>
    <d v="2025-11-07T00:00:00"/>
    <x v="8"/>
    <s v="Американо"/>
    <x v="1"/>
    <n v="1"/>
    <n v="170"/>
    <s v="Виктор Л."/>
    <s v="Ольга Кузнецова"/>
  </r>
  <r>
    <x v="4"/>
    <s v="Новосибирск"/>
    <d v="2025-01-28T00:00:00"/>
    <x v="4"/>
    <s v="Чизкейк"/>
    <x v="0"/>
    <n v="1"/>
    <n v="276"/>
    <s v="Артём Б."/>
    <s v="Ольга Кузнецова"/>
  </r>
  <r>
    <x v="4"/>
    <s v="Новосибирск"/>
    <d v="2025-01-23T00:00:00"/>
    <x v="4"/>
    <s v="Американо"/>
    <x v="1"/>
    <n v="1"/>
    <n v="171"/>
    <s v="Светлана М."/>
    <s v="Ольга Кузнецова"/>
  </r>
  <r>
    <x v="4"/>
    <s v="Новосибирск"/>
    <d v="2025-01-05T00:00:00"/>
    <x v="4"/>
    <s v="Синнабон"/>
    <x v="0"/>
    <n v="2"/>
    <n v="412"/>
    <s v="Юлия Д."/>
    <s v="Ольга Кузнецова"/>
  </r>
  <r>
    <x v="4"/>
    <s v="Новосибирск"/>
    <d v="2025-08-18T00:00:00"/>
    <x v="9"/>
    <s v="Американо"/>
    <x v="1"/>
    <n v="1"/>
    <n v="146"/>
    <s v="Юлия Д."/>
    <s v="Ольга Кузнецова"/>
  </r>
  <r>
    <x v="4"/>
    <s v="Новосибирск"/>
    <d v="2025-01-14T00:00:00"/>
    <x v="4"/>
    <s v="Эспрессо"/>
    <x v="1"/>
    <n v="1"/>
    <n v="156"/>
    <s v="Роман Ф."/>
    <s v="Ольга Кузнецова"/>
  </r>
  <r>
    <x v="4"/>
    <s v="Новосибирск"/>
    <d v="2025-08-24T00:00:00"/>
    <x v="9"/>
    <s v="Латте"/>
    <x v="1"/>
    <n v="2"/>
    <n v="416"/>
    <s v="Наталья Р."/>
    <s v="Ольга Кузнецова"/>
  </r>
  <r>
    <x v="4"/>
    <s v="Новосибирск"/>
    <d v="2025-11-18T00:00:00"/>
    <x v="8"/>
    <s v="Чизкейк"/>
    <x v="0"/>
    <n v="3"/>
    <n v="783"/>
    <s v="Не указан"/>
    <s v="Ольга Кузнецова"/>
  </r>
  <r>
    <x v="4"/>
    <s v="Новосибирск"/>
    <d v="2025-08-11T00:00:00"/>
    <x v="9"/>
    <s v="Раф"/>
    <x v="1"/>
    <n v="1"/>
    <n v="231"/>
    <s v="Артём Б."/>
    <s v="Ольга Кузнецова"/>
  </r>
  <r>
    <x v="4"/>
    <s v="Новосибирск"/>
    <d v="2025-08-22T00:00:00"/>
    <x v="9"/>
    <s v="Салат Цезарь"/>
    <x v="2"/>
    <n v="1"/>
    <n v="361"/>
    <s v="Роман Ф."/>
    <s v="Ольга Кузнецова"/>
  </r>
  <r>
    <x v="4"/>
    <s v="Новосибирск"/>
    <d v="2025-04-14T00:00:00"/>
    <x v="11"/>
    <s v="Чизкейк"/>
    <x v="0"/>
    <n v="1"/>
    <n v="246"/>
    <s v="Светлана М."/>
    <s v="Ольга Кузнецова"/>
  </r>
  <r>
    <x v="4"/>
    <s v="Новосибирск"/>
    <d v="2025-06-24T00:00:00"/>
    <x v="7"/>
    <s v="Американо"/>
    <x v="1"/>
    <n v="1"/>
    <n v="174"/>
    <s v="Наталья Р."/>
    <s v="Ольга Кузнецова"/>
  </r>
  <r>
    <x v="4"/>
    <s v="Новосибирск"/>
    <d v="2025-12-05T00:00:00"/>
    <x v="0"/>
    <s v="Капучино"/>
    <x v="1"/>
    <n v="2"/>
    <n v="360"/>
    <s v="Светлана М."/>
    <s v="Ольга Кузнецова"/>
  </r>
  <r>
    <x v="4"/>
    <s v="Новосибирск"/>
    <d v="2025-11-11T00:00:00"/>
    <x v="8"/>
    <s v="Сэндвич"/>
    <x v="2"/>
    <n v="3"/>
    <n v="870"/>
    <s v="Артём Б."/>
    <s v="Ольга Кузнецова"/>
  </r>
  <r>
    <x v="4"/>
    <s v="Новосибирск"/>
    <d v="2025-11-12T00:00:00"/>
    <x v="8"/>
    <s v="Матча латте"/>
    <x v="1"/>
    <n v="1"/>
    <n v="301"/>
    <s v="Виктор Л."/>
    <s v="Ольга Кузнецова"/>
  </r>
  <r>
    <x v="4"/>
    <s v="Новосибирск"/>
    <d v="2025-12-11T00:00:00"/>
    <x v="0"/>
    <s v="Латте"/>
    <x v="1"/>
    <n v="1"/>
    <n v="234"/>
    <s v="Виктор Л."/>
    <s v="Ольга Кузнецова"/>
  </r>
  <r>
    <x v="4"/>
    <s v="Новосибирск"/>
    <d v="2025-04-06T00:00:00"/>
    <x v="11"/>
    <s v="Какао"/>
    <x v="1"/>
    <n v="2"/>
    <n v="392"/>
    <s v="Юлия Д."/>
    <s v="Ольга Кузнецова"/>
  </r>
  <r>
    <x v="4"/>
    <s v="Новосибирск"/>
    <d v="2025-11-03T00:00:00"/>
    <x v="8"/>
    <s v="Латте"/>
    <x v="1"/>
    <n v="1"/>
    <n v="239"/>
    <s v="Юлия Д."/>
    <s v="Ольга Кузнецова"/>
  </r>
  <r>
    <x v="4"/>
    <s v="Новосибирск"/>
    <d v="2025-02-23T00:00:00"/>
    <x v="2"/>
    <s v="Американо"/>
    <x v="1"/>
    <n v="1"/>
    <n v="165"/>
    <s v="Юлия Д."/>
    <s v="Ольга Кузнецова"/>
  </r>
  <r>
    <x v="4"/>
    <s v="Новосибирск"/>
    <d v="2025-03-04T00:00:00"/>
    <x v="6"/>
    <s v="Американо"/>
    <x v="1"/>
    <n v="1"/>
    <n v="181"/>
    <s v="Виктор Л."/>
    <s v="Ольга Кузнецова"/>
  </r>
  <r>
    <x v="4"/>
    <s v="Новосибирск"/>
    <d v="2025-11-24T00:00:00"/>
    <x v="8"/>
    <s v="Раф"/>
    <x v="1"/>
    <n v="2"/>
    <n v="492"/>
    <s v="Наталья Р."/>
    <s v="Ольга Кузнецова"/>
  </r>
  <r>
    <x v="4"/>
    <s v="Новосибирск"/>
    <d v="2025-08-15T00:00:00"/>
    <x v="9"/>
    <s v="Матча латте"/>
    <x v="1"/>
    <n v="2"/>
    <n v="548"/>
    <s v="Светлана М."/>
    <s v="Ольга Кузнецова"/>
  </r>
  <r>
    <x v="4"/>
    <s v="Новосибирск"/>
    <d v="2025-02-11T00:00:00"/>
    <x v="2"/>
    <s v="Круассан"/>
    <x v="0"/>
    <n v="2"/>
    <n v="382"/>
    <s v="Роман Ф."/>
    <s v="Ольга Кузнецова"/>
  </r>
  <r>
    <x v="4"/>
    <s v="Новосибирск"/>
    <d v="2025-09-22T00:00:00"/>
    <x v="1"/>
    <s v="Круассан"/>
    <x v="0"/>
    <n v="3"/>
    <n v="498"/>
    <s v="Светлана М."/>
    <s v="Ольга Кузнецова"/>
  </r>
  <r>
    <x v="4"/>
    <s v="Новосибирск"/>
    <d v="2025-07-16T00:00:00"/>
    <x v="5"/>
    <s v="Сэндвич"/>
    <x v="2"/>
    <n v="1"/>
    <n v="305"/>
    <s v="Наталья Р."/>
    <s v="Ольга Кузнецова"/>
  </r>
  <r>
    <x v="4"/>
    <s v="Новосибирск"/>
    <d v="2025-08-07T00:00:00"/>
    <x v="9"/>
    <s v="Эспрессо"/>
    <x v="1"/>
    <n v="3"/>
    <n v="399"/>
    <s v="Светлана М."/>
    <s v="Ольга Кузнецова"/>
  </r>
  <r>
    <x v="4"/>
    <s v="Новосибирск"/>
    <d v="2025-09-24T00:00:00"/>
    <x v="1"/>
    <s v="Эспрессо"/>
    <x v="1"/>
    <n v="1"/>
    <n v="131"/>
    <s v="Роман Ф."/>
    <s v="Ольга Кузнецова"/>
  </r>
  <r>
    <x v="4"/>
    <s v="Новосибирск"/>
    <d v="2025-03-15T00:00:00"/>
    <x v="6"/>
    <s v="Эспрессо"/>
    <x v="1"/>
    <n v="3"/>
    <n v="429"/>
    <s v="Наталья Р."/>
    <s v="Ольга Кузнецова"/>
  </r>
  <r>
    <x v="4"/>
    <s v="Новосибирск"/>
    <d v="2025-02-10T00:00:00"/>
    <x v="2"/>
    <s v="Сэндвич"/>
    <x v="2"/>
    <n v="1"/>
    <n v="298"/>
    <s v="Юлия Д."/>
    <s v="Ольга Кузнецова"/>
  </r>
  <r>
    <x v="4"/>
    <s v="Новосибирск"/>
    <d v="2025-08-27T00:00:00"/>
    <x v="9"/>
    <s v="Раф"/>
    <x v="1"/>
    <n v="1"/>
    <n v="269"/>
    <s v="Артём Б."/>
    <s v="Ольга Кузнецова"/>
  </r>
  <r>
    <x v="4"/>
    <s v="Новосибирск"/>
    <d v="2025-07-10T00:00:00"/>
    <x v="5"/>
    <s v="Эспрессо"/>
    <x v="1"/>
    <n v="2"/>
    <n v="302"/>
    <s v="Юлия Д."/>
    <s v="Ольга Кузнецова"/>
  </r>
  <r>
    <x v="4"/>
    <s v="Новосибирск"/>
    <d v="2025-05-10T00:00:00"/>
    <x v="10"/>
    <s v="Капучино"/>
    <x v="1"/>
    <n v="2"/>
    <n v="400"/>
    <s v="Роман Ф."/>
    <s v="Ольга Кузнецова"/>
  </r>
  <r>
    <x v="4"/>
    <s v="Новосибирск"/>
    <d v="2025-11-07T00:00:00"/>
    <x v="8"/>
    <s v="Матча латте"/>
    <x v="1"/>
    <n v="1"/>
    <n v="259"/>
    <s v="Юлия Д."/>
    <s v="Ольга Кузнецова"/>
  </r>
  <r>
    <x v="4"/>
    <s v="Новосибирск"/>
    <d v="2025-09-12T00:00:00"/>
    <x v="1"/>
    <s v="Круассан"/>
    <x v="0"/>
    <n v="3"/>
    <n v="594"/>
    <s v="Роман Ф."/>
    <s v="Ольга Кузнецова"/>
  </r>
  <r>
    <x v="4"/>
    <s v="Новосибирск"/>
    <d v="2025-01-04T00:00:00"/>
    <x v="4"/>
    <s v="Матча латте"/>
    <x v="1"/>
    <n v="1"/>
    <n v="266"/>
    <s v="Светлана М."/>
    <s v="Ольга Кузнецова"/>
  </r>
  <r>
    <x v="4"/>
    <s v="Новосибирск"/>
    <d v="2025-05-12T00:00:00"/>
    <x v="10"/>
    <s v="Синнабон"/>
    <x v="0"/>
    <n v="1"/>
    <n v="224"/>
    <s v="Юлия Д."/>
    <s v="Ольга Кузнецова"/>
  </r>
  <r>
    <x v="4"/>
    <s v="Новосибирск"/>
    <d v="2025-02-05T00:00:00"/>
    <x v="2"/>
    <s v="Матча латте"/>
    <x v="1"/>
    <n v="2"/>
    <n v="534"/>
    <s v="Артём Б."/>
    <s v="Ольга Кузнецова"/>
  </r>
  <r>
    <x v="4"/>
    <s v="Новосибирск"/>
    <d v="2025-11-09T00:00:00"/>
    <x v="8"/>
    <s v="Американо"/>
    <x v="1"/>
    <n v="3"/>
    <n v="516"/>
    <s v="Артём Б."/>
    <s v="Ольга Кузнецова"/>
  </r>
  <r>
    <x v="4"/>
    <s v="Новосибирск"/>
    <d v="2025-06-10T00:00:00"/>
    <x v="7"/>
    <s v="Синнабон"/>
    <x v="0"/>
    <n v="1"/>
    <n v="230"/>
    <s v="Светлана М."/>
    <s v="Ольга Кузнецова"/>
  </r>
  <r>
    <x v="4"/>
    <s v="Новосибирск"/>
    <d v="2025-05-10T00:00:00"/>
    <x v="10"/>
    <s v="Чизкейк"/>
    <x v="0"/>
    <n v="1"/>
    <n v="231"/>
    <s v="Светлана М."/>
    <s v="Ольга Кузнецова"/>
  </r>
  <r>
    <x v="4"/>
    <s v="Новосибирск"/>
    <d v="2025-10-09T00:00:00"/>
    <x v="3"/>
    <s v="Круассан"/>
    <x v="0"/>
    <n v="3"/>
    <n v="600"/>
    <s v="Виктор Л."/>
    <s v="Ольга Кузнецова"/>
  </r>
  <r>
    <x v="4"/>
    <s v="Новосибирск"/>
    <d v="2025-02-17T00:00:00"/>
    <x v="2"/>
    <s v="Матча латте"/>
    <x v="1"/>
    <n v="2"/>
    <n v="612"/>
    <s v="Юлия Д."/>
    <s v="Ольга Кузнецова"/>
  </r>
  <r>
    <x v="4"/>
    <s v="Новосибирск"/>
    <d v="2025-07-23T00:00:00"/>
    <x v="5"/>
    <s v="Эспрессо"/>
    <x v="1"/>
    <n v="1"/>
    <n v="131"/>
    <s v="Роман Ф."/>
    <s v="Ольга Кузнецова"/>
  </r>
  <r>
    <x v="4"/>
    <s v="Новосибирск"/>
    <d v="2025-11-18T00:00:00"/>
    <x v="8"/>
    <s v="Круассан"/>
    <x v="0"/>
    <n v="1"/>
    <n v="175"/>
    <s v="Виктор Л."/>
    <s v="Ольга Кузнецова"/>
  </r>
  <r>
    <x v="4"/>
    <s v="Новосибирск"/>
    <d v="2025-11-28T00:00:00"/>
    <x v="8"/>
    <s v="Какао"/>
    <x v="1"/>
    <n v="1"/>
    <n v="211"/>
    <s v="Роман Ф."/>
    <s v="Ольга Кузнецова"/>
  </r>
  <r>
    <x v="4"/>
    <s v="Новосибирск"/>
    <d v="2025-03-13T00:00:00"/>
    <x v="6"/>
    <s v="Синнабон"/>
    <x v="0"/>
    <n v="3"/>
    <n v="702"/>
    <s v="Светлана М."/>
    <s v="Ольга Кузнецова"/>
  </r>
  <r>
    <x v="4"/>
    <s v="Новосибирск"/>
    <d v="2025-01-07T00:00:00"/>
    <x v="4"/>
    <s v="Салат Цезарь"/>
    <x v="2"/>
    <n v="2"/>
    <n v="750"/>
    <s v="Юлия Д."/>
    <s v="Ольга Кузнецова"/>
  </r>
  <r>
    <x v="4"/>
    <s v="Новосибирск"/>
    <d v="2025-05-09T00:00:00"/>
    <x v="10"/>
    <s v="Салат Цезарь"/>
    <x v="2"/>
    <n v="3"/>
    <n v="1074"/>
    <s v="Юлия Д."/>
    <s v="Ольга Кузнецова"/>
  </r>
  <r>
    <x v="4"/>
    <s v="Новосибирск"/>
    <d v="2025-08-04T00:00:00"/>
    <x v="9"/>
    <s v="Синнабон"/>
    <x v="0"/>
    <n v="2"/>
    <n v="376"/>
    <s v="Наталья Р."/>
    <s v="Ольга Кузнецова"/>
  </r>
  <r>
    <x v="4"/>
    <s v="Новосибирск"/>
    <d v="2025-12-07T00:00:00"/>
    <x v="0"/>
    <s v="Матча латте"/>
    <x v="1"/>
    <n v="3"/>
    <n v="750"/>
    <s v="Наталья Р."/>
    <s v="Ольга Кузнецова"/>
  </r>
  <r>
    <x v="4"/>
    <s v="Новосибирск"/>
    <d v="2025-11-13T00:00:00"/>
    <x v="8"/>
    <s v="Сэндвич"/>
    <x v="2"/>
    <n v="2"/>
    <n v="664"/>
    <s v="Роман Ф."/>
    <s v="Ольга Кузнецова"/>
  </r>
  <r>
    <x v="4"/>
    <s v="Новосибирск"/>
    <d v="2025-12-03T00:00:00"/>
    <x v="0"/>
    <s v="Синнабон"/>
    <x v="0"/>
    <n v="1"/>
    <n v="218"/>
    <s v="Роман Ф."/>
    <s v="Ольга Кузнецова"/>
  </r>
  <r>
    <x v="4"/>
    <s v="Новосибирск"/>
    <d v="2025-08-18T00:00:00"/>
    <x v="9"/>
    <s v="Чизкейк"/>
    <x v="0"/>
    <n v="1"/>
    <n v="270"/>
    <s v="Артём Б."/>
    <s v="Ольга Кузнецова"/>
  </r>
  <r>
    <x v="4"/>
    <s v="Новосибирск"/>
    <d v="2025-11-08T00:00:00"/>
    <x v="8"/>
    <s v="Сэндвич"/>
    <x v="2"/>
    <n v="1"/>
    <n v="322"/>
    <s v="Юлия Д."/>
    <s v="Ольга Кузнецова"/>
  </r>
  <r>
    <x v="4"/>
    <s v="Новосибирск"/>
    <d v="2025-02-01T00:00:00"/>
    <x v="2"/>
    <s v="Эспрессо"/>
    <x v="1"/>
    <n v="2"/>
    <n v="270"/>
    <s v="Наталья Р."/>
    <s v="Ольга Кузнецова"/>
  </r>
  <r>
    <x v="4"/>
    <s v="Новосибирск"/>
    <d v="2025-06-14T00:00:00"/>
    <x v="7"/>
    <s v="Синнабон"/>
    <x v="0"/>
    <n v="2"/>
    <n v="462"/>
    <s v="Наталья Р."/>
    <s v="Ольга Кузнецова"/>
  </r>
  <r>
    <x v="4"/>
    <s v="Новосибирск"/>
    <d v="2025-02-26T00:00:00"/>
    <x v="2"/>
    <s v="Раф"/>
    <x v="1"/>
    <n v="1"/>
    <n v="239"/>
    <s v="Роман Ф."/>
    <s v="Ольга Кузнецова"/>
  </r>
  <r>
    <x v="4"/>
    <s v="Новосибирск"/>
    <d v="2025-05-15T00:00:00"/>
    <x v="10"/>
    <s v="Какао"/>
    <x v="1"/>
    <n v="1"/>
    <n v="217"/>
    <s v="Роман Ф."/>
    <s v="Ольга Кузнецова"/>
  </r>
  <r>
    <x v="4"/>
    <s v="Новосибирск"/>
    <d v="2025-03-13T00:00:00"/>
    <x v="6"/>
    <s v="Какао"/>
    <x v="1"/>
    <n v="2"/>
    <n v="488"/>
    <s v="Роман Ф."/>
    <s v="Ольга Кузнецова"/>
  </r>
  <r>
    <x v="4"/>
    <s v="Новосибирск"/>
    <d v="2025-04-26T00:00:00"/>
    <x v="11"/>
    <s v="Американо"/>
    <x v="1"/>
    <n v="1"/>
    <n v="173"/>
    <s v="Юлия Д."/>
    <s v="Ольга Кузнецова"/>
  </r>
  <r>
    <x v="4"/>
    <s v="Новосибирск"/>
    <d v="2025-12-04T00:00:00"/>
    <x v="0"/>
    <s v="Круассан"/>
    <x v="0"/>
    <n v="2"/>
    <n v="332"/>
    <s v="Виктор Л."/>
    <s v="Ольга Кузнецова"/>
  </r>
  <r>
    <x v="4"/>
    <s v="Новосибирск"/>
    <d v="2025-05-23T00:00:00"/>
    <x v="10"/>
    <s v="Капучино"/>
    <x v="1"/>
    <n v="1"/>
    <n v="240"/>
    <s v="Юлия Д."/>
    <s v="Ольга Кузнецова"/>
  </r>
  <r>
    <x v="4"/>
    <s v="Новосибирск"/>
    <d v="2025-05-26T00:00:00"/>
    <x v="10"/>
    <s v="Чизкейк"/>
    <x v="0"/>
    <n v="1"/>
    <n v="264"/>
    <s v="Наталья Р."/>
    <s v="Ольга Кузнецова"/>
  </r>
  <r>
    <x v="4"/>
    <s v="Новосибирск"/>
    <d v="2025-10-13T00:00:00"/>
    <x v="3"/>
    <s v="Эспрессо"/>
    <x v="1"/>
    <n v="1"/>
    <n v="123"/>
    <s v="Светлана М."/>
    <s v="Ольга Кузнецова"/>
  </r>
  <r>
    <x v="4"/>
    <s v="Новосибирск"/>
    <d v="2025-09-17T00:00:00"/>
    <x v="1"/>
    <s v="Раф"/>
    <x v="1"/>
    <n v="3"/>
    <n v="837"/>
    <s v="Светлана М."/>
    <s v="Ольга Кузнецова"/>
  </r>
  <r>
    <x v="4"/>
    <s v="Новосибирск"/>
    <d v="2025-07-28T00:00:00"/>
    <x v="5"/>
    <s v="Раф"/>
    <x v="1"/>
    <n v="2"/>
    <n v="528"/>
    <s v="Роман Ф."/>
    <s v="Ольга Кузнецова"/>
  </r>
  <r>
    <x v="4"/>
    <s v="Новосибирск"/>
    <d v="2025-11-21T00:00:00"/>
    <x v="8"/>
    <s v="Эспрессо"/>
    <x v="1"/>
    <n v="1"/>
    <n v="148"/>
    <s v="Виктор Л."/>
    <s v="Ольга Кузнецова"/>
  </r>
  <r>
    <x v="4"/>
    <s v="Новосибирск"/>
    <d v="2025-11-08T00:00:00"/>
    <x v="8"/>
    <s v="Раф"/>
    <x v="1"/>
    <n v="1"/>
    <n v="261"/>
    <s v="Роман Ф."/>
    <s v="Ольга Кузнецова"/>
  </r>
  <r>
    <x v="4"/>
    <s v="Новосибирск"/>
    <d v="2025-08-24T00:00:00"/>
    <x v="9"/>
    <s v="Эспрессо"/>
    <x v="1"/>
    <n v="1"/>
    <n v="140"/>
    <s v="Артём Б."/>
    <s v="Ольга Кузнецова"/>
  </r>
  <r>
    <x v="4"/>
    <s v="Новосибирск"/>
    <d v="2025-10-18T00:00:00"/>
    <x v="3"/>
    <s v="Чизкейк"/>
    <x v="0"/>
    <n v="1"/>
    <n v="271"/>
    <s v="Светлана М."/>
    <s v="Ольга Кузнецова"/>
  </r>
  <r>
    <x v="4"/>
    <s v="Новосибирск"/>
    <d v="2025-08-25T00:00:00"/>
    <x v="9"/>
    <s v="Сэндвич"/>
    <x v="2"/>
    <n v="1"/>
    <n v="289"/>
    <s v="Роман Ф."/>
    <s v="Ольга Кузнецова"/>
  </r>
  <r>
    <x v="4"/>
    <s v="Новосибирск"/>
    <d v="2025-09-03T00:00:00"/>
    <x v="1"/>
    <s v="Эспрессо"/>
    <x v="1"/>
    <n v="1"/>
    <n v="146"/>
    <s v="Наталья Р."/>
    <s v="Ольга Кузнецова"/>
  </r>
  <r>
    <x v="4"/>
    <s v="Новосибирск"/>
    <d v="2025-03-22T00:00:00"/>
    <x v="6"/>
    <s v="Чизкейк"/>
    <x v="0"/>
    <n v="2"/>
    <n v="522"/>
    <s v="Виктор Л."/>
    <s v="Ольга Кузнецова"/>
  </r>
  <r>
    <x v="4"/>
    <s v="Новосибирск"/>
    <d v="2025-07-24T00:00:00"/>
    <x v="5"/>
    <s v="Синнабон"/>
    <x v="0"/>
    <n v="2"/>
    <n v="384"/>
    <s v="Артём Б."/>
    <s v="Ольга Кузнецова"/>
  </r>
  <r>
    <x v="4"/>
    <s v="Новосибирск"/>
    <d v="2025-03-28T00:00:00"/>
    <x v="6"/>
    <s v="Раф"/>
    <x v="1"/>
    <n v="1"/>
    <n v="282"/>
    <s v="Артём Б."/>
    <s v="Ольга Кузнецова"/>
  </r>
  <r>
    <x v="4"/>
    <s v="Новосибирск"/>
    <d v="2025-09-02T00:00:00"/>
    <x v="1"/>
    <s v="Салат Цезарь"/>
    <x v="2"/>
    <n v="2"/>
    <n v="678"/>
    <s v="Юлия Д."/>
    <s v="Ольга Кузнецова"/>
  </r>
  <r>
    <x v="4"/>
    <s v="Новосибирск"/>
    <d v="2025-03-21T00:00:00"/>
    <x v="6"/>
    <s v="Синнабон"/>
    <x v="0"/>
    <n v="1"/>
    <n v="195"/>
    <s v="Светлана М."/>
    <s v="Ольга Кузнецова"/>
  </r>
  <r>
    <x v="4"/>
    <s v="Новосибирск"/>
    <d v="2025-03-24T00:00:00"/>
    <x v="6"/>
    <s v="Салат Цезарь"/>
    <x v="2"/>
    <n v="1"/>
    <n v="425"/>
    <s v="Виктор Л."/>
    <s v="Ольга Кузнецова"/>
  </r>
  <r>
    <x v="4"/>
    <s v="Новосибирск"/>
    <d v="2025-03-05T00:00:00"/>
    <x v="6"/>
    <s v="Эспрессо"/>
    <x v="1"/>
    <n v="1"/>
    <n v="159"/>
    <s v="Виктор Л."/>
    <s v="Ольга Кузнецова"/>
  </r>
  <r>
    <x v="4"/>
    <s v="Новосибирск"/>
    <d v="2025-07-21T00:00:00"/>
    <x v="5"/>
    <s v="Синнабон"/>
    <x v="0"/>
    <n v="1"/>
    <n v="207"/>
    <s v="Виктор Л."/>
    <s v="Ольга Кузнецова"/>
  </r>
  <r>
    <x v="4"/>
    <s v="Новосибирск"/>
    <d v="2025-09-24T00:00:00"/>
    <x v="1"/>
    <s v="Капучино"/>
    <x v="1"/>
    <n v="2"/>
    <n v="364"/>
    <s v="Виктор Л."/>
    <s v="Ольга Кузнецова"/>
  </r>
  <r>
    <x v="4"/>
    <s v="Новосибирск"/>
    <d v="2025-02-01T00:00:00"/>
    <x v="2"/>
    <s v="Чизкейк"/>
    <x v="0"/>
    <n v="1"/>
    <n v="244"/>
    <s v="Артём Б."/>
    <s v="Ольга Кузнецова"/>
  </r>
  <r>
    <x v="4"/>
    <s v="Новосибирск"/>
    <d v="2025-05-13T00:00:00"/>
    <x v="10"/>
    <s v="Салат Цезарь"/>
    <x v="2"/>
    <n v="3"/>
    <n v="1041"/>
    <s v="Юлия Д."/>
    <s v="Ольга Кузнецова"/>
  </r>
  <r>
    <x v="4"/>
    <s v="Новосибирск"/>
    <d v="2025-08-01T00:00:00"/>
    <x v="9"/>
    <s v="Круассан"/>
    <x v="0"/>
    <n v="2"/>
    <n v="374"/>
    <s v="Артём Б."/>
    <s v="Ольга Кузнецова"/>
  </r>
  <r>
    <x v="4"/>
    <s v="Новосибирск"/>
    <d v="2025-04-22T00:00:00"/>
    <x v="11"/>
    <s v="Американо"/>
    <x v="1"/>
    <n v="2"/>
    <n v="290"/>
    <s v="Виктор Л."/>
    <s v="Ольга Кузнецова"/>
  </r>
  <r>
    <x v="4"/>
    <s v="Новосибирск"/>
    <d v="2025-04-13T00:00:00"/>
    <x v="11"/>
    <s v="Салат Цезарь"/>
    <x v="2"/>
    <n v="1"/>
    <n v="347"/>
    <s v="Виктор Л."/>
    <s v="Ольга Кузнецова"/>
  </r>
  <r>
    <x v="4"/>
    <s v="Новосибирск"/>
    <d v="2025-05-25T00:00:00"/>
    <x v="10"/>
    <s v="Сэндвич"/>
    <x v="2"/>
    <n v="2"/>
    <n v="668"/>
    <s v="Наталья Р."/>
    <s v="Ольга Кузнецова"/>
  </r>
  <r>
    <x v="4"/>
    <s v="Новосибирск"/>
    <d v="2025-06-19T00:00:00"/>
    <x v="7"/>
    <s v="Сэндвич"/>
    <x v="2"/>
    <n v="1"/>
    <n v="329"/>
    <s v="Роман Ф."/>
    <s v="Ольга Кузнецова"/>
  </r>
  <r>
    <x v="4"/>
    <s v="Новосибирск"/>
    <d v="2025-12-16T00:00:00"/>
    <x v="0"/>
    <s v="Эспрессо"/>
    <x v="1"/>
    <n v="3"/>
    <n v="477"/>
    <s v="Виктор Л."/>
    <s v="Ольга Кузнецова"/>
  </r>
  <r>
    <x v="4"/>
    <s v="Новосибирск"/>
    <d v="2025-05-10T00:00:00"/>
    <x v="10"/>
    <s v="Какао"/>
    <x v="1"/>
    <n v="1"/>
    <n v="243"/>
    <s v="Юлия Д."/>
    <s v="Ольга Кузнецова"/>
  </r>
  <r>
    <x v="4"/>
    <s v="Новосибирск"/>
    <d v="2025-05-12T00:00:00"/>
    <x v="10"/>
    <s v="Какао"/>
    <x v="1"/>
    <n v="2"/>
    <n v="442"/>
    <s v="Виктор Л."/>
    <s v="Ольга Кузнецова"/>
  </r>
  <r>
    <x v="4"/>
    <s v="Новосибирск"/>
    <d v="2025-09-16T00:00:00"/>
    <x v="1"/>
    <s v="Сэндвич"/>
    <x v="2"/>
    <n v="1"/>
    <n v="319"/>
    <s v="Артём Б."/>
    <s v="Ольга Кузнецова"/>
  </r>
  <r>
    <x v="4"/>
    <s v="Новосибирск"/>
    <d v="2025-11-08T00:00:00"/>
    <x v="8"/>
    <s v="Салат Цезарь"/>
    <x v="2"/>
    <n v="1"/>
    <n v="359"/>
    <s v="Юлия Д."/>
    <s v="Ольга Кузнецова"/>
  </r>
  <r>
    <x v="4"/>
    <s v="Новосибирск"/>
    <d v="2025-05-07T00:00:00"/>
    <x v="10"/>
    <s v="Раф"/>
    <x v="1"/>
    <n v="1"/>
    <n v="256"/>
    <s v="Наталья Р."/>
    <s v="Ольга Кузнецова"/>
  </r>
  <r>
    <x v="4"/>
    <s v="Новосибирск"/>
    <d v="2025-11-23T00:00:00"/>
    <x v="8"/>
    <s v="Какао"/>
    <x v="1"/>
    <n v="1"/>
    <n v="204"/>
    <s v="Светлана М."/>
    <s v="Ольга Кузнецова"/>
  </r>
  <r>
    <x v="4"/>
    <s v="Новосибирск"/>
    <d v="2025-05-08T00:00:00"/>
    <x v="10"/>
    <s v="Сэндвич"/>
    <x v="2"/>
    <n v="1"/>
    <n v="292"/>
    <s v="Виктор Л."/>
    <s v="Ольга Кузнецова"/>
  </r>
  <r>
    <x v="4"/>
    <s v="Новосибирск"/>
    <d v="2025-05-27T00:00:00"/>
    <x v="10"/>
    <s v="Салат Цезарь"/>
    <x v="2"/>
    <n v="3"/>
    <n v="1035"/>
    <s v="Артём Б."/>
    <s v="Ольга Кузнецова"/>
  </r>
  <r>
    <x v="4"/>
    <s v="Новосибирск"/>
    <d v="2025-12-25T00:00:00"/>
    <x v="0"/>
    <s v="Американо"/>
    <x v="1"/>
    <n v="2"/>
    <n v="366"/>
    <s v="Наталья Р."/>
    <s v="Ольга Кузнецова"/>
  </r>
  <r>
    <x v="4"/>
    <s v="Новосибирск"/>
    <d v="2025-04-10T00:00:00"/>
    <x v="11"/>
    <s v="Американо"/>
    <x v="1"/>
    <n v="2"/>
    <n v="308"/>
    <s v="Светлана М."/>
    <s v="Ольга Кузнецова"/>
  </r>
  <r>
    <x v="4"/>
    <s v="Новосибирск"/>
    <d v="2025-08-12T00:00:00"/>
    <x v="9"/>
    <s v="Матча латте"/>
    <x v="1"/>
    <n v="1"/>
    <n v="313"/>
    <s v="Артём Б."/>
    <s v="Ольга Кузнецова"/>
  </r>
  <r>
    <x v="4"/>
    <s v="Новосибирск"/>
    <d v="2025-10-02T00:00:00"/>
    <x v="3"/>
    <s v="Чизкейк"/>
    <x v="0"/>
    <n v="3"/>
    <n v="732"/>
    <s v="Юлия Д."/>
    <s v="Ольга Кузнецова"/>
  </r>
  <r>
    <x v="4"/>
    <s v="Новосибирск"/>
    <d v="2025-02-10T00:00:00"/>
    <x v="2"/>
    <s v="Чизкейк"/>
    <x v="0"/>
    <n v="3"/>
    <n v="663"/>
    <s v="Светлана М."/>
    <s v="Ольга Кузнецова"/>
  </r>
  <r>
    <x v="4"/>
    <s v="Новосибирск"/>
    <d v="2025-05-21T00:00:00"/>
    <x v="10"/>
    <s v="Латте"/>
    <x v="1"/>
    <n v="1"/>
    <n v="259"/>
    <s v="Роман Ф."/>
    <s v="Ольга Кузнецова"/>
  </r>
  <r>
    <x v="4"/>
    <s v="Новосибирск"/>
    <d v="2025-03-06T00:00:00"/>
    <x v="6"/>
    <s v="Эспрессо"/>
    <x v="1"/>
    <n v="2"/>
    <n v="286"/>
    <s v="Роман Ф."/>
    <s v="Ольга Кузнецова"/>
  </r>
  <r>
    <x v="4"/>
    <s v="Новосибирск"/>
    <d v="2025-10-06T00:00:00"/>
    <x v="3"/>
    <s v="Капучино"/>
    <x v="1"/>
    <n v="1"/>
    <n v="216"/>
    <s v="Наталья Р."/>
    <s v="Ольга Кузнецова"/>
  </r>
  <r>
    <x v="4"/>
    <s v="Новосибирск"/>
    <d v="2025-07-01T00:00:00"/>
    <x v="5"/>
    <s v="Круассан"/>
    <x v="0"/>
    <n v="2"/>
    <n v="400"/>
    <s v="Роман Ф."/>
    <s v="Ольга Кузнецова"/>
  </r>
  <r>
    <x v="4"/>
    <s v="Новосибирск"/>
    <d v="2025-12-15T00:00:00"/>
    <x v="0"/>
    <s v="Чизкейк"/>
    <x v="0"/>
    <n v="2"/>
    <n v="540"/>
    <s v="Наталья Р."/>
    <s v="Ольга Кузнецова"/>
  </r>
  <r>
    <x v="4"/>
    <s v="Новосибирск"/>
    <d v="2025-09-17T00:00:00"/>
    <x v="1"/>
    <s v="Синнабон"/>
    <x v="0"/>
    <n v="1"/>
    <n v="193"/>
    <s v="Виктор Л."/>
    <s v="Ольга Кузнецова"/>
  </r>
  <r>
    <x v="4"/>
    <s v="Новосибирск"/>
    <d v="2025-05-25T00:00:00"/>
    <x v="10"/>
    <s v="Синнабон"/>
    <x v="0"/>
    <n v="2"/>
    <n v="396"/>
    <s v="Артём Б."/>
    <s v="Ольга Кузнецова"/>
  </r>
  <r>
    <x v="4"/>
    <s v="Новосибирск"/>
    <d v="2025-06-13T00:00:00"/>
    <x v="7"/>
    <s v="Круассан"/>
    <x v="0"/>
    <n v="1"/>
    <n v="171"/>
    <s v="Светлана М."/>
    <s v="Ольга Кузнецова"/>
  </r>
  <r>
    <x v="4"/>
    <s v="Новосибирск"/>
    <d v="2025-01-05T00:00:00"/>
    <x v="4"/>
    <s v="Раф"/>
    <x v="1"/>
    <n v="1"/>
    <n v="285"/>
    <s v="Светлана М."/>
    <s v="Ольга Кузнецова"/>
  </r>
  <r>
    <x v="4"/>
    <s v="Новосибирск"/>
    <d v="2025-12-22T00:00:00"/>
    <x v="0"/>
    <s v="Раф"/>
    <x v="1"/>
    <n v="1"/>
    <n v="252"/>
    <s v="Виктор Л."/>
    <s v="Ольга Кузнецова"/>
  </r>
  <r>
    <x v="4"/>
    <s v="Новосибирск"/>
    <d v="2025-04-02T00:00:00"/>
    <x v="11"/>
    <s v="Какао"/>
    <x v="1"/>
    <n v="3"/>
    <n v="696"/>
    <s v="Светлана М."/>
    <s v="Ольга Кузнецова"/>
  </r>
  <r>
    <x v="4"/>
    <s v="Новосибирск"/>
    <d v="2025-10-08T00:00:00"/>
    <x v="3"/>
    <s v="Эспрессо"/>
    <x v="1"/>
    <n v="1"/>
    <n v="124"/>
    <s v="Светлана М."/>
    <s v="Ольга Кузнецова"/>
  </r>
  <r>
    <x v="4"/>
    <s v="Новосибирск"/>
    <d v="2025-05-22T00:00:00"/>
    <x v="10"/>
    <s v="Эспрессо"/>
    <x v="1"/>
    <n v="2"/>
    <n v="260"/>
    <s v="Артём Б."/>
    <s v="Ольга Кузнецова"/>
  </r>
  <r>
    <x v="4"/>
    <s v="Новосибирск"/>
    <d v="2025-01-24T00:00:00"/>
    <x v="4"/>
    <s v="Капучино"/>
    <x v="1"/>
    <n v="3"/>
    <n v="708"/>
    <s v="Виктор Л."/>
    <s v="Ольга Кузнецова"/>
  </r>
  <r>
    <x v="4"/>
    <s v="Новосибирск"/>
    <d v="2025-09-08T00:00:00"/>
    <x v="1"/>
    <s v="Синнабон"/>
    <x v="0"/>
    <n v="1"/>
    <n v="193"/>
    <s v="Юлия Д."/>
    <s v="Ольга Кузнецова"/>
  </r>
  <r>
    <x v="4"/>
    <s v="Новосибирск"/>
    <d v="2025-05-25T00:00:00"/>
    <x v="10"/>
    <s v="Круассан"/>
    <x v="0"/>
    <n v="2"/>
    <n v="366"/>
    <s v="Артём Б."/>
    <s v="Ольга Кузнецова"/>
  </r>
  <r>
    <x v="4"/>
    <s v="Новосибирск"/>
    <d v="2025-02-01T00:00:00"/>
    <x v="2"/>
    <s v="Какао"/>
    <x v="1"/>
    <n v="1"/>
    <n v="243"/>
    <s v="Виктор Л."/>
    <s v="Ольга Кузнецова"/>
  </r>
  <r>
    <x v="4"/>
    <s v="Новосибирск"/>
    <d v="2025-11-23T00:00:00"/>
    <x v="8"/>
    <s v="Эспрессо"/>
    <x v="1"/>
    <n v="1"/>
    <n v="125"/>
    <s v="Не указан"/>
    <s v="Ольга Кузнецова"/>
  </r>
  <r>
    <x v="4"/>
    <s v="Новосибирск"/>
    <d v="2025-03-02T00:00:00"/>
    <x v="6"/>
    <s v="Какао"/>
    <x v="1"/>
    <n v="3"/>
    <n v="711"/>
    <s v="Наталья Р."/>
    <s v="Ольга Кузнецова"/>
  </r>
  <r>
    <x v="4"/>
    <s v="Новосибирск"/>
    <d v="2025-05-24T00:00:00"/>
    <x v="10"/>
    <s v="Синнабон"/>
    <x v="0"/>
    <n v="1"/>
    <n v="207"/>
    <s v="Наталья Р."/>
    <s v="Ольга Кузнецова"/>
  </r>
  <r>
    <x v="4"/>
    <s v="Новосибирск"/>
    <d v="2025-02-17T00:00:00"/>
    <x v="2"/>
    <s v="Эспрессо"/>
    <x v="1"/>
    <n v="2"/>
    <n v="286"/>
    <s v="Юлия Д."/>
    <s v="Ольга Кузнецова"/>
  </r>
  <r>
    <x v="4"/>
    <s v="Новосибирск"/>
    <d v="2025-09-15T00:00:00"/>
    <x v="1"/>
    <s v="Круассан"/>
    <x v="0"/>
    <n v="2"/>
    <n v="388"/>
    <s v="Виктор Л."/>
    <s v="Ольга Кузнецова"/>
  </r>
  <r>
    <x v="4"/>
    <s v="Новосибирск"/>
    <d v="2025-08-23T00:00:00"/>
    <x v="9"/>
    <s v="Американо"/>
    <x v="1"/>
    <n v="1"/>
    <n v="195"/>
    <s v="Роман Ф."/>
    <s v="Ольга Кузнецова"/>
  </r>
  <r>
    <x v="4"/>
    <s v="Новосибирск"/>
    <d v="2025-12-28T00:00:00"/>
    <x v="0"/>
    <s v="Чизкейк"/>
    <x v="0"/>
    <n v="1"/>
    <n v="238"/>
    <s v="Юлия Д."/>
    <s v="Ольга Кузнецова"/>
  </r>
  <r>
    <x v="4"/>
    <s v="Новосибирск"/>
    <d v="2025-02-07T00:00:00"/>
    <x v="2"/>
    <s v="Латте"/>
    <x v="1"/>
    <n v="2"/>
    <n v="420"/>
    <s v="Артём Б."/>
    <s v="Ольга Кузнецова"/>
  </r>
  <r>
    <x v="4"/>
    <s v="Новосибирск"/>
    <d v="2025-04-11T00:00:00"/>
    <x v="11"/>
    <s v="Какао"/>
    <x v="1"/>
    <n v="1"/>
    <n v="205"/>
    <s v="Виктор Л."/>
    <s v="Ольга Кузнецова"/>
  </r>
  <r>
    <x v="4"/>
    <s v="Новосибирск"/>
    <d v="2025-11-20T00:00:00"/>
    <x v="8"/>
    <s v="Чизкейк"/>
    <x v="0"/>
    <n v="1"/>
    <n v="245"/>
    <s v="Роман Ф."/>
    <s v="Ольга Кузнецова"/>
  </r>
  <r>
    <x v="4"/>
    <s v="Новосибирск"/>
    <d v="2025-07-03T00:00:00"/>
    <x v="5"/>
    <s v="Какао"/>
    <x v="1"/>
    <n v="1"/>
    <n v="237"/>
    <s v="Светлана М."/>
    <s v="Ольга Кузнецова"/>
  </r>
  <r>
    <x v="4"/>
    <s v="Новосибирск"/>
    <d v="2025-12-14T00:00:00"/>
    <x v="0"/>
    <s v="Эспрессо"/>
    <x v="1"/>
    <n v="1"/>
    <n v="160"/>
    <s v="Артём Б."/>
    <s v="Ольга Кузнецова"/>
  </r>
  <r>
    <x v="4"/>
    <s v="Новосибирск"/>
    <d v="2025-02-23T00:00:00"/>
    <x v="2"/>
    <s v="Какао"/>
    <x v="1"/>
    <n v="1"/>
    <n v="212"/>
    <s v="Виктор Л."/>
    <s v="Ольга Кузнецова"/>
  </r>
  <r>
    <x v="4"/>
    <s v="Новосибирск"/>
    <d v="2025-12-28T00:00:00"/>
    <x v="0"/>
    <s v="Салат Цезарь"/>
    <x v="2"/>
    <n v="2"/>
    <n v="804"/>
    <s v="Виктор Л."/>
    <s v="Ольга Кузнецова"/>
  </r>
  <r>
    <x v="4"/>
    <s v="Новосибирск"/>
    <d v="2025-11-12T00:00:00"/>
    <x v="8"/>
    <s v="Чизкейк"/>
    <x v="0"/>
    <n v="3"/>
    <n v="669"/>
    <s v="Артём Б."/>
    <s v="Ольга Кузнецова"/>
  </r>
  <r>
    <x v="4"/>
    <s v="Новосибирск"/>
    <d v="2025-06-10T00:00:00"/>
    <x v="7"/>
    <s v="Эспрессо"/>
    <x v="1"/>
    <n v="1"/>
    <n v="128"/>
    <s v="Наталья Р."/>
    <s v="Ольга Кузнецова"/>
  </r>
  <r>
    <x v="4"/>
    <s v="Новосибирск"/>
    <d v="2025-06-12T00:00:00"/>
    <x v="7"/>
    <s v="Раф"/>
    <x v="1"/>
    <n v="1"/>
    <n v="279"/>
    <s v="Роман Ф."/>
    <s v="Ольга Кузнецова"/>
  </r>
  <r>
    <x v="4"/>
    <s v="Новосибирск"/>
    <d v="2025-12-11T00:00:00"/>
    <x v="0"/>
    <s v="Сэндвич"/>
    <x v="2"/>
    <n v="1"/>
    <n v="316"/>
    <s v="Виктор Л."/>
    <s v="Ольга Кузнецова"/>
  </r>
  <r>
    <x v="4"/>
    <s v="Новосибирск"/>
    <d v="2025-12-26T00:00:00"/>
    <x v="0"/>
    <s v="Эспрессо"/>
    <x v="1"/>
    <n v="2"/>
    <n v="264"/>
    <s v="Артём Б."/>
    <s v="Ольга Кузнецова"/>
  </r>
  <r>
    <x v="4"/>
    <s v="Новосибирск"/>
    <d v="2025-04-11T00:00:00"/>
    <x v="11"/>
    <s v="Эспрессо"/>
    <x v="1"/>
    <n v="1"/>
    <n v="143"/>
    <s v="Юлия Д."/>
    <s v="Ольга Кузнецова"/>
  </r>
  <r>
    <x v="4"/>
    <s v="Новосибирск"/>
    <d v="2025-06-05T00:00:00"/>
    <x v="7"/>
    <s v="Какао"/>
    <x v="1"/>
    <n v="1"/>
    <n v="201"/>
    <s v="Светлана М."/>
    <s v="Ольга Кузнецова"/>
  </r>
  <r>
    <x v="4"/>
    <s v="Новосибирск"/>
    <d v="2025-12-26T00:00:00"/>
    <x v="0"/>
    <s v="Матча латте"/>
    <x v="1"/>
    <n v="1"/>
    <n v="306"/>
    <s v="Роман Ф."/>
    <s v="Ольга Кузнецова"/>
  </r>
  <r>
    <x v="4"/>
    <s v="Новосибирск"/>
    <d v="2025-06-17T00:00:00"/>
    <x v="7"/>
    <s v="Сэндвич"/>
    <x v="2"/>
    <n v="2"/>
    <n v="700"/>
    <s v="Виктор Л."/>
    <s v="Ольга Кузнецова"/>
  </r>
  <r>
    <x v="4"/>
    <s v="Новосибирск"/>
    <d v="2025-11-19T00:00:00"/>
    <x v="8"/>
    <s v="Какао"/>
    <x v="1"/>
    <n v="1"/>
    <n v="228"/>
    <s v="Артём Б."/>
    <s v="Ольга Кузнецова"/>
  </r>
  <r>
    <x v="4"/>
    <s v="Новосибирск"/>
    <d v="2025-12-14T00:00:00"/>
    <x v="0"/>
    <s v="Какао"/>
    <x v="1"/>
    <n v="3"/>
    <n v="585"/>
    <s v="Артём Б."/>
    <s v="Ольга Кузнецова"/>
  </r>
  <r>
    <x v="4"/>
    <s v="Новосибирск"/>
    <d v="2025-07-04T00:00:00"/>
    <x v="5"/>
    <s v="Латте"/>
    <x v="1"/>
    <n v="2"/>
    <n v="424"/>
    <s v="Юлия Д."/>
    <s v="Ольга Кузнецова"/>
  </r>
  <r>
    <x v="4"/>
    <s v="Новосибирск"/>
    <d v="2025-09-04T00:00:00"/>
    <x v="1"/>
    <s v="Капучино"/>
    <x v="1"/>
    <n v="2"/>
    <n v="376"/>
    <s v="Виктор Л."/>
    <s v="Ольга Кузнецова"/>
  </r>
  <r>
    <x v="4"/>
    <s v="Новосибирск"/>
    <d v="2025-11-20T00:00:00"/>
    <x v="8"/>
    <s v="Чизкейк"/>
    <x v="0"/>
    <n v="1"/>
    <n v="221"/>
    <s v="Наталья Р."/>
    <s v="Ольга Кузнецова"/>
  </r>
  <r>
    <x v="4"/>
    <s v="Новосибирск"/>
    <d v="2025-01-15T00:00:00"/>
    <x v="4"/>
    <s v="Салат Цезарь"/>
    <x v="2"/>
    <n v="3"/>
    <n v="1050"/>
    <s v="Артём Б."/>
    <s v="Ольга Кузнецова"/>
  </r>
  <r>
    <x v="4"/>
    <s v="Новосибирск"/>
    <d v="2025-02-19T00:00:00"/>
    <x v="2"/>
    <s v="Чизкейк"/>
    <x v="0"/>
    <n v="3"/>
    <n v="819"/>
    <s v="Виктор Л."/>
    <s v="Ольга Кузнецова"/>
  </r>
  <r>
    <x v="4"/>
    <s v="Новосибирск"/>
    <d v="2025-01-26T00:00:00"/>
    <x v="4"/>
    <s v="Сэндвич"/>
    <x v="2"/>
    <n v="2"/>
    <n v="684"/>
    <s v="Роман Ф."/>
    <s v="Ольга Кузнецова"/>
  </r>
  <r>
    <x v="4"/>
    <s v="Новосибирск"/>
    <d v="2025-05-13T00:00:00"/>
    <x v="10"/>
    <s v="Синнабон"/>
    <x v="0"/>
    <n v="1"/>
    <n v="191"/>
    <s v="Виктор Л."/>
    <s v="Ольга Кузнецова"/>
  </r>
  <r>
    <x v="4"/>
    <s v="Новосибирск"/>
    <d v="2025-03-16T00:00:00"/>
    <x v="6"/>
    <s v="Капучино"/>
    <x v="1"/>
    <n v="3"/>
    <n v="717"/>
    <s v="Юлия Д."/>
    <s v="Ольга Кузнецова"/>
  </r>
  <r>
    <x v="4"/>
    <s v="Новосибирск"/>
    <d v="2025-09-23T00:00:00"/>
    <x v="1"/>
    <s v="Латте"/>
    <x v="1"/>
    <n v="1"/>
    <n v="235"/>
    <s v="Светлана М."/>
    <s v="Ольга Кузнецова"/>
  </r>
  <r>
    <x v="4"/>
    <s v="Новосибирск"/>
    <d v="2025-02-05T00:00:00"/>
    <x v="2"/>
    <s v="Какао"/>
    <x v="1"/>
    <n v="3"/>
    <n v="660"/>
    <s v="Роман Ф."/>
    <s v="Ольга Кузнецова"/>
  </r>
  <r>
    <x v="4"/>
    <s v="Новосибирск"/>
    <d v="2025-01-24T00:00:00"/>
    <x v="4"/>
    <s v="Американо"/>
    <x v="1"/>
    <n v="3"/>
    <n v="468"/>
    <s v="Юлия Д."/>
    <s v="Ольга Кузнецова"/>
  </r>
  <r>
    <x v="4"/>
    <s v="Новосибирск"/>
    <d v="2025-09-15T00:00:00"/>
    <x v="1"/>
    <s v="Синнабон"/>
    <x v="0"/>
    <n v="1"/>
    <n v="219"/>
    <s v="Наталья Р."/>
    <s v="Ольга Кузнецова"/>
  </r>
  <r>
    <x v="4"/>
    <s v="Новосибирск"/>
    <d v="2025-01-19T00:00:00"/>
    <x v="4"/>
    <s v="Американо"/>
    <x v="1"/>
    <n v="2"/>
    <n v="382"/>
    <s v="Светлана М."/>
    <s v="Ольга Кузнецова"/>
  </r>
  <r>
    <x v="4"/>
    <s v="Новосибирск"/>
    <d v="2025-06-20T00:00:00"/>
    <x v="7"/>
    <s v="Эспрессо"/>
    <x v="1"/>
    <n v="1"/>
    <n v="159"/>
    <s v="Юлия Д."/>
    <s v="Ольга Кузнецова"/>
  </r>
  <r>
    <x v="4"/>
    <s v="Новосибирск"/>
    <d v="2025-03-03T00:00:00"/>
    <x v="6"/>
    <s v="Круассан"/>
    <x v="0"/>
    <n v="1"/>
    <n v="180"/>
    <s v="Наталья Р."/>
    <s v="Ольга Кузнецова"/>
  </r>
  <r>
    <x v="4"/>
    <s v="Новосибирск"/>
    <d v="2025-01-04T00:00:00"/>
    <x v="4"/>
    <s v="Эспрессо"/>
    <x v="1"/>
    <n v="3"/>
    <n v="441"/>
    <s v="Виктор Л."/>
    <s v="Ольга Кузнецова"/>
  </r>
  <r>
    <x v="4"/>
    <s v="Новосибирск"/>
    <d v="2025-09-03T00:00:00"/>
    <x v="1"/>
    <s v="Американо"/>
    <x v="1"/>
    <n v="1"/>
    <n v="187"/>
    <s v="Роман Ф."/>
    <s v="Ольга Кузнецова"/>
  </r>
  <r>
    <x v="4"/>
    <s v="Новосибирск"/>
    <d v="2025-08-09T00:00:00"/>
    <x v="9"/>
    <s v="Эспрессо"/>
    <x v="1"/>
    <n v="3"/>
    <n v="408"/>
    <s v="Юлия Д."/>
    <s v="Ольга Кузнецова"/>
  </r>
  <r>
    <x v="4"/>
    <s v="Новосибирск"/>
    <d v="2025-04-11T00:00:00"/>
    <x v="11"/>
    <s v="Американо"/>
    <x v="1"/>
    <n v="2"/>
    <n v="388"/>
    <s v="Светлана М."/>
    <s v="Ольга Кузнецова"/>
  </r>
  <r>
    <x v="4"/>
    <s v="Новосибирск"/>
    <d v="2025-01-27T00:00:00"/>
    <x v="4"/>
    <s v="Эспрессо"/>
    <x v="1"/>
    <n v="1"/>
    <n v="151"/>
    <s v="Наталья Р."/>
    <s v="Ольга Кузнецова"/>
  </r>
  <r>
    <x v="4"/>
    <s v="Новосибирск"/>
    <d v="2025-12-23T00:00:00"/>
    <x v="0"/>
    <s v="Раф"/>
    <x v="1"/>
    <n v="3"/>
    <n v="825"/>
    <s v="Артём Б."/>
    <s v="Ольга Кузнецова"/>
  </r>
  <r>
    <x v="4"/>
    <s v="Новосибирск"/>
    <d v="2025-10-27T00:00:00"/>
    <x v="3"/>
    <s v="Раф"/>
    <x v="1"/>
    <n v="1"/>
    <n v="254"/>
    <s v="Светлана М."/>
    <s v="Ольга Кузнецова"/>
  </r>
  <r>
    <x v="4"/>
    <s v="Новосибирск"/>
    <d v="2025-02-03T00:00:00"/>
    <x v="2"/>
    <s v="Какао"/>
    <x v="1"/>
    <n v="1"/>
    <n v="222"/>
    <s v="Виктор Л."/>
    <s v="Ольга Кузнецова"/>
  </r>
  <r>
    <x v="4"/>
    <s v="Новосибирск"/>
    <d v="2025-03-28T00:00:00"/>
    <x v="6"/>
    <s v="Матча латте"/>
    <x v="1"/>
    <n v="1"/>
    <n v="248"/>
    <s v="Светлана М."/>
    <s v="Ольга Кузнецова"/>
  </r>
  <r>
    <x v="4"/>
    <s v="Новосибирск"/>
    <d v="2025-02-09T00:00:00"/>
    <x v="2"/>
    <s v="Салат Цезарь"/>
    <x v="2"/>
    <n v="1"/>
    <n v="339"/>
    <s v="Роман Ф."/>
    <s v="Ольга Кузнецова"/>
  </r>
  <r>
    <x v="4"/>
    <s v="Новосибирск"/>
    <d v="2025-08-10T00:00:00"/>
    <x v="9"/>
    <s v="Чизкейк"/>
    <x v="0"/>
    <n v="2"/>
    <n v="544"/>
    <s v="Роман Ф."/>
    <s v="Ольга Кузнецова"/>
  </r>
  <r>
    <x v="4"/>
    <s v="Новосибирск"/>
    <d v="2025-04-13T00:00:00"/>
    <x v="11"/>
    <s v="Американо"/>
    <x v="1"/>
    <n v="1"/>
    <n v="182"/>
    <s v="Виктор Л."/>
    <s v="Ольга Кузнецова"/>
  </r>
  <r>
    <x v="4"/>
    <s v="Новосибирск"/>
    <d v="2025-04-11T00:00:00"/>
    <x v="11"/>
    <s v="Американо"/>
    <x v="1"/>
    <n v="1"/>
    <n v="187"/>
    <s v="Наталья Р."/>
    <s v="Ольга Кузнецова"/>
  </r>
  <r>
    <x v="4"/>
    <s v="Новосибирск"/>
    <d v="2025-07-16T00:00:00"/>
    <x v="5"/>
    <s v="Американо"/>
    <x v="1"/>
    <n v="1"/>
    <n v="177"/>
    <s v="Юлия Д."/>
    <s v="Ольга Кузнецова"/>
  </r>
  <r>
    <x v="4"/>
    <s v="Новосибирск"/>
    <d v="2025-06-26T00:00:00"/>
    <x v="7"/>
    <s v="Круассан"/>
    <x v="0"/>
    <n v="2"/>
    <n v="328"/>
    <s v="Артём Б."/>
    <s v="Ольга Кузнецова"/>
  </r>
  <r>
    <x v="5"/>
    <s v="Санкт-Петербург"/>
    <d v="2025-01-15T00:00:00"/>
    <x v="4"/>
    <s v="Американо"/>
    <x v="1"/>
    <n v="1"/>
    <n v="155"/>
    <s v="Игорь С."/>
    <s v="Дмитрий Волков"/>
  </r>
  <r>
    <x v="5"/>
    <s v="Санкт-Петербург"/>
    <d v="2025-03-24T00:00:00"/>
    <x v="6"/>
    <s v="Салат Цезарь"/>
    <x v="2"/>
    <n v="1"/>
    <n v="341"/>
    <s v="Игорь С."/>
    <s v="Дмитрий Волков"/>
  </r>
  <r>
    <x v="5"/>
    <s v="Санкт-Петербург"/>
    <d v="2025-11-18T00:00:00"/>
    <x v="8"/>
    <s v="Матча латте"/>
    <x v="1"/>
    <n v="1"/>
    <n v="297"/>
    <s v="Игорь С."/>
    <s v="Дмитрий Волков"/>
  </r>
  <r>
    <x v="5"/>
    <s v="Санкт-Петербург"/>
    <d v="2025-11-10T00:00:00"/>
    <x v="8"/>
    <s v="Капучино"/>
    <x v="1"/>
    <n v="1"/>
    <n v="186"/>
    <s v="Елена В."/>
    <s v="Дмитрий Волков"/>
  </r>
  <r>
    <x v="5"/>
    <s v="Санкт-Петербург"/>
    <d v="2025-12-24T00:00:00"/>
    <x v="0"/>
    <s v="Американо"/>
    <x v="1"/>
    <n v="1"/>
    <n v="188"/>
    <s v="Игорь С."/>
    <s v="Дмитрий Волков"/>
  </r>
  <r>
    <x v="5"/>
    <s v="Санкт-Петербург"/>
    <d v="2025-06-21T00:00:00"/>
    <x v="7"/>
    <s v="Матча латте"/>
    <x v="1"/>
    <n v="3"/>
    <n v="945"/>
    <s v="Не указан"/>
    <s v="Дмитрий Волков"/>
  </r>
  <r>
    <x v="5"/>
    <s v="Санкт-Петербург"/>
    <d v="2025-08-08T00:00:00"/>
    <x v="9"/>
    <s v="Американо"/>
    <x v="1"/>
    <n v="1"/>
    <n v="156"/>
    <s v="Наталья Р."/>
    <s v="Дмитрий Волков"/>
  </r>
  <r>
    <x v="5"/>
    <s v="Санкт-Петербург"/>
    <d v="2025-10-18T00:00:00"/>
    <x v="3"/>
    <s v="Чизкейк"/>
    <x v="0"/>
    <n v="2"/>
    <n v="500"/>
    <s v="Анна К."/>
    <s v="Дмитрий Волков"/>
  </r>
  <r>
    <x v="5"/>
    <s v="Санкт-Петербург"/>
    <d v="2025-03-14T00:00:00"/>
    <x v="6"/>
    <s v="Капучино"/>
    <x v="1"/>
    <n v="1"/>
    <n v="180"/>
    <s v="Анна К."/>
    <s v="Дмитрий Волков"/>
  </r>
  <r>
    <x v="5"/>
    <s v="Санкт-Петербург"/>
    <d v="2025-06-04T00:00:00"/>
    <x v="7"/>
    <s v="Сэндвич"/>
    <x v="2"/>
    <n v="3"/>
    <n v="1065"/>
    <s v="Игорь С."/>
    <s v="Дмитрий Волков"/>
  </r>
  <r>
    <x v="5"/>
    <s v="Санкт-Петербург"/>
    <d v="2025-12-17T00:00:00"/>
    <x v="0"/>
    <s v="Синнабон"/>
    <x v="0"/>
    <n v="1"/>
    <n v="205"/>
    <s v="Виктор Л."/>
    <s v="Дмитрий Волков"/>
  </r>
  <r>
    <x v="5"/>
    <s v="Санкт-Петербург"/>
    <d v="2025-01-20T00:00:00"/>
    <x v="4"/>
    <s v="Эспрессо"/>
    <x v="1"/>
    <n v="2"/>
    <n v="320"/>
    <s v="Анна К."/>
    <s v="Дмитрий Волков"/>
  </r>
  <r>
    <x v="5"/>
    <s v="Санкт-Петербург"/>
    <d v="2025-08-18T00:00:00"/>
    <x v="9"/>
    <s v="Капучино"/>
    <x v="1"/>
    <n v="2"/>
    <n v="470"/>
    <s v="Максим П."/>
    <s v="Дмитрий Волков"/>
  </r>
  <r>
    <x v="5"/>
    <s v="Санкт-Петербург"/>
    <d v="2025-02-04T00:00:00"/>
    <x v="2"/>
    <s v="Круассан"/>
    <x v="0"/>
    <n v="1"/>
    <n v="168"/>
    <s v="Анна К."/>
    <s v="Дмитрий Волков"/>
  </r>
  <r>
    <x v="5"/>
    <s v="Санкт-Петербург"/>
    <d v="2025-08-13T00:00:00"/>
    <x v="9"/>
    <s v="Капучино"/>
    <x v="1"/>
    <n v="2"/>
    <n v="434"/>
    <s v="Наталья Р."/>
    <s v="Дмитрий Волков"/>
  </r>
  <r>
    <x v="5"/>
    <s v="Санкт-Петербург"/>
    <d v="2025-05-16T00:00:00"/>
    <x v="10"/>
    <s v="Латте"/>
    <x v="1"/>
    <n v="2"/>
    <n v="484"/>
    <s v="Максим П."/>
    <s v="Дмитрий Волков"/>
  </r>
  <r>
    <x v="5"/>
    <s v="Санкт-Петербург"/>
    <d v="2025-07-26T00:00:00"/>
    <x v="5"/>
    <s v="Американо"/>
    <x v="1"/>
    <n v="3"/>
    <n v="510"/>
    <s v="Наталья Р."/>
    <s v="Дмитрий Волков"/>
  </r>
  <r>
    <x v="5"/>
    <s v="Санкт-Петербург"/>
    <d v="2025-04-27T00:00:00"/>
    <x v="11"/>
    <s v="Синнабон"/>
    <x v="0"/>
    <n v="3"/>
    <n v="663"/>
    <s v="Максим П."/>
    <s v="Дмитрий Волков"/>
  </r>
  <r>
    <x v="5"/>
    <s v="Санкт-Петербург"/>
    <d v="2025-02-01T00:00:00"/>
    <x v="2"/>
    <s v="Капучино"/>
    <x v="1"/>
    <n v="2"/>
    <n v="420"/>
    <s v="Елена В."/>
    <s v="Дмитрий Волков"/>
  </r>
  <r>
    <x v="5"/>
    <s v="Санкт-Петербург"/>
    <d v="2025-01-17T00:00:00"/>
    <x v="4"/>
    <s v="Раф"/>
    <x v="1"/>
    <n v="3"/>
    <n v="825"/>
    <s v="Игорь С."/>
    <s v="Дмитрий Волков"/>
  </r>
  <r>
    <x v="5"/>
    <s v="Санкт-Петербург"/>
    <d v="2025-12-27T00:00:00"/>
    <x v="0"/>
    <s v="Сэндвич"/>
    <x v="2"/>
    <n v="1"/>
    <n v="285"/>
    <s v="Максим П."/>
    <s v="Дмитрий Волков"/>
  </r>
  <r>
    <x v="5"/>
    <s v="Санкт-Петербург"/>
    <d v="2025-12-23T00:00:00"/>
    <x v="0"/>
    <s v="Матча латте"/>
    <x v="1"/>
    <n v="3"/>
    <n v="909"/>
    <s v="Виктор Л."/>
    <s v="Дмитрий Волков"/>
  </r>
  <r>
    <x v="5"/>
    <s v="Санкт-Петербург"/>
    <d v="2025-07-03T00:00:00"/>
    <x v="5"/>
    <s v="Эспрессо"/>
    <x v="1"/>
    <n v="1"/>
    <n v="152"/>
    <s v="Анна К."/>
    <s v="Дмитрий Волков"/>
  </r>
  <r>
    <x v="5"/>
    <s v="Санкт-Петербург"/>
    <d v="2025-12-18T00:00:00"/>
    <x v="0"/>
    <s v="Круассан"/>
    <x v="0"/>
    <n v="2"/>
    <n v="326"/>
    <s v="Игорь С."/>
    <s v="Дмитрий Волков"/>
  </r>
  <r>
    <x v="5"/>
    <s v="Санкт-Петербург"/>
    <d v="2025-12-01T00:00:00"/>
    <x v="0"/>
    <s v="Круассан"/>
    <x v="0"/>
    <n v="3"/>
    <n v="516"/>
    <s v="Виктор Л."/>
    <s v="Дмитрий Волков"/>
  </r>
  <r>
    <x v="5"/>
    <s v="Санкт-Петербург"/>
    <d v="2025-12-10T00:00:00"/>
    <x v="0"/>
    <s v="Капучино"/>
    <x v="1"/>
    <n v="2"/>
    <n v="376"/>
    <s v="Анна К."/>
    <s v="Дмитрий Волков"/>
  </r>
  <r>
    <x v="5"/>
    <s v="Санкт-Петербург"/>
    <d v="2025-11-19T00:00:00"/>
    <x v="8"/>
    <s v="Салат Цезарь"/>
    <x v="2"/>
    <n v="2"/>
    <n v="714"/>
    <s v="Наталья Р."/>
    <s v="Дмитрий Волков"/>
  </r>
  <r>
    <x v="5"/>
    <s v="Санкт-Петербург"/>
    <d v="2025-04-04T00:00:00"/>
    <x v="11"/>
    <s v="Синнабон"/>
    <x v="0"/>
    <n v="2"/>
    <n v="444"/>
    <s v="Анна К."/>
    <s v="Дмитрий Волков"/>
  </r>
  <r>
    <x v="5"/>
    <s v="Санкт-Петербург"/>
    <d v="2025-05-20T00:00:00"/>
    <x v="10"/>
    <s v="Сэндвич"/>
    <x v="2"/>
    <n v="1"/>
    <n v="348"/>
    <s v="Анна К."/>
    <s v="Дмитрий Волков"/>
  </r>
  <r>
    <x v="5"/>
    <s v="Санкт-Петербург"/>
    <d v="2025-02-20T00:00:00"/>
    <x v="2"/>
    <s v="Круассан"/>
    <x v="0"/>
    <n v="1"/>
    <n v="162"/>
    <s v="Наталья Р."/>
    <s v="Дмитрий Волков"/>
  </r>
  <r>
    <x v="5"/>
    <s v="Санкт-Петербург"/>
    <d v="2025-04-26T00:00:00"/>
    <x v="11"/>
    <s v="Салат Цезарь"/>
    <x v="2"/>
    <n v="1"/>
    <n v="388"/>
    <s v="Елена В."/>
    <s v="Дмитрий Волков"/>
  </r>
  <r>
    <x v="5"/>
    <s v="Санкт-Петербург"/>
    <d v="2025-05-02T00:00:00"/>
    <x v="10"/>
    <s v="Американо"/>
    <x v="1"/>
    <n v="3"/>
    <n v="573"/>
    <s v="Максим П."/>
    <s v="Дмитрий Волков"/>
  </r>
  <r>
    <x v="5"/>
    <s v="Санкт-Петербург"/>
    <d v="2025-11-12T00:00:00"/>
    <x v="8"/>
    <s v="Матча латте"/>
    <x v="1"/>
    <n v="1"/>
    <n v="277"/>
    <s v="Анна К."/>
    <s v="Дмитрий Волков"/>
  </r>
  <r>
    <x v="5"/>
    <s v="Санкт-Петербург"/>
    <d v="2025-01-11T00:00:00"/>
    <x v="4"/>
    <s v="Сэндвич"/>
    <x v="2"/>
    <n v="3"/>
    <n v="843"/>
    <s v="Анна К."/>
    <s v="Дмитрий Волков"/>
  </r>
  <r>
    <x v="5"/>
    <s v="Санкт-Петербург"/>
    <d v="2025-03-22T00:00:00"/>
    <x v="6"/>
    <s v="Чизкейк"/>
    <x v="0"/>
    <n v="2"/>
    <n v="508"/>
    <s v="Игорь С."/>
    <s v="Дмитрий Волков"/>
  </r>
  <r>
    <x v="5"/>
    <s v="Санкт-Петербург"/>
    <d v="2025-11-28T00:00:00"/>
    <x v="8"/>
    <s v="Раф"/>
    <x v="1"/>
    <n v="2"/>
    <n v="558"/>
    <s v="Елена В."/>
    <s v="Дмитрий Волков"/>
  </r>
  <r>
    <x v="5"/>
    <s v="Санкт-Петербург"/>
    <d v="2025-12-24T00:00:00"/>
    <x v="0"/>
    <s v="Эспрессо"/>
    <x v="1"/>
    <n v="3"/>
    <n v="372"/>
    <s v="Елена В."/>
    <s v="Дмитрий Волков"/>
  </r>
  <r>
    <x v="5"/>
    <s v="Санкт-Петербург"/>
    <d v="2025-10-28T00:00:00"/>
    <x v="3"/>
    <s v="Какао"/>
    <x v="1"/>
    <n v="2"/>
    <n v="406"/>
    <s v="Виктор Л."/>
    <s v="Дмитрий Волков"/>
  </r>
  <r>
    <x v="5"/>
    <s v="Санкт-Петербург"/>
    <d v="2025-12-21T00:00:00"/>
    <x v="0"/>
    <s v="Эспрессо"/>
    <x v="1"/>
    <n v="1"/>
    <n v="135"/>
    <s v="Игорь С."/>
    <s v="Дмитрий Волков"/>
  </r>
  <r>
    <x v="5"/>
    <s v="Санкт-Петербург"/>
    <d v="2025-09-21T00:00:00"/>
    <x v="1"/>
    <s v="Какао"/>
    <x v="1"/>
    <n v="2"/>
    <n v="462"/>
    <s v="Анна К."/>
    <s v="Дмитрий Волков"/>
  </r>
  <r>
    <x v="5"/>
    <s v="Санкт-Петербург"/>
    <d v="2025-05-21T00:00:00"/>
    <x v="10"/>
    <s v="Салат Цезарь"/>
    <x v="2"/>
    <n v="2"/>
    <n v="776"/>
    <s v="Максим П."/>
    <s v="Дмитрий Волков"/>
  </r>
  <r>
    <x v="5"/>
    <s v="Санкт-Петербург"/>
    <d v="2025-11-20T00:00:00"/>
    <x v="8"/>
    <s v="Раф"/>
    <x v="1"/>
    <n v="3"/>
    <n v="741"/>
    <s v="Виктор Л."/>
    <s v="Дмитрий Волков"/>
  </r>
  <r>
    <x v="5"/>
    <s v="Санкт-Петербург"/>
    <d v="2025-05-06T00:00:00"/>
    <x v="10"/>
    <s v="Капучино"/>
    <x v="1"/>
    <n v="1"/>
    <n v="232"/>
    <s v="Анна К."/>
    <s v="Дмитрий Волков"/>
  </r>
  <r>
    <x v="5"/>
    <s v="Санкт-Петербург"/>
    <d v="2025-04-19T00:00:00"/>
    <x v="11"/>
    <s v="Эспрессо"/>
    <x v="1"/>
    <n v="1"/>
    <n v="146"/>
    <s v="Игорь С."/>
    <s v="Дмитрий Волков"/>
  </r>
  <r>
    <x v="5"/>
    <s v="Санкт-Петербург"/>
    <d v="2025-02-27T00:00:00"/>
    <x v="2"/>
    <s v="Эспрессо"/>
    <x v="1"/>
    <n v="1"/>
    <n v="132"/>
    <s v="Игорь С."/>
    <s v="Дмитрий Волков"/>
  </r>
  <r>
    <x v="5"/>
    <s v="Санкт-Петербург"/>
    <d v="2025-01-02T00:00:00"/>
    <x v="4"/>
    <s v="Чизкейк"/>
    <x v="0"/>
    <n v="3"/>
    <n v="831"/>
    <s v="Максим П."/>
    <s v="Дмитрий Волков"/>
  </r>
  <r>
    <x v="5"/>
    <s v="Санкт-Петербург"/>
    <d v="2025-04-17T00:00:00"/>
    <x v="11"/>
    <s v="Круассан"/>
    <x v="0"/>
    <n v="3"/>
    <n v="546"/>
    <s v="Елена В."/>
    <s v="Дмитрий Волков"/>
  </r>
  <r>
    <x v="5"/>
    <s v="Санкт-Петербург"/>
    <d v="2025-07-12T00:00:00"/>
    <x v="5"/>
    <s v="Капучино"/>
    <x v="1"/>
    <n v="1"/>
    <n v="222"/>
    <s v="Игорь С."/>
    <s v="Дмитрий Волков"/>
  </r>
  <r>
    <x v="5"/>
    <s v="Санкт-Петербург"/>
    <d v="2025-11-23T00:00:00"/>
    <x v="8"/>
    <s v="Синнабон"/>
    <x v="0"/>
    <n v="2"/>
    <n v="404"/>
    <s v="Наталья Р."/>
    <s v="Дмитрий Волков"/>
  </r>
  <r>
    <x v="5"/>
    <s v="Санкт-Петербург"/>
    <d v="2025-09-17T00:00:00"/>
    <x v="1"/>
    <s v="Американо"/>
    <x v="1"/>
    <n v="1"/>
    <n v="185"/>
    <s v="Анна К."/>
    <s v="Дмитрий Волков"/>
  </r>
  <r>
    <x v="5"/>
    <s v="Санкт-Петербург"/>
    <d v="2025-01-04T00:00:00"/>
    <x v="4"/>
    <s v="Салат Цезарь"/>
    <x v="2"/>
    <n v="3"/>
    <n v="1071"/>
    <s v="Анна К."/>
    <s v="Дмитрий Волков"/>
  </r>
  <r>
    <x v="5"/>
    <s v="Санкт-Петербург"/>
    <d v="2025-10-28T00:00:00"/>
    <x v="3"/>
    <s v="Сэндвич"/>
    <x v="2"/>
    <n v="2"/>
    <n v="710"/>
    <s v="Анна К."/>
    <s v="Дмитрий Волков"/>
  </r>
  <r>
    <x v="5"/>
    <s v="Санкт-Петербург"/>
    <d v="2025-12-06T00:00:00"/>
    <x v="0"/>
    <s v="Латте"/>
    <x v="1"/>
    <n v="1"/>
    <n v="250"/>
    <s v="Наталья Р."/>
    <s v="Дмитрий Волков"/>
  </r>
  <r>
    <x v="5"/>
    <s v="Санкт-Петербург"/>
    <d v="2025-12-03T00:00:00"/>
    <x v="0"/>
    <s v="Чизкейк"/>
    <x v="0"/>
    <n v="1"/>
    <n v="266"/>
    <s v="Елена В."/>
    <s v="Дмитрий Волков"/>
  </r>
  <r>
    <x v="5"/>
    <s v="Санкт-Петербург"/>
    <d v="2025-09-14T00:00:00"/>
    <x v="1"/>
    <s v="Матча латте"/>
    <x v="1"/>
    <n v="2"/>
    <n v="514"/>
    <s v="Максим П."/>
    <s v="Дмитрий Волков"/>
  </r>
  <r>
    <x v="5"/>
    <s v="Санкт-Петербург"/>
    <d v="2025-08-03T00:00:00"/>
    <x v="9"/>
    <s v="Эспрессо"/>
    <x v="1"/>
    <n v="2"/>
    <n v="268"/>
    <s v="Елена В."/>
    <s v="Дмитрий Волков"/>
  </r>
  <r>
    <x v="5"/>
    <s v="Санкт-Петербург"/>
    <d v="2025-02-06T00:00:00"/>
    <x v="2"/>
    <s v="Раф"/>
    <x v="1"/>
    <n v="1"/>
    <n v="238"/>
    <s v="Виктор Л."/>
    <s v="Дмитрий Волков"/>
  </r>
  <r>
    <x v="5"/>
    <s v="Санкт-Петербург"/>
    <d v="2025-06-18T00:00:00"/>
    <x v="7"/>
    <s v="Чизкейк"/>
    <x v="0"/>
    <n v="3"/>
    <n v="669"/>
    <s v="Игорь С."/>
    <s v="Дмитрий Волков"/>
  </r>
  <r>
    <x v="5"/>
    <s v="Санкт-Петербург"/>
    <d v="2025-03-21T00:00:00"/>
    <x v="6"/>
    <s v="Капучино"/>
    <x v="1"/>
    <n v="1"/>
    <n v="190"/>
    <s v="Елена В."/>
    <s v="Дмитрий Волков"/>
  </r>
  <r>
    <x v="5"/>
    <s v="Санкт-Петербург"/>
    <d v="2025-10-19T00:00:00"/>
    <x v="3"/>
    <s v="Сэндвич"/>
    <x v="2"/>
    <n v="1"/>
    <n v="328"/>
    <s v="Анна К."/>
    <s v="Дмитрий Волков"/>
  </r>
  <r>
    <x v="5"/>
    <s v="Санкт-Петербург"/>
    <d v="2025-07-06T00:00:00"/>
    <x v="5"/>
    <s v="Сэндвич"/>
    <x v="2"/>
    <n v="1"/>
    <n v="340"/>
    <s v="Наталья Р."/>
    <s v="Дмитрий Волков"/>
  </r>
  <r>
    <x v="5"/>
    <s v="Санкт-Петербург"/>
    <d v="2025-01-10T00:00:00"/>
    <x v="4"/>
    <s v="Салат Цезарь"/>
    <x v="2"/>
    <n v="1"/>
    <n v="419"/>
    <s v="Максим П."/>
    <s v="Дмитрий Волков"/>
  </r>
  <r>
    <x v="5"/>
    <s v="Санкт-Петербург"/>
    <d v="2025-12-06T00:00:00"/>
    <x v="0"/>
    <s v="Эспрессо"/>
    <x v="1"/>
    <n v="2"/>
    <n v="320"/>
    <s v="Наталья Р."/>
    <s v="Дмитрий Волков"/>
  </r>
  <r>
    <x v="5"/>
    <s v="Санкт-Петербург"/>
    <d v="2025-06-25T00:00:00"/>
    <x v="7"/>
    <s v="Круассан"/>
    <x v="0"/>
    <n v="1"/>
    <n v="195"/>
    <s v="Наталья Р."/>
    <s v="Дмитрий Волков"/>
  </r>
  <r>
    <x v="5"/>
    <s v="Санкт-Петербург"/>
    <d v="2025-12-05T00:00:00"/>
    <x v="0"/>
    <s v="Круассан"/>
    <x v="0"/>
    <n v="3"/>
    <n v="594"/>
    <s v="Елена В."/>
    <s v="Дмитрий Волков"/>
  </r>
  <r>
    <x v="5"/>
    <s v="Санкт-Петербург"/>
    <d v="2025-12-12T00:00:00"/>
    <x v="0"/>
    <s v="Чизкейк"/>
    <x v="0"/>
    <n v="3"/>
    <n v="708"/>
    <s v="Игорь С."/>
    <s v="Дмитрий Волков"/>
  </r>
  <r>
    <x v="5"/>
    <s v="Санкт-Петербург"/>
    <d v="2025-02-19T00:00:00"/>
    <x v="2"/>
    <s v="Сэндвич"/>
    <x v="2"/>
    <n v="3"/>
    <n v="870"/>
    <s v="Наталья Р."/>
    <s v="Дмитрий Волков"/>
  </r>
  <r>
    <x v="5"/>
    <s v="Санкт-Петербург"/>
    <d v="2025-10-13T00:00:00"/>
    <x v="3"/>
    <s v="Эспрессо"/>
    <x v="1"/>
    <n v="1"/>
    <n v="125"/>
    <s v="Виктор Л."/>
    <s v="Дмитрий Волков"/>
  </r>
  <r>
    <x v="5"/>
    <s v="Санкт-Петербург"/>
    <d v="2025-05-25T00:00:00"/>
    <x v="10"/>
    <s v="Матча латте"/>
    <x v="1"/>
    <n v="2"/>
    <n v="580"/>
    <s v="Максим П."/>
    <s v="Дмитрий Волков"/>
  </r>
  <r>
    <x v="5"/>
    <s v="Санкт-Петербург"/>
    <d v="2025-12-18T00:00:00"/>
    <x v="0"/>
    <s v="Сэндвич"/>
    <x v="2"/>
    <n v="1"/>
    <n v="326"/>
    <s v="Виктор Л."/>
    <s v="Дмитрий Волков"/>
  </r>
  <r>
    <x v="5"/>
    <s v="Санкт-Петербург"/>
    <d v="2025-12-03T00:00:00"/>
    <x v="0"/>
    <s v="Синнабон"/>
    <x v="0"/>
    <n v="2"/>
    <n v="434"/>
    <s v="Максим П."/>
    <s v="Дмитрий Волков"/>
  </r>
  <r>
    <x v="5"/>
    <s v="Санкт-Петербург"/>
    <d v="2025-12-15T00:00:00"/>
    <x v="0"/>
    <s v="Раф"/>
    <x v="1"/>
    <n v="2"/>
    <n v="506"/>
    <s v="Анна К."/>
    <s v="Дмитрий Волков"/>
  </r>
  <r>
    <x v="5"/>
    <s v="Санкт-Петербург"/>
    <d v="2025-11-17T00:00:00"/>
    <x v="8"/>
    <s v="Сэндвич"/>
    <x v="2"/>
    <n v="1"/>
    <n v="296"/>
    <s v="Максим П."/>
    <s v="Дмитрий Волков"/>
  </r>
  <r>
    <x v="5"/>
    <s v="Санкт-Петербург"/>
    <d v="2025-03-19T00:00:00"/>
    <x v="6"/>
    <s v="Какао"/>
    <x v="1"/>
    <n v="1"/>
    <n v="204"/>
    <s v="Наталья Р."/>
    <s v="Дмитрий Волков"/>
  </r>
  <r>
    <x v="5"/>
    <s v="Санкт-Петербург"/>
    <d v="2025-12-27T00:00:00"/>
    <x v="0"/>
    <s v="Какао"/>
    <x v="1"/>
    <n v="3"/>
    <n v="666"/>
    <s v="Виктор Л."/>
    <s v="Дмитрий Волков"/>
  </r>
  <r>
    <x v="5"/>
    <s v="Санкт-Петербург"/>
    <d v="2025-12-21T00:00:00"/>
    <x v="0"/>
    <s v="Раф"/>
    <x v="1"/>
    <n v="1"/>
    <n v="240"/>
    <s v="Виктор Л."/>
    <s v="Дмитрий Волков"/>
  </r>
  <r>
    <x v="5"/>
    <s v="Санкт-Петербург"/>
    <d v="2025-02-16T00:00:00"/>
    <x v="2"/>
    <s v="Эспрессо"/>
    <x v="1"/>
    <n v="3"/>
    <n v="414"/>
    <s v="Игорь С."/>
    <s v="Дмитрий Волков"/>
  </r>
  <r>
    <x v="5"/>
    <s v="Санкт-Петербург"/>
    <d v="2025-02-13T00:00:00"/>
    <x v="2"/>
    <s v="Какао"/>
    <x v="1"/>
    <n v="2"/>
    <n v="392"/>
    <s v="Виктор Л."/>
    <s v="Дмитрий Волков"/>
  </r>
  <r>
    <x v="5"/>
    <s v="Санкт-Петербург"/>
    <d v="2025-12-26T00:00:00"/>
    <x v="0"/>
    <s v="Американо"/>
    <x v="1"/>
    <n v="3"/>
    <n v="537"/>
    <s v="Анна К."/>
    <s v="Дмитрий Волков"/>
  </r>
  <r>
    <x v="5"/>
    <s v="Санкт-Петербург"/>
    <d v="2025-12-02T00:00:00"/>
    <x v="0"/>
    <s v="Какао"/>
    <x v="1"/>
    <n v="1"/>
    <n v="195"/>
    <s v="Наталья Р."/>
    <s v="Дмитрий Волков"/>
  </r>
  <r>
    <x v="5"/>
    <s v="Санкт-Петербург"/>
    <d v="2025-08-20T00:00:00"/>
    <x v="9"/>
    <s v="Капучино"/>
    <x v="1"/>
    <n v="1"/>
    <n v="216"/>
    <s v="Игорь С."/>
    <s v="Дмитрий Волков"/>
  </r>
  <r>
    <x v="5"/>
    <s v="Санкт-Петербург"/>
    <d v="2025-03-05T00:00:00"/>
    <x v="6"/>
    <s v="Американо"/>
    <x v="1"/>
    <n v="1"/>
    <n v="170"/>
    <s v="Наталья Р."/>
    <s v="Дмитрий Волков"/>
  </r>
  <r>
    <x v="5"/>
    <s v="Санкт-Петербург"/>
    <d v="2025-04-10T00:00:00"/>
    <x v="11"/>
    <s v="Эспрессо"/>
    <x v="1"/>
    <n v="3"/>
    <n v="426"/>
    <s v="Максим П."/>
    <s v="Дмитрий Волков"/>
  </r>
  <r>
    <x v="5"/>
    <s v="Санкт-Петербург"/>
    <d v="2025-03-26T00:00:00"/>
    <x v="6"/>
    <s v="Какао"/>
    <x v="1"/>
    <n v="1"/>
    <n v="225"/>
    <s v="Наталья Р."/>
    <s v="Дмитрий Волков"/>
  </r>
  <r>
    <x v="5"/>
    <s v="Санкт-Петербург"/>
    <d v="2025-05-24T00:00:00"/>
    <x v="10"/>
    <s v="Чизкейк"/>
    <x v="0"/>
    <n v="1"/>
    <n v="266"/>
    <s v="Анна К."/>
    <s v="Дмитрий Волков"/>
  </r>
  <r>
    <x v="5"/>
    <s v="Санкт-Петербург"/>
    <d v="2025-04-07T00:00:00"/>
    <x v="11"/>
    <s v="Капучино"/>
    <x v="1"/>
    <n v="2"/>
    <n v="394"/>
    <s v="Максим П."/>
    <s v="Дмитрий Волков"/>
  </r>
  <r>
    <x v="5"/>
    <s v="Санкт-Петербург"/>
    <d v="2025-05-17T00:00:00"/>
    <x v="10"/>
    <s v="Сэндвич"/>
    <x v="2"/>
    <n v="1"/>
    <n v="346"/>
    <s v="Виктор Л."/>
    <s v="Дмитрий Волков"/>
  </r>
  <r>
    <x v="5"/>
    <s v="Санкт-Петербург"/>
    <d v="2025-12-23T00:00:00"/>
    <x v="0"/>
    <s v="Круассан"/>
    <x v="0"/>
    <n v="2"/>
    <n v="398"/>
    <s v="Наталья Р."/>
    <s v="Дмитрий Волков"/>
  </r>
  <r>
    <x v="5"/>
    <s v="Санкт-Петербург"/>
    <d v="2025-10-23T00:00:00"/>
    <x v="3"/>
    <s v="Чизкейк"/>
    <x v="0"/>
    <n v="2"/>
    <n v="480"/>
    <s v="Анна К."/>
    <s v="Дмитрий Волков"/>
  </r>
  <r>
    <x v="5"/>
    <s v="Санкт-Петербург"/>
    <d v="2025-01-12T00:00:00"/>
    <x v="4"/>
    <s v="Синнабон"/>
    <x v="0"/>
    <n v="1"/>
    <n v="214"/>
    <s v="Наталья Р."/>
    <s v="Дмитрий Волков"/>
  </r>
  <r>
    <x v="5"/>
    <s v="Санкт-Петербург"/>
    <d v="2025-07-04T00:00:00"/>
    <x v="5"/>
    <s v="Капучино"/>
    <x v="1"/>
    <n v="2"/>
    <n v="446"/>
    <s v="Наталья Р."/>
    <s v="Дмитрий Волков"/>
  </r>
  <r>
    <x v="5"/>
    <s v="Санкт-Петербург"/>
    <d v="2025-11-26T00:00:00"/>
    <x v="8"/>
    <s v="Раф"/>
    <x v="1"/>
    <n v="2"/>
    <n v="488"/>
    <s v="Анна К."/>
    <s v="Дмитрий Волков"/>
  </r>
  <r>
    <x v="5"/>
    <s v="Санкт-Петербург"/>
    <d v="2025-03-26T00:00:00"/>
    <x v="6"/>
    <s v="Круассан"/>
    <x v="0"/>
    <n v="1"/>
    <n v="179"/>
    <s v="Игорь С."/>
    <s v="Дмитрий Волков"/>
  </r>
  <r>
    <x v="5"/>
    <s v="Санкт-Петербург"/>
    <d v="2025-10-11T00:00:00"/>
    <x v="3"/>
    <s v="Круассан"/>
    <x v="0"/>
    <n v="1"/>
    <n v="199"/>
    <s v="Игорь С."/>
    <s v="Дмитрий Волков"/>
  </r>
  <r>
    <x v="5"/>
    <s v="Санкт-Петербург"/>
    <d v="2025-02-04T00:00:00"/>
    <x v="2"/>
    <s v="Американо"/>
    <x v="1"/>
    <n v="1"/>
    <n v="166"/>
    <s v="Анна К."/>
    <s v="Дмитрий Волков"/>
  </r>
  <r>
    <x v="5"/>
    <s v="Санкт-Петербург"/>
    <d v="2025-06-13T00:00:00"/>
    <x v="7"/>
    <s v="Салат Цезарь"/>
    <x v="2"/>
    <n v="1"/>
    <n v="370"/>
    <s v="Елена В."/>
    <s v="Дмитрий Волков"/>
  </r>
  <r>
    <x v="5"/>
    <s v="Санкт-Петербург"/>
    <d v="2025-03-23T00:00:00"/>
    <x v="6"/>
    <s v="Раф"/>
    <x v="1"/>
    <n v="2"/>
    <n v="568"/>
    <s v="Виктор Л."/>
    <s v="Дмитрий Волков"/>
  </r>
  <r>
    <x v="5"/>
    <s v="Санкт-Петербург"/>
    <d v="2025-09-02T00:00:00"/>
    <x v="1"/>
    <s v="Круассан"/>
    <x v="0"/>
    <n v="2"/>
    <n v="396"/>
    <s v="Наталья Р."/>
    <s v="Дмитрий Волков"/>
  </r>
  <r>
    <x v="5"/>
    <s v="Санкт-Петербург"/>
    <d v="2025-02-03T00:00:00"/>
    <x v="2"/>
    <s v="Американо"/>
    <x v="1"/>
    <n v="1"/>
    <n v="192"/>
    <s v="Максим П."/>
    <s v="Дмитрий Волков"/>
  </r>
  <r>
    <x v="5"/>
    <s v="Санкт-Петербург"/>
    <d v="2025-12-02T00:00:00"/>
    <x v="0"/>
    <s v="Капучино"/>
    <x v="1"/>
    <n v="1"/>
    <n v="213"/>
    <s v="Елена В."/>
    <s v="Дмитрий Волков"/>
  </r>
  <r>
    <x v="5"/>
    <s v="Санкт-Петербург"/>
    <d v="2025-04-11T00:00:00"/>
    <x v="11"/>
    <s v="Чизкейк"/>
    <x v="0"/>
    <n v="2"/>
    <n v="506"/>
    <s v="Игорь С."/>
    <s v="Дмитрий Волков"/>
  </r>
  <r>
    <x v="5"/>
    <s v="Санкт-Петербург"/>
    <d v="2025-07-22T00:00:00"/>
    <x v="5"/>
    <s v="Сэндвич"/>
    <x v="2"/>
    <n v="1"/>
    <n v="318"/>
    <s v="Виктор Л."/>
    <s v="Дмитрий Волков"/>
  </r>
  <r>
    <x v="5"/>
    <s v="Санкт-Петербург"/>
    <d v="2025-07-28T00:00:00"/>
    <x v="5"/>
    <s v="Сэндвич"/>
    <x v="2"/>
    <n v="3"/>
    <n v="921"/>
    <s v="Виктор Л."/>
    <s v="Дмитрий Волков"/>
  </r>
  <r>
    <x v="5"/>
    <s v="Санкт-Петербург"/>
    <d v="2025-12-16T00:00:00"/>
    <x v="0"/>
    <s v="Капучино"/>
    <x v="1"/>
    <n v="1"/>
    <n v="221"/>
    <s v="Анна К."/>
    <s v="Дмитрий Волков"/>
  </r>
  <r>
    <x v="5"/>
    <s v="Санкт-Петербург"/>
    <d v="2025-06-21T00:00:00"/>
    <x v="7"/>
    <s v="Чизкейк"/>
    <x v="0"/>
    <n v="1"/>
    <n v="267"/>
    <s v="Наталья Р."/>
    <s v="Дмитрий Волков"/>
  </r>
  <r>
    <x v="5"/>
    <s v="Санкт-Петербург"/>
    <d v="2025-01-24T00:00:00"/>
    <x v="4"/>
    <s v="Латте"/>
    <x v="1"/>
    <n v="2"/>
    <n v="486"/>
    <s v="Анна К."/>
    <s v="Дмитрий Волков"/>
  </r>
  <r>
    <x v="5"/>
    <s v="Санкт-Петербург"/>
    <d v="2025-12-04T00:00:00"/>
    <x v="0"/>
    <s v="Какао"/>
    <x v="1"/>
    <n v="3"/>
    <n v="645"/>
    <s v="Анна К."/>
    <s v="Дмитрий Волков"/>
  </r>
  <r>
    <x v="5"/>
    <s v="Санкт-Петербург"/>
    <d v="2025-01-27T00:00:00"/>
    <x v="4"/>
    <s v="Американо"/>
    <x v="1"/>
    <n v="3"/>
    <n v="492"/>
    <s v="Виктор Л."/>
    <s v="Дмитрий Волков"/>
  </r>
  <r>
    <x v="5"/>
    <s v="Санкт-Петербург"/>
    <d v="2025-09-15T00:00:00"/>
    <x v="1"/>
    <s v="Латте"/>
    <x v="1"/>
    <n v="3"/>
    <n v="642"/>
    <s v="Виктор Л."/>
    <s v="Дмитрий Волков"/>
  </r>
  <r>
    <x v="5"/>
    <s v="Санкт-Петербург"/>
    <d v="2025-01-02T00:00:00"/>
    <x v="4"/>
    <s v="Салат Цезарь"/>
    <x v="2"/>
    <n v="1"/>
    <n v="346"/>
    <s v="Максим П."/>
    <s v="Дмитрий Волков"/>
  </r>
  <r>
    <x v="5"/>
    <s v="Санкт-Петербург"/>
    <d v="2025-01-19T00:00:00"/>
    <x v="4"/>
    <s v="Матча латте"/>
    <x v="1"/>
    <n v="1"/>
    <n v="282"/>
    <s v="Елена В."/>
    <s v="Дмитрий Волков"/>
  </r>
  <r>
    <x v="5"/>
    <s v="Санкт-Петербург"/>
    <d v="2025-03-16T00:00:00"/>
    <x v="6"/>
    <s v="Сэндвич"/>
    <x v="2"/>
    <n v="3"/>
    <n v="1068"/>
    <s v="Максим П."/>
    <s v="Дмитрий Волков"/>
  </r>
  <r>
    <x v="5"/>
    <s v="Санкт-Петербург"/>
    <d v="2025-02-08T00:00:00"/>
    <x v="2"/>
    <s v="Салат Цезарь"/>
    <x v="2"/>
    <n v="2"/>
    <n v="760"/>
    <s v="Виктор Л."/>
    <s v="Дмитрий Волков"/>
  </r>
  <r>
    <x v="5"/>
    <s v="Санкт-Петербург"/>
    <d v="2025-09-09T00:00:00"/>
    <x v="1"/>
    <s v="Американо"/>
    <x v="1"/>
    <n v="1"/>
    <n v="155"/>
    <s v="Максим П."/>
    <s v="Дмитрий Волков"/>
  </r>
  <r>
    <x v="5"/>
    <s v="Санкт-Петербург"/>
    <d v="2025-01-02T00:00:00"/>
    <x v="4"/>
    <s v="Круассан"/>
    <x v="0"/>
    <n v="2"/>
    <n v="396"/>
    <s v="Елена В."/>
    <s v="Дмитрий Волков"/>
  </r>
  <r>
    <x v="5"/>
    <s v="Санкт-Петербург"/>
    <d v="2025-07-13T00:00:00"/>
    <x v="5"/>
    <s v="Какао"/>
    <x v="1"/>
    <n v="2"/>
    <n v="470"/>
    <s v="Игорь С."/>
    <s v="Дмитрий Волков"/>
  </r>
  <r>
    <x v="5"/>
    <s v="Санкт-Петербург"/>
    <d v="2025-10-23T00:00:00"/>
    <x v="3"/>
    <s v="Чизкейк"/>
    <x v="0"/>
    <n v="2"/>
    <n v="472"/>
    <s v="Игорь С."/>
    <s v="Дмитрий Волков"/>
  </r>
  <r>
    <x v="5"/>
    <s v="Санкт-Петербург"/>
    <d v="2025-03-25T00:00:00"/>
    <x v="6"/>
    <s v="Синнабон"/>
    <x v="0"/>
    <n v="1"/>
    <n v="192"/>
    <s v="Игорь С."/>
    <s v="Дмитрий Волков"/>
  </r>
  <r>
    <x v="5"/>
    <s v="Санкт-Петербург"/>
    <d v="2025-08-22T00:00:00"/>
    <x v="9"/>
    <s v="Эспрессо"/>
    <x v="1"/>
    <n v="1"/>
    <n v="131"/>
    <s v="Наталья Р."/>
    <s v="Дмитрий Волков"/>
  </r>
  <r>
    <x v="5"/>
    <s v="Санкт-Петербург"/>
    <d v="2025-05-14T00:00:00"/>
    <x v="10"/>
    <s v="Круассан"/>
    <x v="0"/>
    <n v="2"/>
    <n v="334"/>
    <s v="Игорь С."/>
    <s v="Дмитрий Волков"/>
  </r>
  <r>
    <x v="5"/>
    <s v="Санкт-Петербург"/>
    <d v="2025-11-09T00:00:00"/>
    <x v="8"/>
    <s v="Латте"/>
    <x v="1"/>
    <n v="1"/>
    <n v="203"/>
    <s v="Игорь С."/>
    <s v="Дмитрий Волков"/>
  </r>
  <r>
    <x v="5"/>
    <s v="Санкт-Петербург"/>
    <d v="2025-05-10T00:00:00"/>
    <x v="10"/>
    <s v="Салат Цезарь"/>
    <x v="2"/>
    <n v="1"/>
    <n v="700"/>
    <s v="Анна К."/>
    <s v="Дмитрий Волков"/>
  </r>
  <r>
    <x v="5"/>
    <s v="Санкт-Петербург"/>
    <d v="2025-10-08T00:00:00"/>
    <x v="3"/>
    <s v="Эспрессо"/>
    <x v="1"/>
    <n v="2"/>
    <n v="264"/>
    <s v="Виктор Л."/>
    <s v="Дмитрий Волков"/>
  </r>
  <r>
    <x v="5"/>
    <s v="Санкт-Петербург"/>
    <d v="2025-11-25T00:00:00"/>
    <x v="8"/>
    <s v="Капучино"/>
    <x v="1"/>
    <n v="2"/>
    <n v="426"/>
    <s v="Анна К."/>
    <s v="Дмитрий Волков"/>
  </r>
  <r>
    <x v="5"/>
    <s v="Санкт-Петербург"/>
    <d v="2025-01-05T00:00:00"/>
    <x v="4"/>
    <s v="Эспрессо"/>
    <x v="1"/>
    <n v="1"/>
    <n v="132"/>
    <s v="Наталья Р."/>
    <s v="Дмитрий Волков"/>
  </r>
  <r>
    <x v="5"/>
    <s v="Санкт-Петербург"/>
    <d v="2025-06-22T00:00:00"/>
    <x v="7"/>
    <s v="Эспрессо"/>
    <x v="1"/>
    <n v="2"/>
    <n v="276"/>
    <s v="Елена В."/>
    <s v="Дмитрий Волков"/>
  </r>
  <r>
    <x v="5"/>
    <s v="Санкт-Петербург"/>
    <d v="2025-11-16T00:00:00"/>
    <x v="8"/>
    <s v="Латте"/>
    <x v="1"/>
    <n v="1"/>
    <n v="204"/>
    <s v="Наталья Р."/>
    <s v="Дмитрий Волков"/>
  </r>
  <r>
    <x v="5"/>
    <s v="Санкт-Петербург"/>
    <d v="2025-09-22T00:00:00"/>
    <x v="1"/>
    <s v="Матча латте"/>
    <x v="1"/>
    <n v="2"/>
    <n v="520"/>
    <s v="Максим П."/>
    <s v="Дмитрий Волков"/>
  </r>
  <r>
    <x v="5"/>
    <s v="Санкт-Петербург"/>
    <d v="2025-04-25T00:00:00"/>
    <x v="11"/>
    <s v="Чизкейк"/>
    <x v="0"/>
    <n v="1"/>
    <n v="275"/>
    <s v="Виктор Л."/>
    <s v="Дмитрий Волков"/>
  </r>
  <r>
    <x v="5"/>
    <s v="Санкт-Петербург"/>
    <d v="2025-05-13T00:00:00"/>
    <x v="10"/>
    <s v="Круассан"/>
    <x v="0"/>
    <n v="1"/>
    <n v="199"/>
    <s v="Елена В."/>
    <s v="Дмитрий Волков"/>
  </r>
  <r>
    <x v="5"/>
    <s v="Санкт-Петербург"/>
    <d v="2025-11-07T00:00:00"/>
    <x v="8"/>
    <s v="Круассан"/>
    <x v="0"/>
    <n v="1"/>
    <n v="162"/>
    <s v="Игорь С."/>
    <s v="Дмитрий Волков"/>
  </r>
  <r>
    <x v="5"/>
    <s v="Санкт-Петербург"/>
    <d v="2025-05-12T00:00:00"/>
    <x v="10"/>
    <s v="Раф"/>
    <x v="1"/>
    <n v="3"/>
    <n v="705"/>
    <s v="Елена В."/>
    <s v="Дмитрий Волков"/>
  </r>
  <r>
    <x v="5"/>
    <s v="Санкт-Петербург"/>
    <d v="2025-12-19T00:00:00"/>
    <x v="0"/>
    <s v="Раф"/>
    <x v="1"/>
    <n v="1"/>
    <n v="235"/>
    <s v="Игорь С."/>
    <s v="Дмитрий Волков"/>
  </r>
  <r>
    <x v="5"/>
    <s v="Санкт-Петербург"/>
    <d v="2025-08-16T00:00:00"/>
    <x v="9"/>
    <s v="Американо"/>
    <x v="1"/>
    <n v="3"/>
    <n v="573"/>
    <s v="Елена В."/>
    <s v="Дмитрий Волков"/>
  </r>
  <r>
    <x v="5"/>
    <s v="Санкт-Петербург"/>
    <d v="2025-11-23T00:00:00"/>
    <x v="8"/>
    <s v="Круассан"/>
    <x v="0"/>
    <n v="1"/>
    <n v="189"/>
    <s v="Анна К."/>
    <s v="Дмитрий Волков"/>
  </r>
  <r>
    <x v="5"/>
    <s v="Санкт-Петербург"/>
    <d v="2025-12-03T00:00:00"/>
    <x v="0"/>
    <s v="Эспрессо"/>
    <x v="1"/>
    <n v="1"/>
    <n v="151"/>
    <s v="Виктор Л."/>
    <s v="Дмитрий Волков"/>
  </r>
  <r>
    <x v="5"/>
    <s v="Санкт-Петербург"/>
    <d v="2025-05-08T00:00:00"/>
    <x v="10"/>
    <s v="Какао"/>
    <x v="1"/>
    <n v="1"/>
    <n v="209"/>
    <s v="Виктор Л."/>
    <s v="Дмитрий Волков"/>
  </r>
  <r>
    <x v="5"/>
    <s v="Санкт-Петербург"/>
    <d v="2025-03-24T00:00:00"/>
    <x v="6"/>
    <s v="Эспрессо"/>
    <x v="1"/>
    <n v="2"/>
    <n v="310"/>
    <s v="Виктор Л."/>
    <s v="Дмитрий Волков"/>
  </r>
  <r>
    <x v="5"/>
    <s v="Санкт-Петербург"/>
    <d v="2025-06-04T00:00:00"/>
    <x v="7"/>
    <s v="Какао"/>
    <x v="1"/>
    <n v="1"/>
    <n v="228"/>
    <s v="Анна К."/>
    <s v="Дмитрий Волков"/>
  </r>
  <r>
    <x v="5"/>
    <s v="Санкт-Петербург"/>
    <d v="2025-04-13T00:00:00"/>
    <x v="11"/>
    <s v="Раф"/>
    <x v="1"/>
    <n v="2"/>
    <n v="510"/>
    <s v="Виктор Л."/>
    <s v="Дмитрий Волков"/>
  </r>
  <r>
    <x v="5"/>
    <s v="Санкт-Петербург"/>
    <d v="2025-12-12T00:00:00"/>
    <x v="0"/>
    <s v="Сэндвич"/>
    <x v="2"/>
    <n v="1"/>
    <n v="305"/>
    <s v="Анна К."/>
    <s v="Дмитрий Волков"/>
  </r>
  <r>
    <x v="5"/>
    <s v="Санкт-Петербург"/>
    <d v="2025-02-12T00:00:00"/>
    <x v="2"/>
    <s v="Латте"/>
    <x v="1"/>
    <n v="2"/>
    <n v="510"/>
    <s v="Анна К."/>
    <s v="Дмитрий Волков"/>
  </r>
  <r>
    <x v="5"/>
    <s v="Санкт-Петербург"/>
    <d v="2025-02-06T00:00:00"/>
    <x v="2"/>
    <s v="Какао"/>
    <x v="1"/>
    <n v="1"/>
    <n v="206"/>
    <s v="Максим П."/>
    <s v="Дмитрий Волков"/>
  </r>
  <r>
    <x v="5"/>
    <s v="Санкт-Петербург"/>
    <d v="2025-01-19T00:00:00"/>
    <x v="4"/>
    <s v="Круассан"/>
    <x v="0"/>
    <n v="1"/>
    <n v="161"/>
    <s v="Анна К."/>
    <s v="Дмитрий Волков"/>
  </r>
  <r>
    <x v="5"/>
    <s v="Санкт-Петербург"/>
    <d v="2025-04-06T00:00:00"/>
    <x v="11"/>
    <s v="Чизкейк"/>
    <x v="0"/>
    <n v="1"/>
    <n v="242"/>
    <s v="Елена В."/>
    <s v="Дмитрий Волков"/>
  </r>
  <r>
    <x v="5"/>
    <s v="Санкт-Петербург"/>
    <d v="2025-10-18T00:00:00"/>
    <x v="3"/>
    <s v="Салат Цезарь"/>
    <x v="2"/>
    <n v="1"/>
    <n v="365"/>
    <s v="Игорь С."/>
    <s v="Дмитрий Волков"/>
  </r>
  <r>
    <x v="5"/>
    <s v="Санкт-Петербург"/>
    <d v="2025-02-24T00:00:00"/>
    <x v="2"/>
    <s v="Американо"/>
    <x v="1"/>
    <n v="2"/>
    <n v="328"/>
    <s v="Виктор Л."/>
    <s v="Дмитрий Волков"/>
  </r>
  <r>
    <x v="5"/>
    <s v="Санкт-Петербург"/>
    <d v="2025-01-25T00:00:00"/>
    <x v="4"/>
    <s v="Какао"/>
    <x v="1"/>
    <n v="2"/>
    <n v="470"/>
    <s v="Виктор Л."/>
    <s v="Дмитрий Волков"/>
  </r>
  <r>
    <x v="5"/>
    <s v="Санкт-Петербург"/>
    <d v="2025-11-27T00:00:00"/>
    <x v="8"/>
    <s v="Эспрессо"/>
    <x v="1"/>
    <n v="1"/>
    <n v="144"/>
    <s v="Игорь С."/>
    <s v="Дмитрий Волков"/>
  </r>
  <r>
    <x v="5"/>
    <s v="Санкт-Петербург"/>
    <d v="2025-01-11T00:00:00"/>
    <x v="4"/>
    <s v="Салат Цезарь"/>
    <x v="2"/>
    <n v="3"/>
    <n v="1128"/>
    <s v="Игорь С."/>
    <s v="Дмитрий Волков"/>
  </r>
  <r>
    <x v="5"/>
    <s v="Санкт-Петербург"/>
    <d v="2025-01-03T00:00:00"/>
    <x v="4"/>
    <s v="Синнабон"/>
    <x v="0"/>
    <n v="1"/>
    <n v="202"/>
    <s v="Елена В."/>
    <s v="Дмитрий Волков"/>
  </r>
  <r>
    <x v="5"/>
    <s v="Санкт-Петербург"/>
    <d v="2025-01-27T00:00:00"/>
    <x v="4"/>
    <s v="Синнабон"/>
    <x v="0"/>
    <n v="1"/>
    <n v="198"/>
    <s v="Елена В."/>
    <s v="Дмитрий Волков"/>
  </r>
  <r>
    <x v="5"/>
    <s v="Санкт-Петербург"/>
    <d v="2025-03-23T00:00:00"/>
    <x v="6"/>
    <s v="Американо"/>
    <x v="1"/>
    <n v="1"/>
    <n v="164"/>
    <s v="Наталья Р."/>
    <s v="Дмитрий Волков"/>
  </r>
  <r>
    <x v="5"/>
    <s v="Санкт-Петербург"/>
    <d v="2025-02-06T00:00:00"/>
    <x v="2"/>
    <s v="Матча латте"/>
    <x v="1"/>
    <n v="2"/>
    <n v="558"/>
    <s v="Анна К."/>
    <s v="Дмитрий Волков"/>
  </r>
  <r>
    <x v="5"/>
    <s v="Санкт-Петербург"/>
    <d v="2025-10-07T00:00:00"/>
    <x v="3"/>
    <s v="Раф"/>
    <x v="1"/>
    <n v="1"/>
    <n v="244"/>
    <s v="Максим П."/>
    <s v="Дмитрий Волков"/>
  </r>
  <r>
    <x v="5"/>
    <s v="Санкт-Петербург"/>
    <d v="2025-02-19T00:00:00"/>
    <x v="2"/>
    <s v="Капучино"/>
    <x v="1"/>
    <n v="1"/>
    <n v="239"/>
    <s v="Игорь С."/>
    <s v="Дмитрий Волков"/>
  </r>
  <r>
    <x v="5"/>
    <s v="Санкт-Петербург"/>
    <d v="2025-11-24T00:00:00"/>
    <x v="8"/>
    <s v="Раф"/>
    <x v="1"/>
    <n v="1"/>
    <n v="245"/>
    <s v="Елена В."/>
    <s v="Дмитрий Волков"/>
  </r>
  <r>
    <x v="5"/>
    <s v="Санкт-Петербург"/>
    <d v="2025-04-20T00:00:00"/>
    <x v="11"/>
    <s v="Круассан"/>
    <x v="0"/>
    <n v="1"/>
    <n v="171"/>
    <s v="Анна К."/>
    <s v="Дмитрий Волков"/>
  </r>
  <r>
    <x v="5"/>
    <s v="Санкт-Петербург"/>
    <d v="2025-09-22T00:00:00"/>
    <x v="1"/>
    <s v="Матча латте"/>
    <x v="1"/>
    <n v="2"/>
    <n v="560"/>
    <s v="Игорь С."/>
    <s v="Дмитрий Волков"/>
  </r>
  <r>
    <x v="5"/>
    <s v="Санкт-Петербург"/>
    <d v="2025-07-15T00:00:00"/>
    <x v="5"/>
    <s v="Латте"/>
    <x v="1"/>
    <n v="1"/>
    <n v="248"/>
    <s v="Игорь С."/>
    <s v="Дмитрий Волков"/>
  </r>
  <r>
    <x v="5"/>
    <s v="Санкт-Петербург"/>
    <d v="2025-09-09T00:00:00"/>
    <x v="1"/>
    <s v="Матча латте"/>
    <x v="1"/>
    <n v="2"/>
    <n v="612"/>
    <s v="Елена В."/>
    <s v="Дмитрий Волков"/>
  </r>
  <r>
    <x v="5"/>
    <s v="Санкт-Петербург"/>
    <d v="2025-06-20T00:00:00"/>
    <x v="7"/>
    <s v="Капучино"/>
    <x v="1"/>
    <n v="1"/>
    <n v="230"/>
    <s v="Наталья Р."/>
    <s v="Дмитрий Волков"/>
  </r>
  <r>
    <x v="5"/>
    <s v="Санкт-Петербург"/>
    <d v="2025-03-17T00:00:00"/>
    <x v="6"/>
    <s v="Капучино"/>
    <x v="1"/>
    <n v="2"/>
    <n v="432"/>
    <s v="Наталья Р."/>
    <s v="Дмитрий Волков"/>
  </r>
  <r>
    <x v="5"/>
    <s v="Санкт-Петербург"/>
    <d v="2025-06-02T00:00:00"/>
    <x v="7"/>
    <s v="Американо"/>
    <x v="1"/>
    <n v="1"/>
    <n v="187"/>
    <s v="Максим П."/>
    <s v="Дмитрий Волков"/>
  </r>
  <r>
    <x v="5"/>
    <s v="Санкт-Петербург"/>
    <d v="2025-12-07T00:00:00"/>
    <x v="0"/>
    <s v="Сэндвич"/>
    <x v="2"/>
    <n v="2"/>
    <n v="658"/>
    <s v="Наталья Р."/>
    <s v="Дмитрий Волков"/>
  </r>
  <r>
    <x v="5"/>
    <s v="Санкт-Петербург"/>
    <d v="2025-09-19T00:00:00"/>
    <x v="1"/>
    <s v="Синнабон"/>
    <x v="0"/>
    <n v="1"/>
    <n v="235"/>
    <s v="Максим П."/>
    <s v="Дмитрий Волков"/>
  </r>
  <r>
    <x v="5"/>
    <s v="Санкт-Петербург"/>
    <d v="2025-08-25T00:00:00"/>
    <x v="9"/>
    <s v="Эспрессо"/>
    <x v="1"/>
    <n v="2"/>
    <n v="260"/>
    <s v="Наталья Р."/>
    <s v="Дмитрий Волков"/>
  </r>
  <r>
    <x v="5"/>
    <s v="Санкт-Петербург"/>
    <d v="2025-07-24T00:00:00"/>
    <x v="5"/>
    <s v="Латте"/>
    <x v="1"/>
    <n v="1"/>
    <n v="211"/>
    <s v="Наталья Р."/>
    <s v="Дмитрий Волков"/>
  </r>
  <r>
    <x v="5"/>
    <s v="Санкт-Петербург"/>
    <d v="2025-01-24T00:00:00"/>
    <x v="4"/>
    <s v="Чизкейк"/>
    <x v="0"/>
    <n v="2"/>
    <n v="516"/>
    <s v="Наталья Р."/>
    <s v="Дмитрий Волков"/>
  </r>
  <r>
    <x v="5"/>
    <s v="Санкт-Петербург"/>
    <d v="2025-12-06T00:00:00"/>
    <x v="0"/>
    <s v="Круассан"/>
    <x v="0"/>
    <n v="1"/>
    <n v="196"/>
    <s v="Наталья Р."/>
    <s v="Дмитрий Волков"/>
  </r>
  <r>
    <x v="5"/>
    <s v="Санкт-Петербург"/>
    <d v="2025-04-15T00:00:00"/>
    <x v="11"/>
    <s v="Раф"/>
    <x v="1"/>
    <n v="2"/>
    <n v="496"/>
    <s v="Анна К."/>
    <s v="Дмитрий Волков"/>
  </r>
  <r>
    <x v="5"/>
    <s v="Санкт-Петербург"/>
    <d v="2025-03-28T00:00:00"/>
    <x v="6"/>
    <s v="Чизкейк"/>
    <x v="0"/>
    <n v="2"/>
    <n v="556"/>
    <s v="Анна К."/>
    <s v="Дмитрий Волков"/>
  </r>
  <r>
    <x v="5"/>
    <s v="Санкт-Петербург"/>
    <d v="2025-03-22T00:00:00"/>
    <x v="6"/>
    <s v="Сэндвич"/>
    <x v="2"/>
    <n v="1"/>
    <n v="290"/>
    <s v="Елена В."/>
    <s v="Дмитрий Волков"/>
  </r>
  <r>
    <x v="5"/>
    <s v="Санкт-Петербург"/>
    <d v="2025-01-24T00:00:00"/>
    <x v="4"/>
    <s v="Синнабон"/>
    <x v="0"/>
    <n v="2"/>
    <n v="394"/>
    <s v="Игорь С."/>
    <s v="Дмитрий Волков"/>
  </r>
  <r>
    <x v="5"/>
    <s v="Санкт-Петербург"/>
    <d v="2025-05-02T00:00:00"/>
    <x v="10"/>
    <s v="Эспрессо"/>
    <x v="1"/>
    <n v="1"/>
    <n v="137"/>
    <s v="Наталья Р."/>
    <s v="Дмитрий Волков"/>
  </r>
  <r>
    <x v="5"/>
    <s v="Санкт-Петербург"/>
    <d v="2025-09-25T00:00:00"/>
    <x v="1"/>
    <s v="Салат Цезарь"/>
    <x v="2"/>
    <n v="2"/>
    <n v="684"/>
    <s v="Максим П."/>
    <s v="Дмитрий Волков"/>
  </r>
  <r>
    <x v="5"/>
    <s v="Санкт-Петербург"/>
    <d v="2025-01-21T00:00:00"/>
    <x v="4"/>
    <s v="Американо"/>
    <x v="1"/>
    <n v="1"/>
    <n v="162"/>
    <s v="Анна К."/>
    <s v="Дмитрий Волков"/>
  </r>
  <r>
    <x v="5"/>
    <s v="Санкт-Петербург"/>
    <d v="2025-06-23T00:00:00"/>
    <x v="7"/>
    <s v="Салат Цезарь"/>
    <x v="2"/>
    <n v="3"/>
    <n v="1128"/>
    <s v="Анна К."/>
    <s v="Дмитрий Волков"/>
  </r>
  <r>
    <x v="5"/>
    <s v="Санкт-Петербург"/>
    <d v="2025-07-03T00:00:00"/>
    <x v="5"/>
    <s v="Сэндвич"/>
    <x v="2"/>
    <n v="3"/>
    <n v="1077"/>
    <s v="Виктор Л."/>
    <s v="Дмитрий Волков"/>
  </r>
  <r>
    <x v="5"/>
    <s v="Санкт-Петербург"/>
    <d v="2025-11-07T00:00:00"/>
    <x v="8"/>
    <s v="Латте"/>
    <x v="1"/>
    <n v="2"/>
    <n v="484"/>
    <s v="Игорь С."/>
    <s v="Дмитрий Волков"/>
  </r>
  <r>
    <x v="5"/>
    <s v="Санкт-Петербург"/>
    <d v="2025-09-20T00:00:00"/>
    <x v="1"/>
    <s v="Чизкейк"/>
    <x v="0"/>
    <n v="3"/>
    <n v="702"/>
    <s v="Максим П."/>
    <s v="Дмитрий Волков"/>
  </r>
  <r>
    <x v="5"/>
    <s v="Санкт-Петербург"/>
    <d v="2025-12-06T00:00:00"/>
    <x v="0"/>
    <s v="Чизкейк"/>
    <x v="0"/>
    <n v="2"/>
    <n v="532"/>
    <s v="Анна К."/>
    <s v="Дмитрий Волков"/>
  </r>
  <r>
    <x v="5"/>
    <s v="Санкт-Петербург"/>
    <d v="2025-02-25T00:00:00"/>
    <x v="2"/>
    <s v="Круассан"/>
    <x v="0"/>
    <n v="2"/>
    <n v="364"/>
    <s v="Наталья Р."/>
    <s v="Дмитрий Волков"/>
  </r>
  <r>
    <x v="5"/>
    <s v="Санкт-Петербург"/>
    <d v="2025-03-13T00:00:00"/>
    <x v="6"/>
    <s v="Какао"/>
    <x v="1"/>
    <n v="1"/>
    <n v="218"/>
    <s v="Елена В."/>
    <s v="Дмитрий Волков"/>
  </r>
  <r>
    <x v="5"/>
    <s v="Санкт-Петербург"/>
    <d v="2025-02-10T00:00:00"/>
    <x v="2"/>
    <s v="Эспрессо"/>
    <x v="1"/>
    <n v="2"/>
    <n v="308"/>
    <s v="Максим П."/>
    <s v="Дмитрий Волков"/>
  </r>
  <r>
    <x v="5"/>
    <s v="Санкт-Петербург"/>
    <d v="2025-09-26T00:00:00"/>
    <x v="1"/>
    <s v="Раф"/>
    <x v="1"/>
    <n v="1"/>
    <n v="232"/>
    <s v="Наталья Р."/>
    <s v="Дмитрий Волков"/>
  </r>
  <r>
    <x v="5"/>
    <s v="Санкт-Петербург"/>
    <d v="2025-12-27T00:00:00"/>
    <x v="0"/>
    <s v="Капучино"/>
    <x v="1"/>
    <n v="2"/>
    <n v="442"/>
    <s v="Игорь С."/>
    <s v="Дмитрий Волков"/>
  </r>
  <r>
    <x v="5"/>
    <s v="Санкт-Петербург"/>
    <d v="2025-08-28T00:00:00"/>
    <x v="9"/>
    <s v="Салат Цезарь"/>
    <x v="2"/>
    <n v="1"/>
    <n v="337"/>
    <s v="Наталья Р."/>
    <s v="Дмитрий Волков"/>
  </r>
  <r>
    <x v="5"/>
    <s v="Санкт-Петербург"/>
    <d v="2025-05-22T00:00:00"/>
    <x v="10"/>
    <s v="Синнабон"/>
    <x v="0"/>
    <n v="1"/>
    <n v="212"/>
    <s v="Виктор Л."/>
    <s v="Дмитрий Волков"/>
  </r>
  <r>
    <x v="5"/>
    <s v="Санкт-Петербург"/>
    <d v="2025-10-15T00:00:00"/>
    <x v="3"/>
    <s v="Матча латте"/>
    <x v="1"/>
    <n v="2"/>
    <n v="534"/>
    <s v="Анна К."/>
    <s v="Дмитрий Волков"/>
  </r>
  <r>
    <x v="5"/>
    <s v="Санкт-Петербург"/>
    <d v="2025-01-25T00:00:00"/>
    <x v="4"/>
    <s v="Эспрессо"/>
    <x v="1"/>
    <n v="3"/>
    <n v="462"/>
    <s v="Максим П."/>
    <s v="Дмитрий Волков"/>
  </r>
  <r>
    <x v="5"/>
    <s v="Санкт-Петербург"/>
    <d v="2025-05-24T00:00:00"/>
    <x v="10"/>
    <s v="Сэндвич"/>
    <x v="2"/>
    <n v="2"/>
    <n v="706"/>
    <s v="Наталья Р."/>
    <s v="Дмитрий Волков"/>
  </r>
  <r>
    <x v="5"/>
    <s v="Санкт-Петербург"/>
    <d v="2025-01-08T00:00:00"/>
    <x v="4"/>
    <s v="Капучино"/>
    <x v="1"/>
    <n v="2"/>
    <n v="362"/>
    <s v="Наталья Р."/>
    <s v="Дмитрий Волков"/>
  </r>
  <r>
    <x v="5"/>
    <s v="Санкт-Петербург"/>
    <d v="2025-09-20T00:00:00"/>
    <x v="1"/>
    <s v="Эспрессо"/>
    <x v="1"/>
    <n v="1"/>
    <n v="125"/>
    <s v="Анна К."/>
    <s v="Дмитрий Волков"/>
  </r>
  <r>
    <x v="5"/>
    <s v="Санкт-Петербург"/>
    <d v="2025-03-02T00:00:00"/>
    <x v="6"/>
    <s v="Эспрессо"/>
    <x v="1"/>
    <n v="1"/>
    <n v="135"/>
    <s v="Игорь С."/>
    <s v="Дмитрий Волков"/>
  </r>
  <r>
    <x v="5"/>
    <s v="Санкт-Петербург"/>
    <d v="2025-06-25T00:00:00"/>
    <x v="7"/>
    <s v="Салат Цезарь"/>
    <x v="2"/>
    <n v="1"/>
    <n v="361"/>
    <s v="Наталья Р."/>
    <s v="Дмитрий Волков"/>
  </r>
  <r>
    <x v="5"/>
    <s v="Санкт-Петербург"/>
    <d v="2025-01-15T00:00:00"/>
    <x v="4"/>
    <s v="Какао"/>
    <x v="1"/>
    <n v="3"/>
    <n v="654"/>
    <s v="Виктор Л."/>
    <s v="Дмитрий Волков"/>
  </r>
  <r>
    <x v="5"/>
    <s v="Санкт-Петербург"/>
    <d v="2025-05-23T00:00:00"/>
    <x v="10"/>
    <s v="Чизкейк"/>
    <x v="0"/>
    <n v="1"/>
    <n v="250"/>
    <s v="Максим П."/>
    <s v="Дмитрий Волков"/>
  </r>
  <r>
    <x v="5"/>
    <s v="Санкт-Петербург"/>
    <d v="2025-11-22T00:00:00"/>
    <x v="8"/>
    <s v="Раф"/>
    <x v="1"/>
    <n v="1"/>
    <n v="250"/>
    <s v="Наталья Р."/>
    <s v="Дмитрий Волков"/>
  </r>
  <r>
    <x v="5"/>
    <s v="Санкт-Петербург"/>
    <d v="2025-07-08T00:00:00"/>
    <x v="5"/>
    <s v="Сэндвич"/>
    <x v="2"/>
    <n v="2"/>
    <n v="718"/>
    <s v="Анна К."/>
    <s v="Дмитрий Волков"/>
  </r>
  <r>
    <x v="5"/>
    <s v="Санкт-Петербург"/>
    <d v="2025-12-21T00:00:00"/>
    <x v="0"/>
    <s v="Сэндвич"/>
    <x v="2"/>
    <n v="2"/>
    <n v="562"/>
    <s v="Виктор Л."/>
    <s v="Дмитрий Волков"/>
  </r>
  <r>
    <x v="5"/>
    <s v="Санкт-Петербург"/>
    <d v="2025-10-26T00:00:00"/>
    <x v="3"/>
    <s v="Сэндвич"/>
    <x v="2"/>
    <n v="3"/>
    <n v="927"/>
    <s v="Елена В."/>
    <s v="Дмитрий Волков"/>
  </r>
  <r>
    <x v="5"/>
    <s v="Санкт-Петербург"/>
    <d v="2025-08-27T00:00:00"/>
    <x v="9"/>
    <s v="Сэндвич"/>
    <x v="2"/>
    <n v="2"/>
    <n v="580"/>
    <s v="Елена В."/>
    <s v="Дмитрий Волков"/>
  </r>
  <r>
    <x v="5"/>
    <s v="Санкт-Петербург"/>
    <d v="2025-11-24T00:00:00"/>
    <x v="8"/>
    <s v="Сэндвич"/>
    <x v="2"/>
    <n v="1"/>
    <n v="337"/>
    <s v="Елена В."/>
    <s v="Дмитрий Волков"/>
  </r>
  <r>
    <x v="5"/>
    <s v="Санкт-Петербург"/>
    <d v="2025-12-04T00:00:00"/>
    <x v="0"/>
    <s v="Салат Цезарь"/>
    <x v="2"/>
    <n v="2"/>
    <n v="802"/>
    <s v="Елена В."/>
    <s v="Дмитрий Волков"/>
  </r>
  <r>
    <x v="5"/>
    <s v="Санкт-Петербург"/>
    <d v="2025-07-02T00:00:00"/>
    <x v="5"/>
    <s v="Матча латте"/>
    <x v="1"/>
    <n v="2"/>
    <n v="528"/>
    <s v="Максим П."/>
    <s v="Дмитрий Волков"/>
  </r>
  <r>
    <x v="5"/>
    <s v="Санкт-Петербург"/>
    <d v="2025-04-10T00:00:00"/>
    <x v="11"/>
    <s v="Какао"/>
    <x v="1"/>
    <n v="2"/>
    <n v="464"/>
    <s v="Максим П."/>
    <s v="Дмитрий Волков"/>
  </r>
  <r>
    <x v="5"/>
    <s v="Санкт-Петербург"/>
    <d v="2025-08-14T00:00:00"/>
    <x v="9"/>
    <s v="Салат Цезарь"/>
    <x v="2"/>
    <n v="1"/>
    <n v="362"/>
    <s v="Виктор Л."/>
    <s v="Дмитрий Волков"/>
  </r>
  <r>
    <x v="5"/>
    <s v="Санкт-Петербург"/>
    <d v="2025-10-20T00:00:00"/>
    <x v="3"/>
    <s v="Эспрессо"/>
    <x v="1"/>
    <n v="1"/>
    <n v="150"/>
    <s v="Елена В."/>
    <s v="Дмитрий Волков"/>
  </r>
  <r>
    <x v="5"/>
    <s v="Санкт-Петербург"/>
    <d v="2025-03-02T00:00:00"/>
    <x v="6"/>
    <s v="Сэндвич"/>
    <x v="2"/>
    <n v="3"/>
    <n v="993"/>
    <s v="Игорь С."/>
    <s v="Дмитрий Волков"/>
  </r>
  <r>
    <x v="5"/>
    <s v="Санкт-Петербург"/>
    <d v="2025-07-17T00:00:00"/>
    <x v="5"/>
    <s v="Латте"/>
    <x v="1"/>
    <n v="3"/>
    <n v="660"/>
    <s v="Максим П."/>
    <s v="Дмитрий Волков"/>
  </r>
  <r>
    <x v="5"/>
    <s v="Санкт-Петербург"/>
    <d v="2025-02-19T00:00:00"/>
    <x v="2"/>
    <s v="Синнабон"/>
    <x v="0"/>
    <n v="1"/>
    <n v="225"/>
    <s v="Анна К."/>
    <s v="Дмитрий Волков"/>
  </r>
  <r>
    <x v="5"/>
    <s v="Санкт-Петербург"/>
    <d v="2025-10-18T00:00:00"/>
    <x v="3"/>
    <s v="Какао"/>
    <x v="1"/>
    <n v="2"/>
    <n v="402"/>
    <s v="Анна К."/>
    <s v="Дмитрий Волков"/>
  </r>
  <r>
    <x v="5"/>
    <s v="Санкт-Петербург"/>
    <d v="2025-12-23T00:00:00"/>
    <x v="0"/>
    <s v="Американо"/>
    <x v="1"/>
    <n v="2"/>
    <n v="378"/>
    <s v="Наталья Р."/>
    <s v="Дмитрий Волков"/>
  </r>
  <r>
    <x v="5"/>
    <s v="Санкт-Петербург"/>
    <d v="2025-12-04T00:00:00"/>
    <x v="0"/>
    <s v="Эспрессо"/>
    <x v="1"/>
    <n v="2"/>
    <n v="252"/>
    <s v="Виктор Л."/>
    <s v="Дмитрий Волков"/>
  </r>
  <r>
    <x v="5"/>
    <s v="Санкт-Петербург"/>
    <d v="2025-01-23T00:00:00"/>
    <x v="4"/>
    <s v="Капучино"/>
    <x v="1"/>
    <n v="2"/>
    <n v="462"/>
    <s v="Виктор Л."/>
    <s v="Дмитрий Волков"/>
  </r>
  <r>
    <x v="5"/>
    <s v="Санкт-Петербург"/>
    <d v="2025-06-23T00:00:00"/>
    <x v="7"/>
    <s v="Круассан"/>
    <x v="0"/>
    <n v="2"/>
    <n v="342"/>
    <s v="Наталья Р."/>
    <s v="Дмитрий Волков"/>
  </r>
  <r>
    <x v="5"/>
    <s v="Санкт-Петербург"/>
    <d v="2025-11-07T00:00:00"/>
    <x v="8"/>
    <s v="Чизкейк"/>
    <x v="0"/>
    <n v="2"/>
    <n v="462"/>
    <s v="Елена В."/>
    <s v="Дмитрий Волков"/>
  </r>
  <r>
    <x v="5"/>
    <s v="Санкт-Петербург"/>
    <d v="2025-04-10T00:00:00"/>
    <x v="11"/>
    <s v="Капучино"/>
    <x v="1"/>
    <n v="1"/>
    <n v="240"/>
    <s v="Игорь С."/>
    <s v="Дмитрий Волков"/>
  </r>
  <r>
    <x v="5"/>
    <s v="Санкт-Петербург"/>
    <d v="2025-10-08T00:00:00"/>
    <x v="3"/>
    <s v="Матча латте"/>
    <x v="1"/>
    <n v="1"/>
    <n v="280"/>
    <s v="Наталья Р."/>
    <s v="Дмитрий Волков"/>
  </r>
  <r>
    <x v="5"/>
    <s v="Санкт-Петербург"/>
    <d v="2025-01-16T00:00:00"/>
    <x v="4"/>
    <s v="Чизкейк"/>
    <x v="0"/>
    <n v="1"/>
    <n v="246"/>
    <s v="Анна К."/>
    <s v="Дмитрий Волков"/>
  </r>
  <r>
    <x v="5"/>
    <s v="Санкт-Петербург"/>
    <d v="2025-07-13T00:00:00"/>
    <x v="5"/>
    <s v="Матча латте"/>
    <x v="1"/>
    <n v="2"/>
    <n v="518"/>
    <s v="Елена В."/>
    <s v="Дмитрий Волков"/>
  </r>
  <r>
    <x v="5"/>
    <s v="Санкт-Петербург"/>
    <d v="2025-09-18T00:00:00"/>
    <x v="1"/>
    <s v="Какао"/>
    <x v="1"/>
    <n v="2"/>
    <n v="490"/>
    <s v="Игорь С."/>
    <s v="Дмитрий Волков"/>
  </r>
  <r>
    <x v="5"/>
    <s v="Санкт-Петербург"/>
    <d v="2025-07-26T00:00:00"/>
    <x v="5"/>
    <s v="Латте"/>
    <x v="1"/>
    <n v="1"/>
    <n v="211"/>
    <s v="Елена В."/>
    <s v="Дмитрий Волков"/>
  </r>
  <r>
    <x v="5"/>
    <s v="Санкт-Петербург"/>
    <d v="2025-10-22T00:00:00"/>
    <x v="3"/>
    <s v="Синнабон"/>
    <x v="0"/>
    <n v="1"/>
    <n v="221"/>
    <s v="Максим П."/>
    <s v="Дмитрий Волков"/>
  </r>
  <r>
    <x v="5"/>
    <s v="Санкт-Петербург"/>
    <d v="2025-12-09T00:00:00"/>
    <x v="0"/>
    <s v="Матча латте"/>
    <x v="1"/>
    <n v="3"/>
    <n v="912"/>
    <s v="Наталья Р."/>
    <s v="Дмитрий Волков"/>
  </r>
  <r>
    <x v="5"/>
    <s v="Санкт-Петербург"/>
    <d v="2025-02-06T00:00:00"/>
    <x v="2"/>
    <s v="Американо"/>
    <x v="1"/>
    <n v="1"/>
    <n v="158"/>
    <s v="Елена В."/>
    <s v="Дмитрий Волков"/>
  </r>
  <r>
    <x v="5"/>
    <s v="Санкт-Петербург"/>
    <d v="2025-06-06T00:00:00"/>
    <x v="7"/>
    <s v="Американо"/>
    <x v="1"/>
    <n v="3"/>
    <n v="558"/>
    <s v="Наталья Р."/>
    <s v="Дмитрий Волков"/>
  </r>
  <r>
    <x v="5"/>
    <s v="Санкт-Петербург"/>
    <d v="2025-06-20T00:00:00"/>
    <x v="7"/>
    <s v="Матча латте"/>
    <x v="1"/>
    <n v="2"/>
    <n v="516"/>
    <s v="Виктор Л."/>
    <s v="Дмитрий Волков"/>
  </r>
  <r>
    <x v="5"/>
    <s v="Санкт-Петербург"/>
    <d v="2025-12-05T00:00:00"/>
    <x v="0"/>
    <s v="Американо"/>
    <x v="1"/>
    <n v="1"/>
    <n v="178"/>
    <s v="Игорь С."/>
    <s v="Дмитрий Волков"/>
  </r>
  <r>
    <x v="5"/>
    <s v="Санкт-Петербург"/>
    <d v="2025-01-28T00:00:00"/>
    <x v="4"/>
    <s v="Раф"/>
    <x v="1"/>
    <n v="2"/>
    <n v="492"/>
    <s v="Анна К."/>
    <s v="Дмитрий Волков"/>
  </r>
  <r>
    <x v="5"/>
    <s v="Санкт-Петербург"/>
    <d v="2025-07-11T00:00:00"/>
    <x v="5"/>
    <s v="Капучино"/>
    <x v="1"/>
    <n v="2"/>
    <n v="450"/>
    <s v="Анна К."/>
    <s v="Дмитрий Волков"/>
  </r>
  <r>
    <x v="5"/>
    <s v="Санкт-Петербург"/>
    <d v="2025-04-02T00:00:00"/>
    <x v="11"/>
    <s v="Круассан"/>
    <x v="0"/>
    <n v="2"/>
    <n v="320"/>
    <s v="Наталья Р."/>
    <s v="Дмитрий Волков"/>
  </r>
  <r>
    <x v="5"/>
    <s v="Санкт-Петербург"/>
    <d v="2025-12-12T00:00:00"/>
    <x v="0"/>
    <s v="Латте"/>
    <x v="1"/>
    <n v="1"/>
    <n v="229"/>
    <s v="Максим П."/>
    <s v="Дмитрий Волков"/>
  </r>
  <r>
    <x v="5"/>
    <s v="Санкт-Петербург"/>
    <d v="2025-04-09T00:00:00"/>
    <x v="11"/>
    <s v="Эспрессо"/>
    <x v="1"/>
    <n v="3"/>
    <n v="399"/>
    <s v="Виктор Л."/>
    <s v="Дмитрий Волков"/>
  </r>
  <r>
    <x v="5"/>
    <s v="Санкт-Петербург"/>
    <d v="2025-10-24T00:00:00"/>
    <x v="3"/>
    <s v="Эспрессо"/>
    <x v="1"/>
    <n v="2"/>
    <n v="240"/>
    <s v="Виктор Л."/>
    <s v="Дмитрий Волков"/>
  </r>
  <r>
    <x v="5"/>
    <s v="Санкт-Петербург"/>
    <d v="2025-11-14T00:00:00"/>
    <x v="8"/>
    <s v="Синнабон"/>
    <x v="0"/>
    <n v="2"/>
    <n v="426"/>
    <s v="Максим П."/>
    <s v="Дмитрий Волков"/>
  </r>
  <r>
    <x v="5"/>
    <s v="Санкт-Петербург"/>
    <d v="2025-01-11T00:00:00"/>
    <x v="4"/>
    <s v="Капучино"/>
    <x v="1"/>
    <n v="1"/>
    <n v="239"/>
    <s v="Максим П."/>
    <s v="Дмитрий Волков"/>
  </r>
  <r>
    <x v="5"/>
    <s v="Санкт-Петербург"/>
    <d v="2025-08-13T00:00:00"/>
    <x v="9"/>
    <s v="Сэндвич"/>
    <x v="2"/>
    <n v="1"/>
    <n v="326"/>
    <s v="Максим П."/>
    <s v="Дмитрий Волков"/>
  </r>
  <r>
    <x v="5"/>
    <s v="Санкт-Петербург"/>
    <d v="2025-02-23T00:00:00"/>
    <x v="2"/>
    <s v="Эспрессо"/>
    <x v="1"/>
    <n v="1"/>
    <n v="141"/>
    <s v="Максим П."/>
    <s v="Дмитрий Волков"/>
  </r>
  <r>
    <x v="5"/>
    <s v="Санкт-Петербург"/>
    <d v="2025-09-13T00:00:00"/>
    <x v="1"/>
    <s v="Латте"/>
    <x v="1"/>
    <n v="1"/>
    <n v="232"/>
    <s v="Елена В."/>
    <s v="Дмитрий Волков"/>
  </r>
  <r>
    <x v="5"/>
    <s v="Санкт-Петербург"/>
    <d v="2025-03-15T00:00:00"/>
    <x v="6"/>
    <s v="Сэндвич"/>
    <x v="2"/>
    <n v="1"/>
    <n v="300"/>
    <s v="Анна К."/>
    <s v="Дмитрий Волков"/>
  </r>
  <r>
    <x v="5"/>
    <s v="Санкт-Петербург"/>
    <d v="2025-09-04T00:00:00"/>
    <x v="1"/>
    <s v="Капучино"/>
    <x v="1"/>
    <n v="2"/>
    <n v="426"/>
    <s v="Наталья Р."/>
    <s v="Дмитрий Волков"/>
  </r>
  <r>
    <x v="5"/>
    <s v="Санкт-Петербург"/>
    <d v="2025-03-20T00:00:00"/>
    <x v="6"/>
    <s v="Раф"/>
    <x v="1"/>
    <n v="3"/>
    <n v="768"/>
    <s v="Виктор Л."/>
    <s v="Дмитрий Волков"/>
  </r>
  <r>
    <x v="5"/>
    <s v="Санкт-Петербург"/>
    <d v="2025-04-11T00:00:00"/>
    <x v="11"/>
    <s v="Матча латте"/>
    <x v="1"/>
    <n v="3"/>
    <n v="801"/>
    <s v="Виктор Л."/>
    <s v="Дмитрий Волков"/>
  </r>
  <r>
    <x v="5"/>
    <s v="Санкт-Петербург"/>
    <d v="2025-05-13T00:00:00"/>
    <x v="10"/>
    <s v="Чизкейк"/>
    <x v="0"/>
    <n v="3"/>
    <n v="732"/>
    <s v="Максим П."/>
    <s v="Дмитрий Волков"/>
  </r>
  <r>
    <x v="5"/>
    <s v="Санкт-Петербург"/>
    <d v="2025-08-05T00:00:00"/>
    <x v="9"/>
    <s v="Сэндвич"/>
    <x v="2"/>
    <n v="1"/>
    <n v="354"/>
    <s v="Наталья Р."/>
    <s v="Дмитрий Волков"/>
  </r>
  <r>
    <x v="5"/>
    <s v="Санкт-Петербург"/>
    <d v="2025-12-02T00:00:00"/>
    <x v="0"/>
    <s v="Какао"/>
    <x v="1"/>
    <n v="1"/>
    <n v="241"/>
    <s v="Елена В."/>
    <s v="Дмитрий Волков"/>
  </r>
  <r>
    <x v="5"/>
    <s v="Санкт-Петербург"/>
    <d v="2025-05-27T00:00:00"/>
    <x v="10"/>
    <s v="Салат Цезарь"/>
    <x v="2"/>
    <n v="1"/>
    <n v="388"/>
    <s v="Анна К."/>
    <s v="Дмитрий Волков"/>
  </r>
  <r>
    <x v="5"/>
    <s v="Санкт-Петербург"/>
    <d v="2025-01-09T00:00:00"/>
    <x v="4"/>
    <s v="Американо"/>
    <x v="1"/>
    <n v="1"/>
    <n v="163"/>
    <s v="Елена В."/>
    <s v="Дмитрий Волков"/>
  </r>
  <r>
    <x v="5"/>
    <s v="Санкт-Петербург"/>
    <d v="2025-01-13T00:00:00"/>
    <x v="4"/>
    <s v="Капучино"/>
    <x v="1"/>
    <n v="2"/>
    <n v="406"/>
    <s v="Максим П."/>
    <s v="Дмитрий Волков"/>
  </r>
  <r>
    <x v="5"/>
    <s v="Санкт-Петербург"/>
    <d v="2025-03-26T00:00:00"/>
    <x v="6"/>
    <s v="Синнабон"/>
    <x v="0"/>
    <n v="2"/>
    <n v="436"/>
    <s v="Игорь С."/>
    <s v="Дмитрий Волков"/>
  </r>
  <r>
    <x v="5"/>
    <s v="Санкт-Петербург"/>
    <d v="2025-11-10T00:00:00"/>
    <x v="8"/>
    <s v="Салат Цезарь"/>
    <x v="2"/>
    <n v="2"/>
    <n v="792"/>
    <s v="Анна К."/>
    <s v="Дмитрий Волков"/>
  </r>
  <r>
    <x v="5"/>
    <s v="Санкт-Петербург"/>
    <d v="2025-01-23T00:00:00"/>
    <x v="4"/>
    <s v="Чизкейк"/>
    <x v="0"/>
    <n v="1"/>
    <n v="236"/>
    <s v="Наталья Р."/>
    <s v="Дмитрий Волков"/>
  </r>
  <r>
    <x v="5"/>
    <s v="Санкт-Петербург"/>
    <d v="2025-07-03T00:00:00"/>
    <x v="5"/>
    <s v="Чизкейк"/>
    <x v="0"/>
    <n v="2"/>
    <n v="490"/>
    <s v="Елена В."/>
    <s v="Дмитрий Волков"/>
  </r>
  <r>
    <x v="5"/>
    <s v="Санкт-Петербург"/>
    <d v="2025-06-01T00:00:00"/>
    <x v="7"/>
    <s v="Латте"/>
    <x v="1"/>
    <n v="3"/>
    <n v="642"/>
    <s v="Елена В."/>
    <s v="Дмитрий Волков"/>
  </r>
  <r>
    <x v="5"/>
    <s v="Санкт-Петербург"/>
    <d v="2025-12-09T00:00:00"/>
    <x v="0"/>
    <s v="Матча латте"/>
    <x v="1"/>
    <n v="3"/>
    <n v="786"/>
    <s v="Анна К."/>
    <s v="Дмитрий Волков"/>
  </r>
  <r>
    <x v="5"/>
    <s v="Санкт-Петербург"/>
    <d v="2025-11-08T00:00:00"/>
    <x v="8"/>
    <s v="Салат Цезарь"/>
    <x v="2"/>
    <n v="2"/>
    <n v="672"/>
    <s v="Анна К."/>
    <s v="Дмитрий Волков"/>
  </r>
  <r>
    <x v="5"/>
    <s v="Санкт-Петербург"/>
    <d v="2025-04-07T00:00:00"/>
    <x v="11"/>
    <s v="Американо"/>
    <x v="1"/>
    <n v="2"/>
    <n v="388"/>
    <s v="Максим П."/>
    <s v="Дмитрий Волков"/>
  </r>
  <r>
    <x v="5"/>
    <s v="Санкт-Петербург"/>
    <d v="2025-05-26T00:00:00"/>
    <x v="10"/>
    <s v="Какао"/>
    <x v="1"/>
    <n v="2"/>
    <n v="450"/>
    <s v="Наталья Р."/>
    <s v="Дмитрий Волков"/>
  </r>
  <r>
    <x v="5"/>
    <s v="Санкт-Петербург"/>
    <d v="2025-02-19T00:00:00"/>
    <x v="2"/>
    <s v="Салат Цезарь"/>
    <x v="2"/>
    <n v="3"/>
    <n v="1155"/>
    <s v="Анна К."/>
    <s v="Дмитрий Волков"/>
  </r>
  <r>
    <x v="5"/>
    <s v="Санкт-Петербург"/>
    <d v="2025-06-23T00:00:00"/>
    <x v="7"/>
    <s v="Круассан"/>
    <x v="0"/>
    <n v="3"/>
    <n v="549"/>
    <s v="Игорь С."/>
    <s v="Дмитрий Волков"/>
  </r>
  <r>
    <x v="5"/>
    <s v="Санкт-Петербург"/>
    <d v="2025-03-04T00:00:00"/>
    <x v="6"/>
    <s v="Чизкейк"/>
    <x v="0"/>
    <n v="2"/>
    <n v="520"/>
    <s v="Виктор Л."/>
    <s v="Дмитрий Волков"/>
  </r>
  <r>
    <x v="5"/>
    <s v="Санкт-Петербург"/>
    <d v="2025-09-16T00:00:00"/>
    <x v="1"/>
    <s v="Матча латте"/>
    <x v="1"/>
    <n v="3"/>
    <n v="777"/>
    <s v="Виктор Л."/>
    <s v="Дмитрий Волков"/>
  </r>
  <r>
    <x v="5"/>
    <s v="Санкт-Петербург"/>
    <d v="2025-05-07T00:00:00"/>
    <x v="10"/>
    <s v="Чизкейк"/>
    <x v="0"/>
    <n v="2"/>
    <n v="556"/>
    <s v="Виктор Л."/>
    <s v="Дмитрий Волков"/>
  </r>
  <r>
    <x v="5"/>
    <s v="Санкт-Петербург"/>
    <d v="2025-05-06T00:00:00"/>
    <x v="10"/>
    <s v="Капучино"/>
    <x v="1"/>
    <n v="1"/>
    <n v="221"/>
    <s v="Наталья Р."/>
    <s v="Дмитрий Волков"/>
  </r>
  <r>
    <x v="5"/>
    <s v="Санкт-Петербург"/>
    <d v="2025-11-12T00:00:00"/>
    <x v="8"/>
    <s v="Сэндвич"/>
    <x v="2"/>
    <n v="2"/>
    <n v="638"/>
    <s v="Игорь С."/>
    <s v="Дмитрий Волков"/>
  </r>
  <r>
    <x v="5"/>
    <s v="Санкт-Петербург"/>
    <d v="2025-03-15T00:00:00"/>
    <x v="6"/>
    <s v="Капучино"/>
    <x v="1"/>
    <n v="1"/>
    <n v="204"/>
    <s v="Виктор Л."/>
    <s v="Дмитрий Волков"/>
  </r>
  <r>
    <x v="5"/>
    <s v="Санкт-Петербург"/>
    <d v="2025-01-12T00:00:00"/>
    <x v="4"/>
    <s v="Круассан"/>
    <x v="0"/>
    <n v="2"/>
    <n v="340"/>
    <s v="Максим П."/>
    <s v="Дмитрий Волков"/>
  </r>
  <r>
    <x v="5"/>
    <s v="Санкт-Петербург"/>
    <d v="2025-06-23T00:00:00"/>
    <x v="7"/>
    <s v="Эспрессо"/>
    <x v="1"/>
    <n v="2"/>
    <n v="276"/>
    <s v="Виктор Л."/>
    <s v="Дмитрий Волков"/>
  </r>
  <r>
    <x v="5"/>
    <s v="Санкт-Петербург"/>
    <d v="2025-08-12T00:00:00"/>
    <x v="9"/>
    <s v="Синнабон"/>
    <x v="0"/>
    <n v="2"/>
    <n v="412"/>
    <s v="Максим П."/>
    <s v="Дмитрий Волков"/>
  </r>
  <r>
    <x v="5"/>
    <s v="Санкт-Петербург"/>
    <d v="2025-05-10T00:00:00"/>
    <x v="10"/>
    <s v="Эспрессо"/>
    <x v="1"/>
    <n v="1"/>
    <n v="146"/>
    <s v="Не указан"/>
    <s v="Дмитрий Волков"/>
  </r>
  <r>
    <x v="5"/>
    <s v="Санкт-Петербург"/>
    <d v="2025-06-26T00:00:00"/>
    <x v="7"/>
    <s v="Какао"/>
    <x v="1"/>
    <n v="2"/>
    <n v="442"/>
    <s v="Виктор Л."/>
    <s v="Дмитрий Волков"/>
  </r>
  <r>
    <x v="5"/>
    <s v="Санкт-Петербург"/>
    <d v="2025-03-24T00:00:00"/>
    <x v="6"/>
    <s v="Синнабон"/>
    <x v="0"/>
    <n v="1"/>
    <n v="205"/>
    <s v="Анна К."/>
    <s v="Дмитрий Волков"/>
  </r>
  <r>
    <x v="5"/>
    <s v="Санкт-Петербург"/>
    <d v="2025-12-06T00:00:00"/>
    <x v="0"/>
    <s v="Чизкейк"/>
    <x v="0"/>
    <n v="1"/>
    <n v="262"/>
    <s v="Наталья Р."/>
    <s v="Дмитрий Волков"/>
  </r>
  <r>
    <x v="5"/>
    <s v="Санкт-Петербург"/>
    <d v="2025-06-07T00:00:00"/>
    <x v="7"/>
    <s v="Раф"/>
    <x v="1"/>
    <n v="2"/>
    <n v="530"/>
    <s v="Виктор Л."/>
    <s v="Дмитрий Волков"/>
  </r>
  <r>
    <x v="5"/>
    <s v="Санкт-Петербург"/>
    <d v="2025-06-02T00:00:00"/>
    <x v="7"/>
    <s v="Латте"/>
    <x v="1"/>
    <n v="2"/>
    <n v="452"/>
    <s v="Наталья Р."/>
    <s v="Дмитрий Волков"/>
  </r>
  <r>
    <x v="5"/>
    <s v="Санкт-Петербург"/>
    <d v="2025-11-01T00:00:00"/>
    <x v="8"/>
    <s v="Раф"/>
    <x v="1"/>
    <n v="1"/>
    <n v="249"/>
    <s v="Анна К."/>
    <s v="Дмитрий Волков"/>
  </r>
  <r>
    <x v="5"/>
    <s v="Санкт-Петербург"/>
    <d v="2025-10-04T00:00:00"/>
    <x v="3"/>
    <s v="Раф"/>
    <x v="1"/>
    <n v="1"/>
    <n v="290"/>
    <s v="Наталья Р."/>
    <s v="Дмитрий Волков"/>
  </r>
  <r>
    <x v="5"/>
    <s v="Санкт-Петербург"/>
    <d v="2025-01-06T00:00:00"/>
    <x v="4"/>
    <s v="Американо"/>
    <x v="1"/>
    <n v="3"/>
    <n v="435"/>
    <s v="Игорь С."/>
    <s v="Дмитрий Волков"/>
  </r>
  <r>
    <x v="5"/>
    <s v="Санкт-Петербург"/>
    <d v="2025-09-10T00:00:00"/>
    <x v="1"/>
    <s v="Круассан"/>
    <x v="0"/>
    <n v="1"/>
    <n v="165"/>
    <s v="Наталья Р."/>
    <s v="Дмитрий Волков"/>
  </r>
  <r>
    <x v="5"/>
    <s v="Санкт-Петербург"/>
    <d v="2025-07-21T00:00:00"/>
    <x v="5"/>
    <s v="Синнабон"/>
    <x v="0"/>
    <n v="1"/>
    <n v="234"/>
    <s v="Наталья Р."/>
    <s v="Дмитрий Волков"/>
  </r>
  <r>
    <x v="5"/>
    <s v="Санкт-Петербург"/>
    <d v="2025-10-01T00:00:00"/>
    <x v="3"/>
    <s v="Матча латте"/>
    <x v="1"/>
    <n v="2"/>
    <n v="626"/>
    <s v="Виктор Л."/>
    <s v="Дмитрий Волков"/>
  </r>
  <r>
    <x v="5"/>
    <s v="Санкт-Петербург"/>
    <d v="2025-04-28T00:00:00"/>
    <x v="11"/>
    <s v="Матча латте"/>
    <x v="1"/>
    <n v="1"/>
    <n v="286"/>
    <s v="Елена В."/>
    <s v="Дмитрий Волков"/>
  </r>
  <r>
    <x v="5"/>
    <s v="Санкт-Петербург"/>
    <d v="2025-11-28T00:00:00"/>
    <x v="8"/>
    <s v="Капучино"/>
    <x v="1"/>
    <n v="3"/>
    <n v="606"/>
    <s v="Елена В."/>
    <s v="Дмитрий Волков"/>
  </r>
  <r>
    <x v="5"/>
    <s v="Санкт-Петербург"/>
    <d v="2025-01-24T00:00:00"/>
    <x v="4"/>
    <s v="Американо"/>
    <x v="1"/>
    <n v="1"/>
    <n v="153"/>
    <s v="Елена В."/>
    <s v="Дмитрий Волков"/>
  </r>
  <r>
    <x v="5"/>
    <s v="Санкт-Петербург"/>
    <d v="2025-05-10T00:00:00"/>
    <x v="10"/>
    <s v="Сэндвич"/>
    <x v="2"/>
    <n v="1"/>
    <n v="338"/>
    <s v="Елена В."/>
    <s v="Дмитрий Волков"/>
  </r>
  <r>
    <x v="5"/>
    <s v="Санкт-Петербург"/>
    <d v="2025-12-16T00:00:00"/>
    <x v="0"/>
    <s v="Капучино"/>
    <x v="1"/>
    <n v="1"/>
    <n v="186"/>
    <s v="Максим П."/>
    <s v="Дмитрий Волков"/>
  </r>
  <r>
    <x v="5"/>
    <s v="Санкт-Петербург"/>
    <d v="2025-11-22T00:00:00"/>
    <x v="8"/>
    <s v="Латте"/>
    <x v="1"/>
    <n v="1"/>
    <n v="255"/>
    <s v="Наталья Р."/>
    <s v="Дмитрий Волков"/>
  </r>
  <r>
    <x v="5"/>
    <s v="Санкт-Петербург"/>
    <d v="2025-11-28T00:00:00"/>
    <x v="8"/>
    <s v="Матча латте"/>
    <x v="1"/>
    <n v="2"/>
    <n v="592"/>
    <s v="Анна К."/>
    <s v="Дмитрий Волков"/>
  </r>
  <r>
    <x v="5"/>
    <s v="Санкт-Петербург"/>
    <d v="2025-04-22T00:00:00"/>
    <x v="11"/>
    <s v="Салат Цезарь"/>
    <x v="2"/>
    <n v="3"/>
    <n v="1089"/>
    <s v="Наталья Р."/>
    <s v="Дмитрий Волков"/>
  </r>
  <r>
    <x v="5"/>
    <s v="Санкт-Петербург"/>
    <d v="2025-10-19T00:00:00"/>
    <x v="3"/>
    <s v="Раф"/>
    <x v="1"/>
    <n v="2"/>
    <n v="568"/>
    <s v="Анна К."/>
    <s v="Дмитрий Волков"/>
  </r>
  <r>
    <x v="5"/>
    <s v="Санкт-Петербург"/>
    <d v="2025-05-05T00:00:00"/>
    <x v="10"/>
    <s v="Круассан"/>
    <x v="0"/>
    <n v="1"/>
    <n v="184"/>
    <s v="Наталья Р."/>
    <s v="Дмитрий Волков"/>
  </r>
  <r>
    <x v="5"/>
    <s v="Санкт-Петербург"/>
    <d v="2025-02-01T00:00:00"/>
    <x v="2"/>
    <s v="Американо"/>
    <x v="1"/>
    <n v="1"/>
    <n v="191"/>
    <s v="Виктор Л."/>
    <s v="Дмитрий Волков"/>
  </r>
  <r>
    <x v="5"/>
    <s v="Санкт-Петербург"/>
    <d v="2025-01-03T00:00:00"/>
    <x v="4"/>
    <s v="Чизкейк"/>
    <x v="0"/>
    <n v="1"/>
    <n v="245"/>
    <s v="Игорь С."/>
    <s v="Дмитрий Волков"/>
  </r>
  <r>
    <x v="5"/>
    <s v="Санкт-Петербург"/>
    <d v="2025-12-20T00:00:00"/>
    <x v="0"/>
    <s v="Круассан"/>
    <x v="0"/>
    <n v="2"/>
    <n v="338"/>
    <s v="Елена В."/>
    <s v="Дмитрий Волков"/>
  </r>
  <r>
    <x v="5"/>
    <s v="Санкт-Петербург"/>
    <d v="2025-09-18T00:00:00"/>
    <x v="1"/>
    <s v="Раф"/>
    <x v="1"/>
    <n v="1"/>
    <n v="284"/>
    <s v="Игорь С."/>
    <s v="Дмитрий Волков"/>
  </r>
  <r>
    <x v="5"/>
    <s v="Санкт-Петербург"/>
    <d v="2025-03-03T00:00:00"/>
    <x v="6"/>
    <s v="Круассан"/>
    <x v="0"/>
    <n v="3"/>
    <n v="528"/>
    <s v="Виктор Л."/>
    <s v="Дмитрий Волков"/>
  </r>
  <r>
    <x v="5"/>
    <s v="Санкт-Петербург"/>
    <d v="2025-09-05T00:00:00"/>
    <x v="1"/>
    <s v="Капучино"/>
    <x v="1"/>
    <n v="1"/>
    <n v="182"/>
    <s v="Наталья Р."/>
    <s v="Дмитрий Волков"/>
  </r>
  <r>
    <x v="5"/>
    <s v="Санкт-Петербург"/>
    <d v="2025-12-02T00:00:00"/>
    <x v="0"/>
    <s v="Какао"/>
    <x v="1"/>
    <n v="1"/>
    <n v="244"/>
    <s v="Елена В."/>
    <s v="Дмитрий Волков"/>
  </r>
  <r>
    <x v="5"/>
    <s v="Санкт-Петербург"/>
    <d v="2025-12-04T00:00:00"/>
    <x v="0"/>
    <s v="Чизкейк"/>
    <x v="0"/>
    <n v="2"/>
    <n v="534"/>
    <s v="Виктор Л."/>
    <s v="Дмитрий Волков"/>
  </r>
  <r>
    <x v="5"/>
    <s v="Санкт-Петербург"/>
    <d v="2025-05-14T00:00:00"/>
    <x v="10"/>
    <s v="Матча латте"/>
    <x v="1"/>
    <n v="3"/>
    <n v="855"/>
    <s v="Виктор Л."/>
    <s v="Дмитрий Волков"/>
  </r>
  <r>
    <x v="5"/>
    <s v="Санкт-Петербург"/>
    <d v="2025-01-03T00:00:00"/>
    <x v="4"/>
    <s v="Эспрессо"/>
    <x v="1"/>
    <n v="1"/>
    <n v="135"/>
    <s v="Игорь С."/>
    <s v="Дмитрий Волков"/>
  </r>
  <r>
    <x v="5"/>
    <s v="Санкт-Петербург"/>
    <d v="2025-10-06T00:00:00"/>
    <x v="3"/>
    <s v="Матча латте"/>
    <x v="1"/>
    <n v="1"/>
    <n v="279"/>
    <s v="Виктор Л."/>
    <s v="Дмитрий Волков"/>
  </r>
  <r>
    <x v="5"/>
    <s v="Санкт-Петербург"/>
    <d v="2025-03-13T00:00:00"/>
    <x v="6"/>
    <s v="Американо"/>
    <x v="1"/>
    <n v="2"/>
    <n v="352"/>
    <s v="Елена В."/>
    <s v="Дмитрий Волков"/>
  </r>
  <r>
    <x v="5"/>
    <s v="Санкт-Петербург"/>
    <d v="2025-02-19T00:00:00"/>
    <x v="2"/>
    <s v="Капучино"/>
    <x v="1"/>
    <n v="1"/>
    <n v="189"/>
    <s v="Виктор Л."/>
    <s v="Дмитрий Волков"/>
  </r>
  <r>
    <x v="5"/>
    <s v="Санкт-Петербург"/>
    <d v="2025-11-13T00:00:00"/>
    <x v="8"/>
    <s v="Салат Цезарь"/>
    <x v="2"/>
    <n v="2"/>
    <n v="690"/>
    <s v="Наталья Р."/>
    <s v="Дмитрий Волков"/>
  </r>
  <r>
    <x v="5"/>
    <s v="Санкт-Петербург"/>
    <d v="2025-06-04T00:00:00"/>
    <x v="7"/>
    <s v="Круассан"/>
    <x v="0"/>
    <n v="1"/>
    <n v="181"/>
    <s v="Игорь С."/>
    <s v="Дмитрий Волков"/>
  </r>
  <r>
    <x v="5"/>
    <s v="Санкт-Петербург"/>
    <d v="2025-06-27T00:00:00"/>
    <x v="7"/>
    <s v="Салат Цезарь"/>
    <x v="2"/>
    <n v="2"/>
    <n v="746"/>
    <s v="Виктор Л."/>
    <s v="Дмитрий Волков"/>
  </r>
  <r>
    <x v="5"/>
    <s v="Санкт-Петербург"/>
    <d v="2025-10-01T00:00:00"/>
    <x v="3"/>
    <s v="Сэндвич"/>
    <x v="2"/>
    <n v="2"/>
    <n v="716"/>
    <s v="Наталья Р."/>
    <s v="Дмитрий Волков"/>
  </r>
  <r>
    <x v="5"/>
    <s v="Санкт-Петербург"/>
    <d v="2025-08-21T00:00:00"/>
    <x v="9"/>
    <s v="Латте"/>
    <x v="1"/>
    <n v="3"/>
    <n v="699"/>
    <s v="Елена В."/>
    <s v="Дмитрий Волков"/>
  </r>
  <r>
    <x v="5"/>
    <s v="Санкт-Петербург"/>
    <d v="2025-05-19T00:00:00"/>
    <x v="10"/>
    <s v="Эспрессо"/>
    <x v="1"/>
    <n v="3"/>
    <n v="363"/>
    <s v="Наталья Р."/>
    <s v="Дмитрий Волков"/>
  </r>
  <r>
    <x v="5"/>
    <s v="Санкт-Петербург"/>
    <d v="2025-06-04T00:00:00"/>
    <x v="7"/>
    <s v="Салат Цезарь"/>
    <x v="2"/>
    <n v="3"/>
    <n v="1161"/>
    <s v="Елена В."/>
    <s v="Дмитрий Волков"/>
  </r>
  <r>
    <x v="5"/>
    <s v="Санкт-Петербург"/>
    <d v="2025-09-21T00:00:00"/>
    <x v="1"/>
    <s v="Какао"/>
    <x v="1"/>
    <n v="2"/>
    <n v="468"/>
    <s v="Наталья Р."/>
    <s v="Дмитрий Волков"/>
  </r>
  <r>
    <x v="5"/>
    <s v="Санкт-Петербург"/>
    <d v="2025-06-27T00:00:00"/>
    <x v="7"/>
    <s v="Какао"/>
    <x v="1"/>
    <n v="3"/>
    <n v="726"/>
    <s v="Наталья Р."/>
    <s v="Дмитрий Волков"/>
  </r>
  <r>
    <x v="5"/>
    <s v="Санкт-Петербург"/>
    <d v="2025-02-26T00:00:00"/>
    <x v="2"/>
    <s v="Какао"/>
    <x v="1"/>
    <n v="1"/>
    <n v="236"/>
    <s v="Наталья Р."/>
    <s v="Дмитрий Волков"/>
  </r>
  <r>
    <x v="5"/>
    <s v="Санкт-Петербург"/>
    <d v="2025-06-05T00:00:00"/>
    <x v="7"/>
    <s v="Сэндвич"/>
    <x v="2"/>
    <n v="2"/>
    <n v="688"/>
    <s v="Игорь С."/>
    <s v="Дмитрий Волков"/>
  </r>
  <r>
    <x v="5"/>
    <s v="Санкт-Петербург"/>
    <d v="2025-01-10T00:00:00"/>
    <x v="4"/>
    <s v="Какао"/>
    <x v="1"/>
    <n v="3"/>
    <n v="723"/>
    <s v="Анна К."/>
    <s v="Дмитрий Волков"/>
  </r>
  <r>
    <x v="5"/>
    <s v="Санкт-Петербург"/>
    <d v="2025-04-11T00:00:00"/>
    <x v="11"/>
    <s v="Салат Цезарь"/>
    <x v="2"/>
    <n v="1"/>
    <n v="336"/>
    <s v="Наталья Р."/>
    <s v="Дмитрий Волков"/>
  </r>
  <r>
    <x v="5"/>
    <s v="Санкт-Петербург"/>
    <d v="2025-11-16T00:00:00"/>
    <x v="8"/>
    <s v="Американо"/>
    <x v="1"/>
    <n v="1"/>
    <n v="163"/>
    <s v="Наталья Р."/>
    <s v="Дмитрий Волков"/>
  </r>
  <r>
    <x v="5"/>
    <s v="Санкт-Петербург"/>
    <d v="2025-08-18T00:00:00"/>
    <x v="9"/>
    <s v="Капучино"/>
    <x v="1"/>
    <n v="2"/>
    <n v="392"/>
    <s v="Наталья Р."/>
    <s v="Дмитрий Волков"/>
  </r>
  <r>
    <x v="5"/>
    <s v="Санкт-Петербург"/>
    <d v="2025-08-15T00:00:00"/>
    <x v="9"/>
    <s v="Салат Цезарь"/>
    <x v="2"/>
    <n v="1"/>
    <n v="352"/>
    <s v="Наталья Р."/>
    <s v="Дмитрий Волков"/>
  </r>
  <r>
    <x v="5"/>
    <s v="Санкт-Петербург"/>
    <d v="2025-11-10T00:00:00"/>
    <x v="8"/>
    <s v="Эспрессо"/>
    <x v="1"/>
    <n v="1"/>
    <n v="148"/>
    <s v="Елена В."/>
    <s v="Дмитрий Волков"/>
  </r>
  <r>
    <x v="5"/>
    <s v="Санкт-Петербург"/>
    <d v="2025-11-18T00:00:00"/>
    <x v="8"/>
    <s v="Круассан"/>
    <x v="0"/>
    <n v="2"/>
    <n v="354"/>
    <s v="Игорь С."/>
    <s v="Дмитрий Волков"/>
  </r>
  <r>
    <x v="5"/>
    <s v="Санкт-Петербург"/>
    <d v="2025-08-17T00:00:00"/>
    <x v="9"/>
    <s v="Эспрессо"/>
    <x v="1"/>
    <n v="1"/>
    <n v="133"/>
    <s v="Елена В."/>
    <s v="Дмитрий Волков"/>
  </r>
  <r>
    <x v="5"/>
    <s v="Санкт-Петербург"/>
    <d v="2025-07-24T00:00:00"/>
    <x v="5"/>
    <s v="Какао"/>
    <x v="1"/>
    <n v="3"/>
    <n v="597"/>
    <s v="Виктор Л."/>
    <s v="Дмитрий Волков"/>
  </r>
  <r>
    <x v="5"/>
    <s v="Санкт-Петербург"/>
    <d v="2025-08-04T00:00:00"/>
    <x v="9"/>
    <s v="Сэндвич"/>
    <x v="2"/>
    <n v="1"/>
    <n v="312"/>
    <s v="Максим П."/>
    <s v="Дмитрий Волков"/>
  </r>
  <r>
    <x v="5"/>
    <s v="Санкт-Петербург"/>
    <d v="2025-03-27T00:00:00"/>
    <x v="6"/>
    <s v="Матча латте"/>
    <x v="1"/>
    <n v="1"/>
    <n v="288"/>
    <s v="Елена В."/>
    <s v="Дмитрий Волков"/>
  </r>
  <r>
    <x v="5"/>
    <s v="Санкт-Петербург"/>
    <d v="2025-08-06T00:00:00"/>
    <x v="9"/>
    <s v="Матча латте"/>
    <x v="1"/>
    <n v="1"/>
    <n v="299"/>
    <s v="Анна К."/>
    <s v="Дмитрий Волков"/>
  </r>
  <r>
    <x v="5"/>
    <s v="Санкт-Петербург"/>
    <d v="2025-10-01T00:00:00"/>
    <x v="3"/>
    <s v="Круассан"/>
    <x v="0"/>
    <n v="2"/>
    <n v="392"/>
    <s v="Елена В."/>
    <s v="Дмитрий Волков"/>
  </r>
  <r>
    <x v="5"/>
    <s v="Санкт-Петербург"/>
    <d v="2025-01-05T00:00:00"/>
    <x v="4"/>
    <s v="Чизкейк"/>
    <x v="0"/>
    <n v="1"/>
    <n v="271"/>
    <s v="Наталья Р."/>
    <s v="Дмитрий Волков"/>
  </r>
  <r>
    <x v="5"/>
    <s v="Санкт-Петербург"/>
    <d v="2025-09-06T00:00:00"/>
    <x v="1"/>
    <s v="Синнабон"/>
    <x v="0"/>
    <n v="2"/>
    <n v="430"/>
    <s v="Максим П."/>
    <s v="Дмитрий Волков"/>
  </r>
  <r>
    <x v="5"/>
    <s v="Санкт-Петербург"/>
    <d v="2025-09-23T00:00:00"/>
    <x v="1"/>
    <s v="Синнабон"/>
    <x v="0"/>
    <n v="3"/>
    <n v="684"/>
    <s v="Анна К."/>
    <s v="Дмитрий Волков"/>
  </r>
  <r>
    <x v="5"/>
    <s v="Санкт-Петербург"/>
    <d v="2025-01-12T00:00:00"/>
    <x v="4"/>
    <s v="Латте"/>
    <x v="1"/>
    <n v="3"/>
    <n v="645"/>
    <s v="Игорь С."/>
    <s v="Дмитрий Волков"/>
  </r>
  <r>
    <x v="5"/>
    <s v="Санкт-Петербург"/>
    <d v="2025-02-12T00:00:00"/>
    <x v="2"/>
    <s v="Эспрессо"/>
    <x v="1"/>
    <n v="1"/>
    <n v="124"/>
    <s v="Елена В."/>
    <s v="Дмитрий Волков"/>
  </r>
  <r>
    <x v="5"/>
    <s v="Санкт-Петербург"/>
    <d v="2025-10-06T00:00:00"/>
    <x v="3"/>
    <s v="Матча латте"/>
    <x v="1"/>
    <n v="1"/>
    <n v="315"/>
    <s v="Игорь С."/>
    <s v="Дмитрий Волков"/>
  </r>
  <r>
    <x v="5"/>
    <s v="Санкт-Петербург"/>
    <d v="2025-03-27T00:00:00"/>
    <x v="6"/>
    <s v="Эспрессо"/>
    <x v="1"/>
    <n v="2"/>
    <n v="266"/>
    <s v="Игорь С."/>
    <s v="Дмитрий Волков"/>
  </r>
  <r>
    <x v="5"/>
    <s v="Санкт-Петербург"/>
    <d v="2025-08-17T00:00:00"/>
    <x v="9"/>
    <s v="Латте"/>
    <x v="1"/>
    <n v="2"/>
    <n v="446"/>
    <s v="Анна К."/>
    <s v="Дмитрий Волков"/>
  </r>
  <r>
    <x v="5"/>
    <s v="Санкт-Петербург"/>
    <d v="2025-05-25T00:00:00"/>
    <x v="10"/>
    <s v="Круассан"/>
    <x v="0"/>
    <n v="1"/>
    <n v="164"/>
    <s v="Игорь С."/>
    <s v="Дмитрий Волков"/>
  </r>
  <r>
    <x v="5"/>
    <s v="Санкт-Петербург"/>
    <d v="2025-04-13T00:00:00"/>
    <x v="11"/>
    <s v="Сэндвич"/>
    <x v="2"/>
    <n v="1"/>
    <n v="334"/>
    <s v="Елена В."/>
    <s v="Дмитрий Волков"/>
  </r>
  <r>
    <x v="5"/>
    <s v="Санкт-Петербург"/>
    <d v="2025-05-28T00:00:00"/>
    <x v="10"/>
    <s v="Латте"/>
    <x v="1"/>
    <n v="1"/>
    <n v="200"/>
    <s v="Максим П."/>
    <s v="Дмитрий Волков"/>
  </r>
  <r>
    <x v="5"/>
    <s v="Санкт-Петербург"/>
    <d v="2025-05-12T00:00:00"/>
    <x v="10"/>
    <s v="Сэндвич"/>
    <x v="2"/>
    <n v="1"/>
    <n v="322"/>
    <s v="Игорь С."/>
    <s v="Дмитрий Волков"/>
  </r>
  <r>
    <x v="5"/>
    <s v="Санкт-Петербург"/>
    <d v="2025-04-21T00:00:00"/>
    <x v="11"/>
    <s v="Сэндвич"/>
    <x v="2"/>
    <n v="1"/>
    <n v="283"/>
    <s v="Игорь С."/>
    <s v="Дмитрий Волков"/>
  </r>
  <r>
    <x v="5"/>
    <s v="Санкт-Петербург"/>
    <d v="2025-10-04T00:00:00"/>
    <x v="3"/>
    <s v="Матча латте"/>
    <x v="1"/>
    <n v="1"/>
    <n v="258"/>
    <s v="Анна К."/>
    <s v="Дмитрий Волков"/>
  </r>
  <r>
    <x v="5"/>
    <s v="Санкт-Петербург"/>
    <d v="2025-12-18T00:00:00"/>
    <x v="0"/>
    <s v="Круассан"/>
    <x v="0"/>
    <n v="1"/>
    <n v="180"/>
    <s v="Виктор Л."/>
    <s v="Дмитрий Волков"/>
  </r>
  <r>
    <x v="5"/>
    <s v="Санкт-Петербург"/>
    <d v="2025-09-20T00:00:00"/>
    <x v="1"/>
    <s v="Сэндвич"/>
    <x v="2"/>
    <n v="2"/>
    <n v="598"/>
    <s v="Анна К."/>
    <s v="Дмитрий Волков"/>
  </r>
  <r>
    <x v="5"/>
    <s v="Санкт-Петербург"/>
    <d v="2025-02-27T00:00:00"/>
    <x v="2"/>
    <s v="Матча латте"/>
    <x v="1"/>
    <n v="1"/>
    <n v="256"/>
    <s v="Виктор Л."/>
    <s v="Дмитрий Волков"/>
  </r>
  <r>
    <x v="5"/>
    <s v="Санкт-Петербург"/>
    <d v="2025-02-07T00:00:00"/>
    <x v="2"/>
    <s v="Латте"/>
    <x v="1"/>
    <n v="1"/>
    <n v="204"/>
    <s v="Виктор Л."/>
    <s v="Дмитрий Волков"/>
  </r>
  <r>
    <x v="5"/>
    <s v="Санкт-Петербург"/>
    <d v="2025-11-08T00:00:00"/>
    <x v="8"/>
    <s v="Капучино"/>
    <x v="1"/>
    <n v="1"/>
    <n v="226"/>
    <s v="Виктор Л."/>
    <s v="Дмитрий Волков"/>
  </r>
  <r>
    <x v="5"/>
    <s v="Санкт-Петербург"/>
    <d v="2025-07-02T00:00:00"/>
    <x v="5"/>
    <s v="Чизкейк"/>
    <x v="0"/>
    <n v="2"/>
    <n v="502"/>
    <s v="Елена В."/>
    <s v="Дмитрий Волков"/>
  </r>
  <r>
    <x v="5"/>
    <s v="Санкт-Петербург"/>
    <d v="2025-11-04T00:00:00"/>
    <x v="8"/>
    <s v="Американо"/>
    <x v="1"/>
    <n v="1"/>
    <n v="163"/>
    <s v="Виктор Л."/>
    <s v="Дмитрий Волков"/>
  </r>
  <r>
    <x v="5"/>
    <s v="Санкт-Петербург"/>
    <d v="2025-04-13T00:00:00"/>
    <x v="11"/>
    <s v="Эспрессо"/>
    <x v="1"/>
    <n v="1"/>
    <n v="158"/>
    <s v="Виктор Л."/>
    <s v="Дмитрий Волков"/>
  </r>
  <r>
    <x v="5"/>
    <s v="Санкт-Петербург"/>
    <d v="2025-10-16T00:00:00"/>
    <x v="3"/>
    <s v="Эспрессо"/>
    <x v="1"/>
    <n v="1"/>
    <n v="129"/>
    <s v="Анна К."/>
    <s v="Дмитрий Волков"/>
  </r>
  <r>
    <x v="5"/>
    <s v="Санкт-Петербург"/>
    <d v="2025-07-27T00:00:00"/>
    <x v="5"/>
    <s v="Латте"/>
    <x v="1"/>
    <n v="1"/>
    <n v="234"/>
    <s v="Виктор Л."/>
    <s v="Дмитрий Волков"/>
  </r>
  <r>
    <x v="5"/>
    <s v="Санкт-Петербург"/>
    <d v="2025-11-05T00:00:00"/>
    <x v="8"/>
    <s v="Эспрессо"/>
    <x v="1"/>
    <n v="1"/>
    <n v="121"/>
    <s v="Анна К."/>
    <s v="Дмитрий Волков"/>
  </r>
  <r>
    <x v="5"/>
    <s v="Санкт-Петербург"/>
    <d v="2025-02-22T00:00:00"/>
    <x v="2"/>
    <s v="Американо"/>
    <x v="1"/>
    <n v="1"/>
    <n v="160"/>
    <s v="Максим П."/>
    <s v="Дмитрий Волков"/>
  </r>
  <r>
    <x v="5"/>
    <s v="Санкт-Петербург"/>
    <d v="2025-05-11T00:00:00"/>
    <x v="10"/>
    <s v="Латте"/>
    <x v="1"/>
    <n v="1"/>
    <n v="241"/>
    <s v="Анна К."/>
    <s v="Дмитрий Волков"/>
  </r>
  <r>
    <x v="5"/>
    <s v="Санкт-Петербург"/>
    <d v="2025-02-13T00:00:00"/>
    <x v="2"/>
    <s v="Сэндвич"/>
    <x v="2"/>
    <n v="2"/>
    <n v="564"/>
    <s v="Виктор Л."/>
    <s v="Дмитрий Волков"/>
  </r>
  <r>
    <x v="5"/>
    <s v="Санкт-Петербург"/>
    <d v="2025-07-24T00:00:00"/>
    <x v="5"/>
    <s v="Матча латте"/>
    <x v="1"/>
    <n v="2"/>
    <n v="628"/>
    <s v="Наталья Р."/>
    <s v="Дмитрий Волков"/>
  </r>
  <r>
    <x v="5"/>
    <s v="Санкт-Петербург"/>
    <d v="2025-09-01T00:00:00"/>
    <x v="1"/>
    <s v="Какао"/>
    <x v="1"/>
    <n v="1"/>
    <n v="207"/>
    <s v="Виктор Л."/>
    <s v="Дмитрий Волков"/>
  </r>
  <r>
    <x v="5"/>
    <s v="Санкт-Петербург"/>
    <d v="2025-12-05T00:00:00"/>
    <x v="0"/>
    <s v="Раф"/>
    <x v="1"/>
    <n v="2"/>
    <n v="478"/>
    <s v="Елена В."/>
    <s v="Дмитрий Волков"/>
  </r>
  <r>
    <x v="5"/>
    <s v="Санкт-Петербург"/>
    <d v="2025-04-21T00:00:00"/>
    <x v="11"/>
    <s v="Сэндвич"/>
    <x v="2"/>
    <n v="1"/>
    <n v="351"/>
    <s v="Наталья Р."/>
    <s v="Дмитрий Волков"/>
  </r>
  <r>
    <x v="5"/>
    <s v="Санкт-Петербург"/>
    <d v="2025-09-24T00:00:00"/>
    <x v="1"/>
    <s v="Матча латте"/>
    <x v="1"/>
    <n v="3"/>
    <n v="885"/>
    <s v="Максим П."/>
    <s v="Дмитрий Волков"/>
  </r>
  <r>
    <x v="5"/>
    <s v="Санкт-Петербург"/>
    <d v="2025-03-20T00:00:00"/>
    <x v="6"/>
    <s v="Чизкейк"/>
    <x v="0"/>
    <n v="1"/>
    <n v="241"/>
    <s v="Наталья Р."/>
    <s v="Дмитрий Волков"/>
  </r>
  <r>
    <x v="5"/>
    <s v="Санкт-Петербург"/>
    <d v="2025-10-09T00:00:00"/>
    <x v="3"/>
    <s v="Матча латте"/>
    <x v="1"/>
    <n v="1"/>
    <n v="296"/>
    <s v="Игорь С."/>
    <s v="Дмитрий Волков"/>
  </r>
  <r>
    <x v="5"/>
    <s v="Санкт-Петербург"/>
    <d v="2025-10-08T00:00:00"/>
    <x v="3"/>
    <s v="Синнабон"/>
    <x v="0"/>
    <n v="2"/>
    <n v="468"/>
    <s v="Елена В."/>
    <s v="Дмитрий Волков"/>
  </r>
  <r>
    <x v="5"/>
    <s v="Санкт-Петербург"/>
    <d v="2025-07-03T00:00:00"/>
    <x v="5"/>
    <s v="Капучино"/>
    <x v="1"/>
    <n v="3"/>
    <n v="702"/>
    <s v="Елена В."/>
    <s v="Дмитрий Волков"/>
  </r>
  <r>
    <x v="5"/>
    <s v="Санкт-Петербург"/>
    <d v="2025-10-13T00:00:00"/>
    <x v="3"/>
    <s v="Латте"/>
    <x v="1"/>
    <n v="1"/>
    <n v="204"/>
    <s v="Виктор Л."/>
    <s v="Дмитрий Волков"/>
  </r>
  <r>
    <x v="5"/>
    <s v="Санкт-Петербург"/>
    <d v="2025-08-19T00:00:00"/>
    <x v="9"/>
    <s v="Раф"/>
    <x v="1"/>
    <n v="2"/>
    <n v="528"/>
    <s v="Максим П."/>
    <s v="Дмитрий Волков"/>
  </r>
  <r>
    <x v="5"/>
    <s v="Санкт-Петербург"/>
    <d v="2025-03-04T00:00:00"/>
    <x v="6"/>
    <s v="Какао"/>
    <x v="1"/>
    <n v="1"/>
    <n v="198"/>
    <s v="Елена В."/>
    <s v="Дмитрий Волков"/>
  </r>
  <r>
    <x v="5"/>
    <s v="Санкт-Петербург"/>
    <d v="2025-02-09T00:00:00"/>
    <x v="2"/>
    <s v="Круассан"/>
    <x v="0"/>
    <n v="1"/>
    <n v="165"/>
    <s v="Игорь С."/>
    <s v="Дмитрий Волков"/>
  </r>
  <r>
    <x v="5"/>
    <s v="Санкт-Петербург"/>
    <d v="2025-07-17T00:00:00"/>
    <x v="5"/>
    <s v="Чизкейк"/>
    <x v="0"/>
    <n v="1"/>
    <n v="270"/>
    <s v="Максим П."/>
    <s v="Дмитрий Волков"/>
  </r>
  <r>
    <x v="5"/>
    <s v="Санкт-Петербург"/>
    <d v="2025-05-15T00:00:00"/>
    <x v="10"/>
    <s v="Круассан"/>
    <x v="0"/>
    <n v="2"/>
    <n v="392"/>
    <s v="Анна К."/>
    <s v="Дмитрий Волков"/>
  </r>
  <r>
    <x v="5"/>
    <s v="Санкт-Петербург"/>
    <d v="2025-04-10T00:00:00"/>
    <x v="11"/>
    <s v="Сэндвич"/>
    <x v="2"/>
    <n v="2"/>
    <n v="606"/>
    <s v="Анна К."/>
    <s v="Дмитрий Волков"/>
  </r>
  <r>
    <x v="5"/>
    <s v="Санкт-Петербург"/>
    <d v="2025-08-18T00:00:00"/>
    <x v="9"/>
    <s v="Чизкейк"/>
    <x v="0"/>
    <n v="2"/>
    <n v="522"/>
    <s v="Анна К."/>
    <s v="Дмитрий Волков"/>
  </r>
  <r>
    <x v="5"/>
    <s v="Санкт-Петербург"/>
    <d v="2025-12-19T00:00:00"/>
    <x v="0"/>
    <s v="Раф"/>
    <x v="1"/>
    <n v="1"/>
    <n v="286"/>
    <s v="Максим П."/>
    <s v="Дмитрий Волков"/>
  </r>
  <r>
    <x v="5"/>
    <s v="Санкт-Петербург"/>
    <d v="2025-05-27T00:00:00"/>
    <x v="10"/>
    <s v="Капучино"/>
    <x v="1"/>
    <n v="3"/>
    <n v="708"/>
    <s v="Виктор Л."/>
    <s v="Дмитрий Волков"/>
  </r>
  <r>
    <x v="5"/>
    <s v="Санкт-Петербург"/>
    <d v="2025-02-19T00:00:00"/>
    <x v="2"/>
    <s v="Салат Цезарь"/>
    <x v="2"/>
    <n v="1"/>
    <n v="407"/>
    <s v="Максим П."/>
    <s v="Дмитрий Волков"/>
  </r>
  <r>
    <x v="5"/>
    <s v="Санкт-Петербург"/>
    <d v="2025-07-08T00:00:00"/>
    <x v="5"/>
    <s v="Латте"/>
    <x v="1"/>
    <n v="2"/>
    <n v="504"/>
    <s v="Елена В."/>
    <s v="Дмитрий Волков"/>
  </r>
  <r>
    <x v="5"/>
    <s v="Санкт-Петербург"/>
    <d v="2025-03-05T00:00:00"/>
    <x v="6"/>
    <s v="Американо"/>
    <x v="1"/>
    <n v="1"/>
    <n v="157"/>
    <s v="Анна К."/>
    <s v="Дмитрий Волков"/>
  </r>
  <r>
    <x v="5"/>
    <s v="Санкт-Петербург"/>
    <d v="2025-05-15T00:00:00"/>
    <x v="10"/>
    <s v="Латте"/>
    <x v="1"/>
    <n v="2"/>
    <n v="450"/>
    <s v="Елена В."/>
    <s v="Дмитрий Волков"/>
  </r>
  <r>
    <x v="5"/>
    <s v="Санкт-Петербург"/>
    <d v="2025-03-02T00:00:00"/>
    <x v="6"/>
    <s v="Эспрессо"/>
    <x v="1"/>
    <n v="1"/>
    <n v="156"/>
    <s v="Максим П."/>
    <s v="Дмитрий Волков"/>
  </r>
  <r>
    <x v="5"/>
    <s v="Санкт-Петербург"/>
    <d v="2025-09-08T00:00:00"/>
    <x v="1"/>
    <s v="Матча латте"/>
    <x v="1"/>
    <n v="2"/>
    <n v="506"/>
    <s v="Игорь С."/>
    <s v="Дмитрий Волков"/>
  </r>
  <r>
    <x v="5"/>
    <s v="Санкт-Петербург"/>
    <d v="2025-10-25T00:00:00"/>
    <x v="3"/>
    <s v="Раф"/>
    <x v="1"/>
    <n v="2"/>
    <n v="482"/>
    <s v="Наталья Р."/>
    <s v="Дмитрий Волков"/>
  </r>
  <r>
    <x v="5"/>
    <s v="Санкт-Петербург"/>
    <d v="2025-08-15T00:00:00"/>
    <x v="9"/>
    <s v="Эспрессо"/>
    <x v="1"/>
    <n v="1"/>
    <n v="151"/>
    <s v="Елена В."/>
    <s v="Дмитрий Волков"/>
  </r>
  <r>
    <x v="5"/>
    <s v="Санкт-Петербург"/>
    <d v="2025-09-03T00:00:00"/>
    <x v="1"/>
    <s v="Салат Цезарь"/>
    <x v="2"/>
    <n v="3"/>
    <n v="1113"/>
    <s v="Максим П."/>
    <s v="Дмитрий Волков"/>
  </r>
  <r>
    <x v="5"/>
    <s v="Санкт-Петербург"/>
    <d v="2025-07-09T00:00:00"/>
    <x v="5"/>
    <s v="Капучино"/>
    <x v="1"/>
    <n v="1"/>
    <n v="227"/>
    <s v="Максим П."/>
    <s v="Дмитрий Волков"/>
  </r>
  <r>
    <x v="5"/>
    <s v="Санкт-Петербург"/>
    <d v="2025-02-06T00:00:00"/>
    <x v="2"/>
    <s v="Сэндвич"/>
    <x v="2"/>
    <n v="2"/>
    <n v="640"/>
    <s v="Виктор Л."/>
    <s v="Дмитрий Волков"/>
  </r>
  <r>
    <x v="5"/>
    <s v="Санкт-Петербург"/>
    <d v="2025-12-10T00:00:00"/>
    <x v="0"/>
    <s v="Салат Цезарь"/>
    <x v="2"/>
    <n v="2"/>
    <n v="812"/>
    <s v="Наталья Р."/>
    <s v="Дмитрий Волков"/>
  </r>
  <r>
    <x v="5"/>
    <s v="Санкт-Петербург"/>
    <d v="2025-01-05T00:00:00"/>
    <x v="4"/>
    <s v="Синнабон"/>
    <x v="0"/>
    <n v="1"/>
    <n v="217"/>
    <s v="Виктор Л."/>
    <s v="Дмитрий Волков"/>
  </r>
  <r>
    <x v="5"/>
    <s v="Санкт-Петербург"/>
    <d v="2025-02-12T00:00:00"/>
    <x v="2"/>
    <s v="Круассан"/>
    <x v="0"/>
    <n v="2"/>
    <n v="382"/>
    <s v="Наталья Р."/>
    <s v="Дмитрий Волков"/>
  </r>
  <r>
    <x v="5"/>
    <s v="Санкт-Петербург"/>
    <d v="2025-08-08T00:00:00"/>
    <x v="9"/>
    <s v="Чизкейк"/>
    <x v="0"/>
    <n v="1"/>
    <n v="244"/>
    <s v="Наталья Р."/>
    <s v="Дмитрий Волков"/>
  </r>
  <r>
    <x v="5"/>
    <s v="Санкт-Петербург"/>
    <d v="2025-10-26T00:00:00"/>
    <x v="3"/>
    <s v="Чизкейк"/>
    <x v="0"/>
    <n v="3"/>
    <n v="720"/>
    <s v="Игорь С."/>
    <s v="Дмитрий Волков"/>
  </r>
  <r>
    <x v="5"/>
    <s v="Санкт-Петербург"/>
    <d v="2025-04-04T00:00:00"/>
    <x v="11"/>
    <s v="Круассан"/>
    <x v="0"/>
    <n v="1"/>
    <n v="192"/>
    <s v="Виктор Л."/>
    <s v="Дмитрий Волков"/>
  </r>
  <r>
    <x v="5"/>
    <s v="Санкт-Петербург"/>
    <d v="2025-02-19T00:00:00"/>
    <x v="2"/>
    <s v="Матча латте"/>
    <x v="1"/>
    <n v="3"/>
    <n v="870"/>
    <s v="Анна К."/>
    <s v="Дмитрий Волков"/>
  </r>
  <r>
    <x v="5"/>
    <s v="Санкт-Петербург"/>
    <d v="2025-12-19T00:00:00"/>
    <x v="0"/>
    <s v="Чизкейк"/>
    <x v="0"/>
    <n v="2"/>
    <n v="510"/>
    <s v="Наталья Р."/>
    <s v="Дмитрий Волков"/>
  </r>
  <r>
    <x v="5"/>
    <s v="Санкт-Петербург"/>
    <d v="2025-03-01T00:00:00"/>
    <x v="6"/>
    <s v="Американо"/>
    <x v="1"/>
    <n v="2"/>
    <n v="362"/>
    <s v="Максим П."/>
    <s v="Дмитрий Волков"/>
  </r>
  <r>
    <x v="5"/>
    <s v="Санкт-Петербург"/>
    <d v="2025-07-17T00:00:00"/>
    <x v="5"/>
    <s v="Салат Цезарь"/>
    <x v="2"/>
    <n v="1"/>
    <n v="338"/>
    <s v="Елена В."/>
    <s v="Дмитрий Волков"/>
  </r>
  <r>
    <x v="5"/>
    <s v="Санкт-Петербург"/>
    <d v="2025-01-23T00:00:00"/>
    <x v="4"/>
    <s v="Сэндвич"/>
    <x v="2"/>
    <n v="1"/>
    <n v="319"/>
    <s v="Игорь С."/>
    <s v="Дмитрий Волков"/>
  </r>
  <r>
    <x v="5"/>
    <s v="Санкт-Петербург"/>
    <d v="2025-11-14T00:00:00"/>
    <x v="8"/>
    <s v="Салат Цезарь"/>
    <x v="2"/>
    <n v="2"/>
    <n v="738"/>
    <s v="Максим П."/>
    <s v="Дмитрий Волков"/>
  </r>
  <r>
    <x v="5"/>
    <s v="Санкт-Петербург"/>
    <d v="2025-03-14T00:00:00"/>
    <x v="6"/>
    <s v="Чизкейк"/>
    <x v="0"/>
    <n v="1"/>
    <n v="276"/>
    <s v="Елена В."/>
    <s v="Дмитрий Волков"/>
  </r>
  <r>
    <x v="5"/>
    <s v="Санкт-Петербург"/>
    <d v="2025-10-06T00:00:00"/>
    <x v="3"/>
    <s v="Матча латте"/>
    <x v="1"/>
    <n v="2"/>
    <n v="556"/>
    <s v="Наталья Р."/>
    <s v="Дмитрий Волков"/>
  </r>
  <r>
    <x v="5"/>
    <s v="Санкт-Петербург"/>
    <d v="2025-01-19T00:00:00"/>
    <x v="4"/>
    <s v="Матча латте"/>
    <x v="1"/>
    <n v="1"/>
    <n v="254"/>
    <s v="Елена В."/>
    <s v="Дмитрий Волков"/>
  </r>
  <r>
    <x v="5"/>
    <s v="Санкт-Петербург"/>
    <d v="2025-03-27T00:00:00"/>
    <x v="6"/>
    <s v="Круассан"/>
    <x v="0"/>
    <n v="2"/>
    <n v="366"/>
    <s v="Анна К."/>
    <s v="Дмитрий Волков"/>
  </r>
  <r>
    <x v="5"/>
    <s v="Санкт-Петербург"/>
    <d v="2025-11-11T00:00:00"/>
    <x v="8"/>
    <s v="Американо"/>
    <x v="1"/>
    <n v="1"/>
    <n v="159"/>
    <s v="Елена В."/>
    <s v="Дмитрий Волков"/>
  </r>
  <r>
    <x v="5"/>
    <s v="Санкт-Петербург"/>
    <d v="2025-03-03T00:00:00"/>
    <x v="6"/>
    <s v="Эспрессо"/>
    <x v="1"/>
    <n v="2"/>
    <n v="278"/>
    <s v="Игорь С."/>
    <s v="Дмитрий Волков"/>
  </r>
  <r>
    <x v="5"/>
    <s v="Санкт-Петербург"/>
    <d v="2025-04-10T00:00:00"/>
    <x v="11"/>
    <s v="Раф"/>
    <x v="1"/>
    <n v="2"/>
    <n v="562"/>
    <s v="Виктор Л."/>
    <s v="Дмитрий Волков"/>
  </r>
  <r>
    <x v="5"/>
    <s v="Санкт-Петербург"/>
    <d v="2025-08-24T00:00:00"/>
    <x v="9"/>
    <s v="Чизкейк"/>
    <x v="0"/>
    <n v="1"/>
    <n v="236"/>
    <s v="Виктор Л."/>
    <s v="Дмитрий Волков"/>
  </r>
  <r>
    <x v="5"/>
    <s v="Санкт-Петербург"/>
    <d v="2025-04-14T00:00:00"/>
    <x v="11"/>
    <s v="Синнабон"/>
    <x v="0"/>
    <n v="2"/>
    <n v="450"/>
    <s v="Игорь С."/>
    <s v="Дмитрий Волков"/>
  </r>
  <r>
    <x v="5"/>
    <s v="Санкт-Петербург"/>
    <d v="2025-04-25T00:00:00"/>
    <x v="11"/>
    <s v="Американо"/>
    <x v="1"/>
    <n v="2"/>
    <n v="390"/>
    <s v="Анна К."/>
    <s v="Дмитрий Волков"/>
  </r>
  <r>
    <x v="5"/>
    <s v="Санкт-Петербург"/>
    <d v="2025-09-06T00:00:00"/>
    <x v="1"/>
    <s v="Сэндвич"/>
    <x v="2"/>
    <n v="2"/>
    <n v="626"/>
    <s v="Виктор Л."/>
    <s v="Дмитрий Волков"/>
  </r>
  <r>
    <x v="5"/>
    <s v="Санкт-Петербург"/>
    <d v="2025-04-25T00:00:00"/>
    <x v="11"/>
    <s v="Матча латте"/>
    <x v="1"/>
    <n v="3"/>
    <n v="804"/>
    <s v="Анна К."/>
    <s v="Дмитрий Волков"/>
  </r>
  <r>
    <x v="5"/>
    <s v="Санкт-Петербург"/>
    <d v="2025-12-18T00:00:00"/>
    <x v="0"/>
    <s v="Круассан"/>
    <x v="0"/>
    <n v="1"/>
    <n v="180"/>
    <s v="Елена В."/>
    <s v="Дмитрий Волков"/>
  </r>
  <r>
    <x v="5"/>
    <s v="Санкт-Петербург"/>
    <d v="2025-02-08T00:00:00"/>
    <x v="2"/>
    <s v="Капучино"/>
    <x v="1"/>
    <n v="1"/>
    <n v="183"/>
    <s v="Наталья Р."/>
    <s v="Дмитрий Волков"/>
  </r>
  <r>
    <x v="5"/>
    <s v="Санкт-Петербург"/>
    <d v="2025-10-06T00:00:00"/>
    <x v="3"/>
    <s v="Матча латте"/>
    <x v="1"/>
    <n v="1"/>
    <n v="245"/>
    <s v="Анна К."/>
    <s v="Дмитрий Волков"/>
  </r>
  <r>
    <x v="5"/>
    <s v="Санкт-Петербург"/>
    <d v="2025-05-07T00:00:00"/>
    <x v="10"/>
    <s v="Круассан"/>
    <x v="0"/>
    <n v="1"/>
    <n v="198"/>
    <s v="Елена В."/>
    <s v="Дмитрий Волков"/>
  </r>
  <r>
    <x v="5"/>
    <s v="Санкт-Петербург"/>
    <d v="2025-06-14T00:00:00"/>
    <x v="7"/>
    <s v="Круассан"/>
    <x v="0"/>
    <n v="1"/>
    <n v="168"/>
    <s v="Наталья Р."/>
    <s v="Дмитрий Волков"/>
  </r>
  <r>
    <x v="5"/>
    <s v="Санкт-Петербург"/>
    <d v="2025-04-08T00:00:00"/>
    <x v="11"/>
    <s v="Сэндвич"/>
    <x v="2"/>
    <n v="1"/>
    <n v="291"/>
    <s v="Елена В."/>
    <s v="Дмитрий Волков"/>
  </r>
  <r>
    <x v="5"/>
    <s v="Санкт-Петербург"/>
    <d v="2025-12-27T00:00:00"/>
    <x v="0"/>
    <s v="Матча латте"/>
    <x v="1"/>
    <n v="3"/>
    <n v="756"/>
    <s v="Наталья Р."/>
    <s v="Дмитрий Волков"/>
  </r>
  <r>
    <x v="5"/>
    <s v="Санкт-Петербург"/>
    <d v="2025-07-09T00:00:00"/>
    <x v="5"/>
    <s v="Какао"/>
    <x v="1"/>
    <n v="1"/>
    <n v="222"/>
    <s v="Наталья Р."/>
    <s v="Дмитрий Волков"/>
  </r>
  <r>
    <x v="5"/>
    <s v="Санкт-Петербург"/>
    <d v="2025-03-18T00:00:00"/>
    <x v="6"/>
    <s v="Какао"/>
    <x v="1"/>
    <n v="2"/>
    <n v="440"/>
    <s v="Елена В."/>
    <s v="Дмитрий Волков"/>
  </r>
  <r>
    <x v="5"/>
    <s v="Санкт-Петербург"/>
    <d v="2025-01-27T00:00:00"/>
    <x v="4"/>
    <s v="Чизкейк"/>
    <x v="0"/>
    <n v="2"/>
    <n v="540"/>
    <s v="Виктор Л."/>
    <s v="Дмитрий Волков"/>
  </r>
  <r>
    <x v="5"/>
    <s v="Санкт-Петербург"/>
    <d v="2025-12-20T00:00:00"/>
    <x v="0"/>
    <s v="Капучино"/>
    <x v="1"/>
    <n v="1"/>
    <n v="194"/>
    <s v="Виктор Л."/>
    <s v="Дмитрий Волков"/>
  </r>
  <r>
    <x v="5"/>
    <s v="Санкт-Петербург"/>
    <d v="2025-09-14T00:00:00"/>
    <x v="1"/>
    <s v="Матча латте"/>
    <x v="1"/>
    <n v="1"/>
    <n v="264"/>
    <s v="Виктор Л."/>
    <s v="Дмитрий Волков"/>
  </r>
  <r>
    <x v="5"/>
    <s v="Санкт-Петербург"/>
    <d v="2025-07-21T00:00:00"/>
    <x v="5"/>
    <s v="Чизкейк"/>
    <x v="0"/>
    <n v="2"/>
    <n v="440"/>
    <s v="Анна К."/>
    <s v="Дмитрий Волков"/>
  </r>
  <r>
    <x v="5"/>
    <s v="Санкт-Петербург"/>
    <d v="2025-06-27T00:00:00"/>
    <x v="7"/>
    <s v="Круассан"/>
    <x v="0"/>
    <n v="1"/>
    <n v="183"/>
    <s v="Анна К."/>
    <s v="Дмитрий Волков"/>
  </r>
  <r>
    <x v="5"/>
    <s v="Санкт-Петербург"/>
    <d v="2025-06-19T00:00:00"/>
    <x v="7"/>
    <s v="Чизкейк"/>
    <x v="0"/>
    <n v="2"/>
    <n v="514"/>
    <s v="Виктор Л."/>
    <s v="Дмитрий Волков"/>
  </r>
  <r>
    <x v="5"/>
    <s v="Санкт-Петербург"/>
    <d v="2025-03-09T00:00:00"/>
    <x v="6"/>
    <s v="Раф"/>
    <x v="1"/>
    <n v="1"/>
    <n v="250"/>
    <s v="Анна К."/>
    <s v="Дмитрий Волков"/>
  </r>
  <r>
    <x v="5"/>
    <s v="Санкт-Петербург"/>
    <d v="2025-02-15T00:00:00"/>
    <x v="2"/>
    <s v="Сэндвич"/>
    <x v="2"/>
    <n v="3"/>
    <n v="966"/>
    <s v="Анна К."/>
    <s v="Дмитрий Волков"/>
  </r>
  <r>
    <x v="5"/>
    <s v="Санкт-Петербург"/>
    <d v="2025-12-02T00:00:00"/>
    <x v="0"/>
    <s v="Синнабон"/>
    <x v="0"/>
    <n v="3"/>
    <n v="612"/>
    <s v="Виктор Л."/>
    <s v="Дмитрий Волков"/>
  </r>
  <r>
    <x v="5"/>
    <s v="Санкт-Петербург"/>
    <d v="2025-07-28T00:00:00"/>
    <x v="5"/>
    <s v="Американо"/>
    <x v="1"/>
    <n v="1"/>
    <n v="182"/>
    <s v="Елена В."/>
    <s v="Дмитрий Волков"/>
  </r>
  <r>
    <x v="5"/>
    <s v="Санкт-Петербург"/>
    <d v="2025-08-07T00:00:00"/>
    <x v="9"/>
    <s v="Чизкейк"/>
    <x v="0"/>
    <n v="1"/>
    <n v="239"/>
    <s v="Виктор Л."/>
    <s v="Дмитрий Волков"/>
  </r>
  <r>
    <x v="5"/>
    <s v="Санкт-Петербург"/>
    <d v="2025-06-13T00:00:00"/>
    <x v="7"/>
    <s v="Синнабон"/>
    <x v="0"/>
    <n v="1"/>
    <n v="217"/>
    <s v="Игорь С."/>
    <s v="Дмитрий Волков"/>
  </r>
  <r>
    <x v="5"/>
    <s v="Санкт-Петербург"/>
    <d v="2025-04-07T00:00:00"/>
    <x v="11"/>
    <s v="Сэндвич"/>
    <x v="2"/>
    <n v="3"/>
    <n v="954"/>
    <s v="Максим П."/>
    <s v="Дмитрий Волков"/>
  </r>
  <r>
    <x v="5"/>
    <s v="Санкт-Петербург"/>
    <d v="2025-01-12T00:00:00"/>
    <x v="4"/>
    <s v="Какао"/>
    <x v="1"/>
    <n v="1"/>
    <n v="229"/>
    <s v="Максим П."/>
    <s v="Дмитрий Волков"/>
  </r>
  <r>
    <x v="5"/>
    <s v="Санкт-Петербург"/>
    <d v="2025-09-23T00:00:00"/>
    <x v="1"/>
    <s v="Какао"/>
    <x v="1"/>
    <n v="3"/>
    <n v="624"/>
    <s v="Елена В."/>
    <s v="Дмитрий Волков"/>
  </r>
  <r>
    <x v="5"/>
    <s v="Санкт-Петербург"/>
    <d v="2025-06-09T00:00:00"/>
    <x v="7"/>
    <s v="Американо"/>
    <x v="1"/>
    <n v="1"/>
    <n v="188"/>
    <s v="Максим П."/>
    <s v="Дмитрий Волков"/>
  </r>
  <r>
    <x v="5"/>
    <s v="Санкт-Петербург"/>
    <d v="2025-05-21T00:00:00"/>
    <x v="10"/>
    <s v="Капучино"/>
    <x v="1"/>
    <n v="3"/>
    <n v="558"/>
    <s v="Анна К."/>
    <s v="Дмитрий Волков"/>
  </r>
  <r>
    <x v="5"/>
    <s v="Санкт-Петербург"/>
    <d v="2025-03-18T00:00:00"/>
    <x v="6"/>
    <s v="Какао"/>
    <x v="1"/>
    <n v="2"/>
    <n v="418"/>
    <s v="Анна К."/>
    <s v="Дмитрий Волков"/>
  </r>
  <r>
    <x v="5"/>
    <s v="Санкт-Петербург"/>
    <d v="2025-05-01T00:00:00"/>
    <x v="10"/>
    <s v="Салат Цезарь"/>
    <x v="2"/>
    <n v="3"/>
    <n v="1245"/>
    <s v="Елена В."/>
    <s v="Дмитрий Волков"/>
  </r>
  <r>
    <x v="5"/>
    <s v="Санкт-Петербург"/>
    <d v="2025-08-02T00:00:00"/>
    <x v="9"/>
    <s v="Круассан"/>
    <x v="0"/>
    <n v="2"/>
    <n v="324"/>
    <s v="Виктор Л."/>
    <s v="Дмитрий Волков"/>
  </r>
  <r>
    <x v="5"/>
    <s v="Санкт-Петербург"/>
    <d v="2025-12-28T00:00:00"/>
    <x v="0"/>
    <s v="Какао"/>
    <x v="1"/>
    <n v="2"/>
    <n v="404"/>
    <s v="Максим П."/>
    <s v="Дмитрий Волков"/>
  </r>
  <r>
    <x v="5"/>
    <s v="Санкт-Петербург"/>
    <d v="2025-12-18T00:00:00"/>
    <x v="0"/>
    <s v="Синнабон"/>
    <x v="0"/>
    <n v="1"/>
    <n v="221"/>
    <s v="Максим П."/>
    <s v="Дмитрий Волков"/>
  </r>
  <r>
    <x v="5"/>
    <s v="Санкт-Петербург"/>
    <d v="2025-12-01T00:00:00"/>
    <x v="0"/>
    <s v="Эспрессо"/>
    <x v="1"/>
    <n v="1"/>
    <n v="140"/>
    <s v="Виктор Л."/>
    <s v="Дмитрий Волков"/>
  </r>
  <r>
    <x v="5"/>
    <s v="Санкт-Петербург"/>
    <d v="2025-11-14T00:00:00"/>
    <x v="8"/>
    <s v="Сэндвич"/>
    <x v="2"/>
    <n v="3"/>
    <n v="1056"/>
    <s v="Наталья Р."/>
    <s v="Дмитрий Волков"/>
  </r>
  <r>
    <x v="5"/>
    <s v="Санкт-Петербург"/>
    <d v="2025-04-21T00:00:00"/>
    <x v="11"/>
    <s v="Капучино"/>
    <x v="1"/>
    <n v="3"/>
    <n v="540"/>
    <s v="Виктор Л."/>
    <s v="Дмитрий Волков"/>
  </r>
  <r>
    <x v="5"/>
    <s v="Санкт-Петербург"/>
    <d v="2025-09-20T00:00:00"/>
    <x v="1"/>
    <s v="Матча латте"/>
    <x v="1"/>
    <n v="2"/>
    <n v="612"/>
    <s v="Анна К."/>
    <s v="Дмитрий Волков"/>
  </r>
  <r>
    <x v="5"/>
    <s v="Санкт-Петербург"/>
    <d v="2025-11-03T00:00:00"/>
    <x v="8"/>
    <s v="Раф"/>
    <x v="1"/>
    <n v="2"/>
    <n v="478"/>
    <s v="Виктор Л."/>
    <s v="Дмитрий Волков"/>
  </r>
  <r>
    <x v="5"/>
    <s v="Санкт-Петербург"/>
    <d v="2025-12-09T00:00:00"/>
    <x v="0"/>
    <s v="Капучино"/>
    <x v="1"/>
    <n v="1"/>
    <n v="230"/>
    <s v="Наталья Р."/>
    <s v="Дмитрий Волков"/>
  </r>
  <r>
    <x v="5"/>
    <s v="Санкт-Петербург"/>
    <d v="2025-11-11T00:00:00"/>
    <x v="8"/>
    <s v="Капучино"/>
    <x v="1"/>
    <n v="2"/>
    <n v="386"/>
    <s v="Игорь С."/>
    <s v="Дмитрий Волков"/>
  </r>
  <r>
    <x v="5"/>
    <s v="Санкт-Петербург"/>
    <d v="2025-09-08T00:00:00"/>
    <x v="1"/>
    <s v="Американо"/>
    <x v="1"/>
    <n v="2"/>
    <n v="310"/>
    <s v="Анна К."/>
    <s v="Дмитрий Волков"/>
  </r>
  <r>
    <x v="5"/>
    <s v="Санкт-Петербург"/>
    <d v="2025-05-09T00:00:00"/>
    <x v="10"/>
    <s v="Сэндвич"/>
    <x v="2"/>
    <n v="1"/>
    <n v="346"/>
    <s v="Наталья Р."/>
    <s v="Дмитрий Волков"/>
  </r>
  <r>
    <x v="5"/>
    <s v="Санкт-Петербург"/>
    <d v="2025-01-18T00:00:00"/>
    <x v="4"/>
    <s v="Раф"/>
    <x v="1"/>
    <n v="1"/>
    <n v="235"/>
    <s v="Игорь С."/>
    <s v="Дмитрий Волков"/>
  </r>
  <r>
    <x v="5"/>
    <s v="Санкт-Петербург"/>
    <d v="2025-01-16T00:00:00"/>
    <x v="4"/>
    <s v="Сэндвич"/>
    <x v="2"/>
    <n v="1"/>
    <n v="310"/>
    <s v="Игорь С."/>
    <s v="Дмитрий Волков"/>
  </r>
  <r>
    <x v="5"/>
    <s v="Санкт-Петербург"/>
    <d v="2025-08-19T00:00:00"/>
    <x v="9"/>
    <s v="Сэндвич"/>
    <x v="2"/>
    <n v="2"/>
    <n v="652"/>
    <s v="Виктор Л."/>
    <s v="Дмитрий Волков"/>
  </r>
  <r>
    <x v="5"/>
    <s v="Санкт-Петербург"/>
    <d v="2025-06-17T00:00:00"/>
    <x v="7"/>
    <s v="Сэндвич"/>
    <x v="2"/>
    <n v="1"/>
    <n v="350"/>
    <s v="Елена В."/>
    <s v="Дмитрий Волков"/>
  </r>
  <r>
    <x v="5"/>
    <s v="Санкт-Петербург"/>
    <d v="2025-01-02T00:00:00"/>
    <x v="4"/>
    <s v="Салат Цезарь"/>
    <x v="2"/>
    <n v="2"/>
    <n v="670"/>
    <s v="Анна К."/>
    <s v="Дмитрий Волков"/>
  </r>
  <r>
    <x v="5"/>
    <s v="Санкт-Петербург"/>
    <d v="2025-03-24T00:00:00"/>
    <x v="6"/>
    <s v="Эспрессо"/>
    <x v="1"/>
    <n v="1"/>
    <n v="139"/>
    <s v="Игорь С."/>
    <s v="Дмитрий Волков"/>
  </r>
  <r>
    <x v="5"/>
    <s v="Санкт-Петербург"/>
    <d v="2025-08-09T00:00:00"/>
    <x v="9"/>
    <s v="Эспрессо"/>
    <x v="1"/>
    <n v="1"/>
    <n v="147"/>
    <s v="Елена В."/>
    <s v="Дмитрий Волков"/>
  </r>
  <r>
    <x v="5"/>
    <s v="Санкт-Петербург"/>
    <d v="2025-10-19T00:00:00"/>
    <x v="3"/>
    <s v="Какао"/>
    <x v="1"/>
    <n v="1"/>
    <n v="243"/>
    <s v="Максим П."/>
    <s v="Дмитрий Волков"/>
  </r>
  <r>
    <x v="5"/>
    <s v="Санкт-Петербург"/>
    <d v="2025-03-06T00:00:00"/>
    <x v="6"/>
    <s v="Матча латте"/>
    <x v="1"/>
    <n v="1"/>
    <n v="293"/>
    <s v="Виктор Л."/>
    <s v="Дмитрий Волков"/>
  </r>
  <r>
    <x v="5"/>
    <s v="Санкт-Петербург"/>
    <d v="2025-03-09T00:00:00"/>
    <x v="6"/>
    <s v="Матча латте"/>
    <x v="1"/>
    <n v="3"/>
    <n v="810"/>
    <s v="Елена В."/>
    <s v="Дмитрий Волков"/>
  </r>
  <r>
    <x v="5"/>
    <s v="Санкт-Петербург"/>
    <d v="2025-01-08T00:00:00"/>
    <x v="4"/>
    <s v="Какао"/>
    <x v="1"/>
    <n v="1"/>
    <n v="215"/>
    <s v="Игорь С."/>
    <s v="Дмитрий Волков"/>
  </r>
  <r>
    <x v="5"/>
    <s v="Санкт-Петербург"/>
    <d v="2025-03-25T00:00:00"/>
    <x v="6"/>
    <s v="Латте"/>
    <x v="1"/>
    <n v="1"/>
    <n v="236"/>
    <s v="Анна К."/>
    <s v="Дмитрий Волков"/>
  </r>
  <r>
    <x v="5"/>
    <s v="Санкт-Петербург"/>
    <d v="2025-01-26T00:00:00"/>
    <x v="4"/>
    <s v="Латте"/>
    <x v="1"/>
    <n v="1"/>
    <n v="221"/>
    <s v="Игорь С."/>
    <s v="Дмитрий Волков"/>
  </r>
  <r>
    <x v="5"/>
    <s v="Санкт-Петербург"/>
    <d v="2025-07-15T00:00:00"/>
    <x v="5"/>
    <s v="Салат Цезарь"/>
    <x v="2"/>
    <n v="1"/>
    <n v="372"/>
    <s v="Максим П."/>
    <s v="Дмитрий Волков"/>
  </r>
  <r>
    <x v="5"/>
    <s v="Санкт-Петербург"/>
    <d v="2025-09-05T00:00:00"/>
    <x v="1"/>
    <s v="Сэндвич"/>
    <x v="2"/>
    <n v="1"/>
    <n v="307"/>
    <s v="Максим П."/>
    <s v="Дмитрий Волков"/>
  </r>
  <r>
    <x v="5"/>
    <s v="Санкт-Петербург"/>
    <d v="2025-11-23T00:00:00"/>
    <x v="8"/>
    <s v="Капучино"/>
    <x v="1"/>
    <n v="1"/>
    <n v="229"/>
    <s v="Максим П."/>
    <s v="Дмитрий Волков"/>
  </r>
  <r>
    <x v="5"/>
    <s v="Санкт-Петербург"/>
    <d v="2025-07-22T00:00:00"/>
    <x v="5"/>
    <s v="Латте"/>
    <x v="1"/>
    <n v="1"/>
    <n v="250"/>
    <s v="Елена В."/>
    <s v="Дмитрий Волков"/>
  </r>
  <r>
    <x v="5"/>
    <s v="Санкт-Петербург"/>
    <d v="2025-05-21T00:00:00"/>
    <x v="10"/>
    <s v="Латте"/>
    <x v="1"/>
    <n v="1"/>
    <n v="245"/>
    <s v="Анна К."/>
    <s v="Дмитрий Волков"/>
  </r>
  <r>
    <x v="5"/>
    <s v="Санкт-Петербург"/>
    <d v="2025-01-02T00:00:00"/>
    <x v="4"/>
    <s v="Раф"/>
    <x v="1"/>
    <n v="1"/>
    <n v="232"/>
    <s v="Игорь С."/>
    <s v="Дмитрий Волков"/>
  </r>
  <r>
    <x v="5"/>
    <s v="Санкт-Петербург"/>
    <d v="2025-09-06T00:00:00"/>
    <x v="1"/>
    <s v="Круассан"/>
    <x v="0"/>
    <n v="1"/>
    <n v="197"/>
    <s v="Виктор Л."/>
    <s v="Дмитрий Волков"/>
  </r>
  <r>
    <x v="5"/>
    <s v="Санкт-Петербург"/>
    <d v="2025-09-12T00:00:00"/>
    <x v="1"/>
    <s v="Какао"/>
    <x v="1"/>
    <n v="2"/>
    <n v="442"/>
    <s v="Анна К."/>
    <s v="Дмитрий Волков"/>
  </r>
  <r>
    <x v="5"/>
    <s v="Санкт-Петербург"/>
    <d v="2025-12-07T00:00:00"/>
    <x v="0"/>
    <s v="Чизкейк"/>
    <x v="0"/>
    <n v="2"/>
    <n v="464"/>
    <s v="Наталья Р."/>
    <s v="Дмитрий Волков"/>
  </r>
  <r>
    <x v="5"/>
    <s v="Санкт-Петербург"/>
    <d v="2025-02-26T00:00:00"/>
    <x v="2"/>
    <s v="Синнабон"/>
    <x v="0"/>
    <n v="1"/>
    <n v="186"/>
    <s v="Елена В."/>
    <s v="Дмитрий Волков"/>
  </r>
  <r>
    <x v="5"/>
    <s v="Санкт-Петербург"/>
    <d v="2025-09-26T00:00:00"/>
    <x v="1"/>
    <s v="Какао"/>
    <x v="1"/>
    <n v="3"/>
    <n v="585"/>
    <s v="Анна К."/>
    <s v="Дмитрий Волков"/>
  </r>
  <r>
    <x v="5"/>
    <s v="Санкт-Петербург"/>
    <d v="2025-08-18T00:00:00"/>
    <x v="9"/>
    <s v="Матча латте"/>
    <x v="1"/>
    <n v="1"/>
    <n v="307"/>
    <s v="Анна К."/>
    <s v="Дмитрий Волков"/>
  </r>
  <r>
    <x v="5"/>
    <s v="Санкт-Петербург"/>
    <d v="2025-06-13T00:00:00"/>
    <x v="7"/>
    <s v="Салат Цезарь"/>
    <x v="2"/>
    <n v="1"/>
    <n v="348"/>
    <s v="Виктор Л."/>
    <s v="Дмитрий Волков"/>
  </r>
  <r>
    <x v="5"/>
    <s v="Санкт-Петербург"/>
    <d v="2025-07-16T00:00:00"/>
    <x v="5"/>
    <s v="Эспрессо"/>
    <x v="1"/>
    <n v="2"/>
    <n v="306"/>
    <s v="Наталья Р."/>
    <s v="Дмитрий Волков"/>
  </r>
  <r>
    <x v="5"/>
    <s v="Санкт-Петербург"/>
    <d v="2025-03-20T00:00:00"/>
    <x v="6"/>
    <s v="Сэндвич"/>
    <x v="2"/>
    <n v="2"/>
    <n v="706"/>
    <s v="Игорь С."/>
    <s v="Дмитрий Волков"/>
  </r>
  <r>
    <x v="5"/>
    <s v="Санкт-Петербург"/>
    <d v="2025-10-24T00:00:00"/>
    <x v="3"/>
    <s v="Латте"/>
    <x v="1"/>
    <n v="2"/>
    <n v="436"/>
    <s v="Наталья Р."/>
    <s v="Дмитрий Волков"/>
  </r>
  <r>
    <x v="5"/>
    <s v="Санкт-Петербург"/>
    <d v="2025-07-23T00:00:00"/>
    <x v="5"/>
    <s v="Круассан"/>
    <x v="0"/>
    <n v="1"/>
    <n v="200"/>
    <s v="Виктор Л."/>
    <s v="Дмитрий Волков"/>
  </r>
  <r>
    <x v="5"/>
    <s v="Санкт-Петербург"/>
    <d v="2025-07-11T00:00:00"/>
    <x v="5"/>
    <s v="Эспрессо"/>
    <x v="1"/>
    <n v="3"/>
    <n v="423"/>
    <s v="Елена В."/>
    <s v="Дмитрий Волков"/>
  </r>
  <r>
    <x v="5"/>
    <s v="Санкт-Петербург"/>
    <d v="2025-03-21T00:00:00"/>
    <x v="6"/>
    <s v="Салат Цезарь"/>
    <x v="2"/>
    <n v="1"/>
    <n v="390"/>
    <s v="Максим П."/>
    <s v="Дмитрий Волков"/>
  </r>
  <r>
    <x v="5"/>
    <s v="Санкт-Петербург"/>
    <d v="2025-03-18T00:00:00"/>
    <x v="6"/>
    <s v="Капучино"/>
    <x v="1"/>
    <n v="2"/>
    <n v="432"/>
    <s v="Игорь С."/>
    <s v="Дмитрий Волков"/>
  </r>
  <r>
    <x v="5"/>
    <s v="Санкт-Петербург"/>
    <d v="2025-07-19T00:00:00"/>
    <x v="5"/>
    <s v="Раф"/>
    <x v="1"/>
    <n v="2"/>
    <n v="560"/>
    <s v="Наталья Р."/>
    <s v="Дмитрий Волков"/>
  </r>
  <r>
    <x v="5"/>
    <s v="Санкт-Петербург"/>
    <d v="2025-09-07T00:00:00"/>
    <x v="1"/>
    <s v="Круассан"/>
    <x v="0"/>
    <n v="2"/>
    <n v="320"/>
    <s v="Виктор Л."/>
    <s v="Дмитрий Волков"/>
  </r>
  <r>
    <x v="5"/>
    <s v="Санкт-Петербург"/>
    <d v="2025-03-10T00:00:00"/>
    <x v="6"/>
    <s v="Раф"/>
    <x v="1"/>
    <n v="3"/>
    <n v="744"/>
    <s v="Максим П."/>
    <s v="Дмитрий Волков"/>
  </r>
  <r>
    <x v="5"/>
    <s v="Санкт-Петербург"/>
    <d v="2025-04-24T00:00:00"/>
    <x v="11"/>
    <s v="Американо"/>
    <x v="1"/>
    <n v="3"/>
    <n v="483"/>
    <s v="Наталья Р."/>
    <s v="Дмитрий Волков"/>
  </r>
  <r>
    <x v="5"/>
    <s v="Санкт-Петербург"/>
    <d v="2025-01-21T00:00:00"/>
    <x v="4"/>
    <s v="Салат Цезарь"/>
    <x v="2"/>
    <n v="2"/>
    <n v="690"/>
    <s v="Наталья Р."/>
    <s v="Дмитрий Волков"/>
  </r>
  <r>
    <x v="5"/>
    <s v="Санкт-Петербург"/>
    <d v="2025-06-28T00:00:00"/>
    <x v="7"/>
    <s v="Эспрессо"/>
    <x v="1"/>
    <n v="1"/>
    <n v="127"/>
    <s v="Игорь С."/>
    <s v="Дмитрий Волков"/>
  </r>
  <r>
    <x v="5"/>
    <s v="Санкт-Петербург"/>
    <d v="2025-06-24T00:00:00"/>
    <x v="7"/>
    <s v="Матча латте"/>
    <x v="1"/>
    <n v="1"/>
    <n v="308"/>
    <s v="Виктор Л."/>
    <s v="Дмитрий Волков"/>
  </r>
  <r>
    <x v="5"/>
    <s v="Санкт-Петербург"/>
    <d v="2025-04-10T00:00:00"/>
    <x v="11"/>
    <s v="Раф"/>
    <x v="1"/>
    <n v="1"/>
    <n v="259"/>
    <s v="Виктор Л."/>
    <s v="Дмитрий Волков"/>
  </r>
  <r>
    <x v="5"/>
    <s v="Санкт-Петербург"/>
    <d v="2025-01-24T00:00:00"/>
    <x v="4"/>
    <s v="Какао"/>
    <x v="1"/>
    <n v="2"/>
    <n v="460"/>
    <s v="Наталья Р."/>
    <s v="Дмитрий Волков"/>
  </r>
  <r>
    <x v="5"/>
    <s v="Санкт-Петербург"/>
    <d v="2025-10-07T00:00:00"/>
    <x v="3"/>
    <s v="Американо"/>
    <x v="1"/>
    <n v="2"/>
    <n v="344"/>
    <s v="Игорь С."/>
    <s v="Дмитрий Волков"/>
  </r>
  <r>
    <x v="5"/>
    <s v="Санкт-Петербург"/>
    <d v="2025-09-22T00:00:00"/>
    <x v="1"/>
    <s v="Латте"/>
    <x v="1"/>
    <n v="1"/>
    <n v="230"/>
    <s v="Максим П."/>
    <s v="Дмитрий Волков"/>
  </r>
  <r>
    <x v="5"/>
    <s v="Санкт-Петербург"/>
    <d v="2025-04-02T00:00:00"/>
    <x v="11"/>
    <s v="Чизкейк"/>
    <x v="0"/>
    <n v="1"/>
    <n v="246"/>
    <s v="Максим П."/>
    <s v="Дмитрий Волков"/>
  </r>
  <r>
    <x v="5"/>
    <s v="Санкт-Петербург"/>
    <d v="2025-01-18T00:00:00"/>
    <x v="4"/>
    <s v="Синнабон"/>
    <x v="0"/>
    <n v="2"/>
    <n v="416"/>
    <s v="Виктор Л."/>
    <s v="Дмитрий Волков"/>
  </r>
  <r>
    <x v="5"/>
    <s v="Санкт-Петербург"/>
    <d v="2025-04-06T00:00:00"/>
    <x v="11"/>
    <s v="Матча латте"/>
    <x v="1"/>
    <n v="2"/>
    <n v="604"/>
    <s v="Игорь С."/>
    <s v="Дмитрий Волков"/>
  </r>
  <r>
    <x v="5"/>
    <s v="Санкт-Петербург"/>
    <d v="2025-10-02T00:00:00"/>
    <x v="3"/>
    <s v="Латте"/>
    <x v="1"/>
    <n v="3"/>
    <n v="630"/>
    <s v="Максим П."/>
    <s v="Дмитрий Волков"/>
  </r>
  <r>
    <x v="5"/>
    <s v="Санкт-Петербург"/>
    <d v="2025-11-28T00:00:00"/>
    <x v="8"/>
    <s v="Круассан"/>
    <x v="0"/>
    <n v="3"/>
    <n v="507"/>
    <s v="Максим П."/>
    <s v="Дмитрий Волков"/>
  </r>
  <r>
    <x v="5"/>
    <s v="Санкт-Петербург"/>
    <d v="2025-02-25T00:00:00"/>
    <x v="2"/>
    <s v="Чизкейк"/>
    <x v="0"/>
    <n v="3"/>
    <n v="669"/>
    <s v="Максим П."/>
    <s v="Дмитрий Волков"/>
  </r>
  <r>
    <x v="5"/>
    <s v="Санкт-Петербург"/>
    <d v="2025-12-02T00:00:00"/>
    <x v="0"/>
    <s v="Матча латте"/>
    <x v="1"/>
    <n v="3"/>
    <n v="756"/>
    <s v="Елена В."/>
    <s v="Дмитрий Волков"/>
  </r>
  <r>
    <x v="5"/>
    <s v="Санкт-Петербург"/>
    <d v="2025-08-16T00:00:00"/>
    <x v="9"/>
    <s v="Сэндвич"/>
    <x v="2"/>
    <n v="3"/>
    <n v="966"/>
    <s v="Игорь С."/>
    <s v="Дмитрий Волков"/>
  </r>
  <r>
    <x v="5"/>
    <s v="Санкт-Петербург"/>
    <d v="2025-12-11T00:00:00"/>
    <x v="0"/>
    <s v="Матча латте"/>
    <x v="1"/>
    <n v="2"/>
    <n v="550"/>
    <s v="Виктор Л."/>
    <s v="Дмитрий Волков"/>
  </r>
  <r>
    <x v="5"/>
    <s v="Санкт-Петербург"/>
    <d v="2025-03-07T00:00:00"/>
    <x v="6"/>
    <s v="Латте"/>
    <x v="1"/>
    <n v="3"/>
    <n v="681"/>
    <s v="Виктор Л."/>
    <s v="Дмитрий Волков"/>
  </r>
  <r>
    <x v="5"/>
    <s v="Санкт-Петербург"/>
    <d v="2025-01-09T00:00:00"/>
    <x v="4"/>
    <s v="Капучино"/>
    <x v="1"/>
    <n v="3"/>
    <n v="597"/>
    <s v="Максим П."/>
    <s v="Дмитрий Волков"/>
  </r>
  <r>
    <x v="5"/>
    <s v="Санкт-Петербург"/>
    <d v="2025-04-04T00:00:00"/>
    <x v="11"/>
    <s v="Раф"/>
    <x v="1"/>
    <n v="1"/>
    <n v="273"/>
    <s v="Игорь С."/>
    <s v="Дмитрий Волков"/>
  </r>
  <r>
    <x v="5"/>
    <s v="Санкт-Петербург"/>
    <d v="2025-10-13T00:00:00"/>
    <x v="3"/>
    <s v="Какао"/>
    <x v="1"/>
    <n v="1"/>
    <n v="237"/>
    <s v="Игорь С."/>
    <s v="Дмитрий Волков"/>
  </r>
  <r>
    <x v="5"/>
    <s v="Санкт-Петербург"/>
    <d v="2025-05-01T00:00:00"/>
    <x v="10"/>
    <s v="Матча латте"/>
    <x v="1"/>
    <n v="1"/>
    <n v="245"/>
    <s v="Виктор Л."/>
    <s v="Дмитрий Волков"/>
  </r>
  <r>
    <x v="5"/>
    <s v="Санкт-Петербург"/>
    <d v="2025-06-06T00:00:00"/>
    <x v="7"/>
    <s v="Латте"/>
    <x v="1"/>
    <n v="1"/>
    <n v="257"/>
    <s v="Игорь С."/>
    <s v="Дмитрий Волков"/>
  </r>
  <r>
    <x v="5"/>
    <s v="Санкт-Петербург"/>
    <d v="2025-01-02T00:00:00"/>
    <x v="4"/>
    <s v="Латте"/>
    <x v="1"/>
    <n v="2"/>
    <n v="472"/>
    <s v="Игорь С."/>
    <s v="Дмитрий Волков"/>
  </r>
  <r>
    <x v="5"/>
    <s v="Санкт-Петербург"/>
    <d v="2025-11-21T00:00:00"/>
    <x v="8"/>
    <s v="Раф"/>
    <x v="1"/>
    <n v="1"/>
    <n v="257"/>
    <s v="Максим П."/>
    <s v="Дмитрий Волков"/>
  </r>
  <r>
    <x v="5"/>
    <s v="Санкт-Петербург"/>
    <d v="2025-04-01T00:00:00"/>
    <x v="11"/>
    <s v="Салат Цезарь"/>
    <x v="2"/>
    <n v="1"/>
    <n v="371"/>
    <s v="Игорь С."/>
    <s v="Дмитрий Волков"/>
  </r>
  <r>
    <x v="5"/>
    <s v="Санкт-Петербург"/>
    <d v="2025-11-09T00:00:00"/>
    <x v="8"/>
    <s v="Синнабон"/>
    <x v="0"/>
    <n v="3"/>
    <n v="684"/>
    <s v="Елена В."/>
    <s v="Дмитрий Волков"/>
  </r>
  <r>
    <x v="5"/>
    <s v="Санкт-Петербург"/>
    <d v="2025-09-26T00:00:00"/>
    <x v="1"/>
    <s v="Чизкейк"/>
    <x v="0"/>
    <n v="2"/>
    <n v="468"/>
    <s v="Игорь С."/>
    <s v="Дмитрий Волков"/>
  </r>
  <r>
    <x v="5"/>
    <s v="Санкт-Петербург"/>
    <d v="2025-04-19T00:00:00"/>
    <x v="11"/>
    <s v="Капучино"/>
    <x v="1"/>
    <n v="3"/>
    <n v="651"/>
    <s v="Наталья Р."/>
    <s v="Дмитрий Волков"/>
  </r>
  <r>
    <x v="5"/>
    <s v="Санкт-Петербург"/>
    <d v="2025-08-10T00:00:00"/>
    <x v="9"/>
    <s v="Сэндвич"/>
    <x v="2"/>
    <n v="1"/>
    <n v="292"/>
    <s v="Наталья Р."/>
    <s v="Дмитрий Волков"/>
  </r>
  <r>
    <x v="5"/>
    <s v="Санкт-Петербург"/>
    <d v="2025-01-17T00:00:00"/>
    <x v="4"/>
    <s v="Латте"/>
    <x v="1"/>
    <n v="2"/>
    <n v="458"/>
    <s v="Елена В."/>
    <s v="Дмитрий Волков"/>
  </r>
  <r>
    <x v="5"/>
    <s v="Санкт-Петербург"/>
    <d v="2025-09-07T00:00:00"/>
    <x v="1"/>
    <s v="Американо"/>
    <x v="1"/>
    <n v="1"/>
    <n v="146"/>
    <s v="Наталья Р."/>
    <s v="Дмитрий Волков"/>
  </r>
  <r>
    <x v="5"/>
    <s v="Санкт-Петербург"/>
    <d v="2025-08-19T00:00:00"/>
    <x v="9"/>
    <s v="Круассан"/>
    <x v="0"/>
    <n v="1"/>
    <n v="171"/>
    <s v="Наталья Р."/>
    <s v="Дмитрий Волков"/>
  </r>
  <r>
    <x v="5"/>
    <s v="Санкт-Петербург"/>
    <d v="2025-05-15T00:00:00"/>
    <x v="10"/>
    <s v="Салат Цезарь"/>
    <x v="2"/>
    <n v="1"/>
    <n v="388"/>
    <s v="Игорь С."/>
    <s v="Дмитрий Волков"/>
  </r>
  <r>
    <x v="5"/>
    <s v="Санкт-Петербург"/>
    <d v="2025-09-25T00:00:00"/>
    <x v="1"/>
    <s v="Чизкейк"/>
    <x v="0"/>
    <n v="1"/>
    <n v="277"/>
    <s v="Виктор Л."/>
    <s v="Дмитрий Волков"/>
  </r>
  <r>
    <x v="5"/>
    <s v="Санкт-Петербург"/>
    <d v="2025-09-03T00:00:00"/>
    <x v="1"/>
    <s v="Круассан"/>
    <x v="0"/>
    <n v="2"/>
    <n v="374"/>
    <s v="Анна К."/>
    <s v="Дмитрий Волков"/>
  </r>
  <r>
    <x v="5"/>
    <s v="Санкт-Петербург"/>
    <d v="2025-11-07T00:00:00"/>
    <x v="8"/>
    <s v="Салат Цезарь"/>
    <x v="2"/>
    <n v="3"/>
    <n v="1035"/>
    <s v="Максим П."/>
    <s v="Дмитрий Волков"/>
  </r>
  <r>
    <x v="5"/>
    <s v="Санкт-Петербург"/>
    <d v="2025-11-21T00:00:00"/>
    <x v="8"/>
    <s v="Синнабон"/>
    <x v="0"/>
    <n v="2"/>
    <n v="452"/>
    <s v="Наталья Р."/>
    <s v="Дмитрий Волков"/>
  </r>
  <r>
    <x v="5"/>
    <s v="Санкт-Петербург"/>
    <d v="2025-03-15T00:00:00"/>
    <x v="6"/>
    <s v="Круассан"/>
    <x v="0"/>
    <n v="1"/>
    <n v="176"/>
    <s v="Игорь С."/>
    <s v="Дмитрий Волков"/>
  </r>
  <r>
    <x v="5"/>
    <s v="Санкт-Петербург"/>
    <d v="2025-02-06T00:00:00"/>
    <x v="2"/>
    <s v="Какао"/>
    <x v="1"/>
    <n v="2"/>
    <n v="394"/>
    <s v="Наталья Р."/>
    <s v="Дмитрий Волков"/>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084E1-C7B6-47AE-8530-D4BF65B7F463}"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Месяц">
  <location ref="N3:O16" firstHeaderRow="1" firstDataRow="1" firstDataCol="1"/>
  <pivotFields count="10">
    <pivotField showAll="0">
      <items count="7">
        <item x="0"/>
        <item x="1"/>
        <item x="2"/>
        <item x="3"/>
        <item x="4"/>
        <item x="5"/>
        <item t="default"/>
      </items>
    </pivotField>
    <pivotField showAll="0"/>
    <pivotField numFmtId="14" showAll="0"/>
    <pivotField axis="axisRow" showAll="0">
      <items count="13">
        <item x="9"/>
        <item x="11"/>
        <item x="0"/>
        <item x="5"/>
        <item x="7"/>
        <item x="10"/>
        <item x="6"/>
        <item x="8"/>
        <item x="3"/>
        <item x="1"/>
        <item x="2"/>
        <item x="4"/>
        <item t="default"/>
      </items>
    </pivotField>
    <pivotField showAll="0"/>
    <pivotField showAll="0">
      <items count="4">
        <item x="0"/>
        <item x="2"/>
        <item x="1"/>
        <item t="default"/>
      </items>
    </pivotField>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Выручка, руб"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D1C631-E9DB-41A6-A597-DF7627C675AC}"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Город / Категория">
  <location ref="A3:B28" firstHeaderRow="1" firstDataRow="1" firstDataCol="1"/>
  <pivotFields count="10">
    <pivotField axis="axisRow" showAll="0">
      <items count="7">
        <item x="0"/>
        <item x="1"/>
        <item x="2"/>
        <item x="3"/>
        <item x="4"/>
        <item x="5"/>
        <item t="default"/>
      </items>
    </pivotField>
    <pivotField showAll="0"/>
    <pivotField numFmtId="14" showAll="0"/>
    <pivotField showAll="0">
      <items count="13">
        <item x="9"/>
        <item x="11"/>
        <item x="0"/>
        <item x="5"/>
        <item x="7"/>
        <item x="10"/>
        <item x="6"/>
        <item x="8"/>
        <item x="3"/>
        <item x="1"/>
        <item x="2"/>
        <item x="4"/>
        <item t="default"/>
      </items>
    </pivotField>
    <pivotField showAll="0"/>
    <pivotField axis="axisRow" showAll="0">
      <items count="4">
        <item x="0"/>
        <item x="2"/>
        <item x="1"/>
        <item t="default"/>
      </items>
    </pivotField>
    <pivotField showAll="0"/>
    <pivotField dataField="1" showAll="0"/>
    <pivotField showAll="0"/>
    <pivotField showAll="0"/>
  </pivotFields>
  <rowFields count="2">
    <field x="0"/>
    <field x="5"/>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Выручка, руб"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4B7793-7CCE-4019-A718-FC310686FEA6}" autoFormatId="16" applyNumberFormats="0" applyBorderFormats="0" applyFontFormats="0" applyPatternFormats="0" applyAlignmentFormats="0" applyWidthHeightFormats="0">
  <queryTableRefresh nextId="12" unboundColumnsLeft="1" unboundColumnsRight="1">
    <queryTableFields count="10">
      <queryTableField id="9" dataBound="0" tableColumnId="9"/>
      <queryTableField id="1" name="Филиал" tableColumnId="1"/>
      <queryTableField id="2" name="Дата" tableColumnId="2"/>
      <queryTableField id="10" dataBound="0" tableColumnId="11"/>
      <queryTableField id="3" name="Товар" tableColumnId="3"/>
      <queryTableField id="4" name="Категория" tableColumnId="4"/>
      <queryTableField id="5" name="Кол-во" tableColumnId="5"/>
      <queryTableField id="6" name="Сумма" tableColumnId="6"/>
      <queryTableField id="7" name="Кассир"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Город" xr10:uid="{115A5475-A1C8-484B-9066-C2555C9170D1}" sourceName="Город">
  <pivotTables>
    <pivotTable tabId="4" name="PivotTable1"/>
    <pivotTable tabId="4" name="PivotTable2"/>
  </pivotTables>
  <data>
    <tabular pivotCacheId="588893726">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_Год" xr10:uid="{D68FC70E-C17B-461E-BBA3-B57CDEF4951D}" sourceName="Месяц/Год">
  <pivotTables>
    <pivotTable tabId="4" name="PivotTable1"/>
    <pivotTable tabId="4" name="PivotTable2"/>
  </pivotTables>
  <data>
    <tabular pivotCacheId="588893726">
      <items count="12">
        <i x="9" s="1"/>
        <i x="11" s="1"/>
        <i x="0" s="1"/>
        <i x="5" s="1"/>
        <i x="7" s="1"/>
        <i x="10" s="1"/>
        <i x="6" s="1"/>
        <i x="8"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Категория" xr10:uid="{2B68DEAD-0781-42F4-A00D-BC3B2008E47B}" sourceName="Категория">
  <pivotTables>
    <pivotTable tabId="4" name="PivotTable1"/>
    <pivotTable tabId="4" name="PivotTable2"/>
  </pivotTables>
  <data>
    <tabular pivotCacheId="5888937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Город" xr10:uid="{04783584-CA81-4145-8644-81E1A1EFD163}" cache="Slicer_Город" caption="Город" rowHeight="234950"/>
  <slicer name="Месяц/Год" xr10:uid="{40DFDED1-38BA-4C41-BED0-AB10AEEADD3F}" cache="Slicer_Месяц_Год" caption="Месяц/Год" rowHeight="234950"/>
  <slicer name="Категория" xr10:uid="{0ECB9CCA-328D-4463-8EA8-B7237F62FE96}" cache="Slicer_Категория" caption="Категория"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6F1330-6349-4A7A-B482-5687827C8514}" name="branches" displayName="branches" ref="A1:J3265" tableType="queryTable" totalsRowShown="0">
  <autoFilter ref="A1:J3265" xr:uid="{EB6F1330-6349-4A7A-B482-5687827C8514}"/>
  <tableColumns count="10">
    <tableColumn id="9" xr3:uid="{F6DC9492-E8CE-45E7-A848-B9EDFA865142}" uniqueName="9" name="Город" queryTableFieldId="9" dataDxfId="9">
      <calculatedColumnFormula>_xlfn.XLOOKUP(branches[[#This Row],[Филиал]], tbl_Filialy[Филиал], tbl_Filialy[Город])</calculatedColumnFormula>
    </tableColumn>
    <tableColumn id="1" xr3:uid="{152E7205-BEBB-4DC6-8583-233C5EB00DE0}" uniqueName="1" name="Филиал" queryTableFieldId="1" dataDxfId="8"/>
    <tableColumn id="2" xr3:uid="{58A9A9C2-FFD1-4505-ACD2-60E0B5C1B3EB}" uniqueName="2" name="Дата" queryTableFieldId="2" dataDxfId="7"/>
    <tableColumn id="11" xr3:uid="{8A466C63-44D4-4202-BCC4-83EAD036BCC9}" uniqueName="11" name="Месяц/Год" queryTableFieldId="10" dataDxfId="6">
      <calculatedColumnFormula>CHOOSE(MONTH(branches[[#This Row],[Дата]]),"Январь","Февраль","Март","Апрель","Май","Июнь","Июль","Август","Сентябрь","Октябрь","Ноябрь","Декабрь")&amp;" "&amp;YEAR(branches[[#This Row],[Дата]])</calculatedColumnFormula>
    </tableColumn>
    <tableColumn id="3" xr3:uid="{227C0E44-30F3-408D-8F07-B9B402570C86}" uniqueName="3" name="Товар" queryTableFieldId="3"/>
    <tableColumn id="4" xr3:uid="{9ACE7614-F35E-434D-99FA-61755205BFAF}" uniqueName="4" name="Категория" queryTableFieldId="4"/>
    <tableColumn id="5" xr3:uid="{B1E2B499-F641-4881-90A1-49629478F347}" uniqueName="5" name="Кол-во" queryTableFieldId="5"/>
    <tableColumn id="6" xr3:uid="{1A137213-9ED0-44B4-9C57-77A67BB53ABF}" uniqueName="6" name="Сумма" queryTableFieldId="6"/>
    <tableColumn id="7" xr3:uid="{6A9E94B7-2404-4629-8283-479FCC3ADD5A}" uniqueName="7" name="Кассир" queryTableFieldId="7"/>
    <tableColumn id="8" xr3:uid="{1D596A7C-73DE-433B-B7B8-5DE6DEA7357F}" uniqueName="8" name="Менеджер" queryTableFieldId="8" dataDxfId="5">
      <calculatedColumnFormula>_xlfn.XLOOKUP(branches[[#This Row],[Филиал]], tbl_Filialy[Филиал], tbl_Filialy[Менеджер])</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318775-0F4B-4D59-83E4-545C89566A55}" name="tbl_Filialy" displayName="tbl_Filialy" ref="A1:E7" totalsRowShown="0" headerRowDxfId="4">
  <autoFilter ref="A1:E7" xr:uid="{D5318775-0F4B-4D59-83E4-545C89566A55}"/>
  <tableColumns count="5">
    <tableColumn id="1" xr3:uid="{54CAE31D-9E59-4647-805A-DAB8D5D6CD53}" name="Филиал"/>
    <tableColumn id="2" xr3:uid="{79F535F1-172E-43C9-8F67-B6D35FD8CDEA}" name="Город"/>
    <tableColumn id="3" xr3:uid="{F7A1AEED-AB37-48EB-B470-A6ADFB1BE3EA}" name="Менеджер"/>
    <tableColumn id="4" xr3:uid="{FCAC30CE-4737-4C7D-8613-D016F160B18D}" name="Дата открытия" dataDxfId="3"/>
    <tableColumn id="5" xr3:uid="{2E9BBB80-6314-4B93-87BC-073B8F787D78}" name="Площадь, кв.м"/>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F4D35B-9085-4081-A0D3-B847C95934D7}" name="tbl_Plan" displayName="tbl_Plan" ref="A1:E73" totalsRowShown="0" headerRowDxfId="2">
  <autoFilter ref="A1:E73" xr:uid="{AAF4D35B-9085-4081-A0D3-B847C95934D7}"/>
  <tableColumns count="5">
    <tableColumn id="1" xr3:uid="{811071A2-2B7D-49D4-BF93-4FD958C47CC4}" name="Филиал"/>
    <tableColumn id="2" xr3:uid="{F5070951-AE78-4DF9-85F0-35B140CACDEF}" name="Месяц"/>
    <tableColumn id="3" xr3:uid="{FDF0F45F-C525-4B52-9E43-39B318FBC78E}" name="План продаж, руб"/>
    <tableColumn id="4" xr3:uid="{238AF908-9358-49EF-BBDE-CBB426402610}" name="Факт, руб" dataDxfId="1">
      <calculatedColumnFormula>SUMIFS(branches[Сумма], branches[Филиал], tbl_Plan[[#This Row],[Филиал]], branches[Месяц/Год], tbl_Plan[[#This Row],[Месяц]])</calculatedColumnFormula>
    </tableColumn>
    <tableColumn id="5" xr3:uid="{5F4026CB-C806-4025-9A69-8FB76B1C1237}" name="% выполнения" dataDxfId="0">
      <calculatedColumnFormula>tbl_Plan[[#This Row],[Факт, руб]]/tbl_Plan[[#This Row],[План продаж, руб]]</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B5FA-5A93-4FA6-8493-E78ECAAF90E7}">
  <dimension ref="A1:J3265"/>
  <sheetViews>
    <sheetView workbookViewId="0">
      <selection activeCell="D12" sqref="D12"/>
    </sheetView>
  </sheetViews>
  <sheetFormatPr defaultColWidth="12.88671875" defaultRowHeight="14.4" x14ac:dyDescent="0.3"/>
  <cols>
    <col min="1" max="2" width="15.33203125" bestFit="1" customWidth="1"/>
    <col min="3" max="3" width="10.5546875" bestFit="1" customWidth="1"/>
    <col min="4" max="4" width="13.5546875" bestFit="1" customWidth="1"/>
    <col min="5" max="5" width="12.44140625" bestFit="1" customWidth="1"/>
    <col min="6" max="6" width="12.109375" bestFit="1" customWidth="1"/>
    <col min="7" max="8" width="9.21875" bestFit="1" customWidth="1"/>
    <col min="9" max="9" width="11.6640625" bestFit="1" customWidth="1"/>
    <col min="10" max="10" width="18.109375" bestFit="1" customWidth="1"/>
  </cols>
  <sheetData>
    <row r="1" spans="1:10" x14ac:dyDescent="0.3">
      <c r="A1" t="s">
        <v>39</v>
      </c>
      <c r="B1" t="s">
        <v>0</v>
      </c>
      <c r="C1" t="s">
        <v>1</v>
      </c>
      <c r="D1" t="s">
        <v>63</v>
      </c>
      <c r="E1" t="s">
        <v>2</v>
      </c>
      <c r="F1" t="s">
        <v>3</v>
      </c>
      <c r="G1" t="s">
        <v>4</v>
      </c>
      <c r="H1" t="s">
        <v>5</v>
      </c>
      <c r="I1" t="s">
        <v>6</v>
      </c>
      <c r="J1" t="s">
        <v>40</v>
      </c>
    </row>
    <row r="2" spans="1:10" x14ac:dyDescent="0.3">
      <c r="A2" t="str">
        <f>_xlfn.XLOOKUP(branches[[#This Row],[Филиал]], tbl_Filialy[Филиал], tbl_Filialy[Город])</f>
        <v>Екатеринбург</v>
      </c>
      <c r="B2" s="1" t="s">
        <v>7</v>
      </c>
      <c r="C2" s="2">
        <v>46014</v>
      </c>
      <c r="D2" s="2" t="str">
        <f>CHOOSE(MONTH(branches[[#This Row],[Дата]]),"Январь","Февраль","Март","Апрель","Май","Июнь","Июль","Август","Сентябрь","Октябрь","Ноябрь","Декабрь")&amp;" "&amp;YEAR(branches[[#This Row],[Дата]])</f>
        <v>Декабрь 2025</v>
      </c>
      <c r="E2" t="s">
        <v>8</v>
      </c>
      <c r="F2" t="s">
        <v>9</v>
      </c>
      <c r="G2">
        <v>1</v>
      </c>
      <c r="H2">
        <v>225</v>
      </c>
      <c r="I2" t="s">
        <v>10</v>
      </c>
      <c r="J2" t="str">
        <f>_xlfn.XLOOKUP(branches[[#This Row],[Филиал]], tbl_Filialy[Филиал], tbl_Filialy[Менеджер])</f>
        <v>Сергей Мельников</v>
      </c>
    </row>
    <row r="3" spans="1:10" x14ac:dyDescent="0.3">
      <c r="A3" t="str">
        <f>_xlfn.XLOOKUP(branches[[#This Row],[Филиал]], tbl_Filialy[Филиал], tbl_Filialy[Город])</f>
        <v>Екатеринбург</v>
      </c>
      <c r="B3" s="1" t="s">
        <v>7</v>
      </c>
      <c r="C3" s="2">
        <v>45904</v>
      </c>
      <c r="D3" s="2" t="str">
        <f>CHOOSE(MONTH(branches[[#This Row],[Дата]]),"Январь","Февраль","Март","Апрель","Май","Июнь","Июль","Август","Сентябрь","Октябрь","Ноябрь","Декабрь")&amp;" "&amp;YEAR(branches[[#This Row],[Дата]])</f>
        <v>Сентябрь 2025</v>
      </c>
      <c r="E3" t="s">
        <v>11</v>
      </c>
      <c r="F3" t="s">
        <v>12</v>
      </c>
      <c r="G3">
        <v>2</v>
      </c>
      <c r="H3">
        <v>330</v>
      </c>
      <c r="I3" t="s">
        <v>13</v>
      </c>
      <c r="J3" t="str">
        <f>_xlfn.XLOOKUP(branches[[#This Row],[Филиал]], tbl_Filialy[Филиал], tbl_Filialy[Менеджер])</f>
        <v>Сергей Мельников</v>
      </c>
    </row>
    <row r="4" spans="1:10" x14ac:dyDescent="0.3">
      <c r="A4" t="str">
        <f>_xlfn.XLOOKUP(branches[[#This Row],[Филиал]], tbl_Filialy[Филиал], tbl_Filialy[Город])</f>
        <v>Екатеринбург</v>
      </c>
      <c r="B4" s="1" t="s">
        <v>7</v>
      </c>
      <c r="C4" s="2">
        <v>45901</v>
      </c>
      <c r="D4" s="2" t="str">
        <f>CHOOSE(MONTH(branches[[#This Row],[Дата]]),"Январь","Февраль","Март","Апрель","Май","Июнь","Июль","Август","Сентябрь","Октябрь","Ноябрь","Декабрь")&amp;" "&amp;YEAR(branches[[#This Row],[Дата]])</f>
        <v>Сентябрь 2025</v>
      </c>
      <c r="E4" t="s">
        <v>14</v>
      </c>
      <c r="F4" t="s">
        <v>12</v>
      </c>
      <c r="G4">
        <v>2</v>
      </c>
      <c r="H4">
        <v>552</v>
      </c>
      <c r="I4" t="s">
        <v>15</v>
      </c>
      <c r="J4" t="str">
        <f>_xlfn.XLOOKUP(branches[[#This Row],[Филиал]], tbl_Filialy[Филиал], tbl_Filialy[Менеджер])</f>
        <v>Сергей Мельников</v>
      </c>
    </row>
    <row r="5" spans="1:10" x14ac:dyDescent="0.3">
      <c r="A5" t="str">
        <f>_xlfn.XLOOKUP(branches[[#This Row],[Филиал]], tbl_Filialy[Филиал], tbl_Filialy[Город])</f>
        <v>Екатеринбург</v>
      </c>
      <c r="B5" s="1" t="s">
        <v>7</v>
      </c>
      <c r="C5" s="2">
        <v>45691</v>
      </c>
      <c r="D5" s="2" t="str">
        <f>CHOOSE(MONTH(branches[[#This Row],[Дата]]),"Январь","Февраль","Март","Апрель","Май","Июнь","Июль","Август","Сентябрь","Октябрь","Ноябрь","Декабрь")&amp;" "&amp;YEAR(branches[[#This Row],[Дата]])</f>
        <v>Февраль 2025</v>
      </c>
      <c r="E5" t="s">
        <v>16</v>
      </c>
      <c r="F5" t="s">
        <v>17</v>
      </c>
      <c r="G5">
        <v>3</v>
      </c>
      <c r="H5">
        <v>1026</v>
      </c>
      <c r="I5" t="s">
        <v>13</v>
      </c>
      <c r="J5" t="str">
        <f>_xlfn.XLOOKUP(branches[[#This Row],[Филиал]], tbl_Filialy[Филиал], tbl_Filialy[Менеджер])</f>
        <v>Сергей Мельников</v>
      </c>
    </row>
    <row r="6" spans="1:10" x14ac:dyDescent="0.3">
      <c r="A6" t="str">
        <f>_xlfn.XLOOKUP(branches[[#This Row],[Филиал]], tbl_Filialy[Филиал], tbl_Filialy[Город])</f>
        <v>Екатеринбург</v>
      </c>
      <c r="B6" s="1" t="s">
        <v>7</v>
      </c>
      <c r="C6" s="2">
        <v>45934</v>
      </c>
      <c r="D6" s="2" t="str">
        <f>CHOOSE(MONTH(branches[[#This Row],[Дата]]),"Январь","Февраль","Март","Апрель","Май","Июнь","Июль","Август","Сентябрь","Октябрь","Ноябрь","Декабрь")&amp;" "&amp;YEAR(branches[[#This Row],[Дата]])</f>
        <v>Октябрь 2025</v>
      </c>
      <c r="E6" t="s">
        <v>18</v>
      </c>
      <c r="F6" t="s">
        <v>12</v>
      </c>
      <c r="G6">
        <v>2</v>
      </c>
      <c r="H6">
        <v>266</v>
      </c>
      <c r="I6" t="s">
        <v>19</v>
      </c>
      <c r="J6" t="str">
        <f>_xlfn.XLOOKUP(branches[[#This Row],[Филиал]], tbl_Filialy[Филиал], tbl_Filialy[Менеджер])</f>
        <v>Сергей Мельников</v>
      </c>
    </row>
    <row r="7" spans="1:10" x14ac:dyDescent="0.3">
      <c r="A7" t="str">
        <f>_xlfn.XLOOKUP(branches[[#This Row],[Филиал]], tbl_Filialy[Филиал], tbl_Filialy[Город])</f>
        <v>Екатеринбург</v>
      </c>
      <c r="B7" s="1" t="s">
        <v>7</v>
      </c>
      <c r="C7" s="2">
        <v>45680</v>
      </c>
      <c r="D7" s="2" t="str">
        <f>CHOOSE(MONTH(branches[[#This Row],[Дата]]),"Январь","Февраль","Март","Апрель","Май","Июнь","Июль","Август","Сентябрь","Октябрь","Ноябрь","Декабрь")&amp;" "&amp;YEAR(branches[[#This Row],[Дата]])</f>
        <v>Январь 2025</v>
      </c>
      <c r="E7" t="s">
        <v>20</v>
      </c>
      <c r="F7" t="s">
        <v>12</v>
      </c>
      <c r="G7">
        <v>3</v>
      </c>
      <c r="H7">
        <v>744</v>
      </c>
      <c r="I7" t="s">
        <v>13</v>
      </c>
      <c r="J7" t="str">
        <f>_xlfn.XLOOKUP(branches[[#This Row],[Филиал]], tbl_Filialy[Филиал], tbl_Filialy[Менеджер])</f>
        <v>Сергей Мельников</v>
      </c>
    </row>
    <row r="8" spans="1:10" x14ac:dyDescent="0.3">
      <c r="A8" t="str">
        <f>_xlfn.XLOOKUP(branches[[#This Row],[Филиал]], tbl_Filialy[Филиал], tbl_Filialy[Город])</f>
        <v>Екатеринбург</v>
      </c>
      <c r="B8" s="1" t="s">
        <v>7</v>
      </c>
      <c r="C8" s="2">
        <v>45847</v>
      </c>
      <c r="D8" s="2" t="str">
        <f>CHOOSE(MONTH(branches[[#This Row],[Дата]]),"Январь","Февраль","Март","Апрель","Май","Июнь","Июль","Август","Сентябрь","Октябрь","Ноябрь","Декабрь")&amp;" "&amp;YEAR(branches[[#This Row],[Дата]])</f>
        <v>Июль 2025</v>
      </c>
      <c r="E8" t="s">
        <v>8</v>
      </c>
      <c r="F8" t="s">
        <v>9</v>
      </c>
      <c r="G8">
        <v>3</v>
      </c>
      <c r="H8">
        <v>819</v>
      </c>
      <c r="I8" t="s">
        <v>19</v>
      </c>
      <c r="J8" t="str">
        <f>_xlfn.XLOOKUP(branches[[#This Row],[Филиал]], tbl_Filialy[Филиал], tbl_Filialy[Менеджер])</f>
        <v>Сергей Мельников</v>
      </c>
    </row>
    <row r="9" spans="1:10" x14ac:dyDescent="0.3">
      <c r="A9" t="str">
        <f>_xlfn.XLOOKUP(branches[[#This Row],[Филиал]], tbl_Filialy[Филиал], tbl_Filialy[Город])</f>
        <v>Екатеринбург</v>
      </c>
      <c r="B9" s="1" t="s">
        <v>7</v>
      </c>
      <c r="C9" s="2">
        <v>45914</v>
      </c>
      <c r="D9" s="2" t="str">
        <f>CHOOSE(MONTH(branches[[#This Row],[Дата]]),"Январь","Февраль","Март","Апрель","Май","Июнь","Июль","Август","Сентябрь","Октябрь","Ноябрь","Декабрь")&amp;" "&amp;YEAR(branches[[#This Row],[Дата]])</f>
        <v>Сентябрь 2025</v>
      </c>
      <c r="E9" t="s">
        <v>20</v>
      </c>
      <c r="F9" t="s">
        <v>12</v>
      </c>
      <c r="G9">
        <v>2</v>
      </c>
      <c r="H9">
        <v>530</v>
      </c>
      <c r="I9" t="s">
        <v>21</v>
      </c>
      <c r="J9" t="str">
        <f>_xlfn.XLOOKUP(branches[[#This Row],[Филиал]], tbl_Filialy[Филиал], tbl_Filialy[Менеджер])</f>
        <v>Сергей Мельников</v>
      </c>
    </row>
    <row r="10" spans="1:10" x14ac:dyDescent="0.3">
      <c r="A10" t="str">
        <f>_xlfn.XLOOKUP(branches[[#This Row],[Филиал]], tbl_Filialy[Филиал], tbl_Filialy[Город])</f>
        <v>Екатеринбург</v>
      </c>
      <c r="B10" s="1" t="s">
        <v>7</v>
      </c>
      <c r="C10" s="2">
        <v>45719</v>
      </c>
      <c r="D10" s="2" t="str">
        <f>CHOOSE(MONTH(branches[[#This Row],[Дата]]),"Январь","Февраль","Март","Апрель","Май","Июнь","Июль","Август","Сентябрь","Октябрь","Ноябрь","Декабрь")&amp;" "&amp;YEAR(branches[[#This Row],[Дата]])</f>
        <v>Март 2025</v>
      </c>
      <c r="E10" t="s">
        <v>11</v>
      </c>
      <c r="F10" t="s">
        <v>12</v>
      </c>
      <c r="G10">
        <v>2</v>
      </c>
      <c r="H10">
        <v>316</v>
      </c>
      <c r="I10" t="s">
        <v>13</v>
      </c>
      <c r="J10" t="str">
        <f>_xlfn.XLOOKUP(branches[[#This Row],[Филиал]], tbl_Filialy[Филиал], tbl_Filialy[Менеджер])</f>
        <v>Сергей Мельников</v>
      </c>
    </row>
    <row r="11" spans="1:10" x14ac:dyDescent="0.3">
      <c r="A11" t="str">
        <f>_xlfn.XLOOKUP(branches[[#This Row],[Филиал]], tbl_Filialy[Филиал], tbl_Filialy[Город])</f>
        <v>Екатеринбург</v>
      </c>
      <c r="B11" s="1" t="s">
        <v>7</v>
      </c>
      <c r="C11" s="2">
        <v>45713</v>
      </c>
      <c r="D11" s="2" t="str">
        <f>CHOOSE(MONTH(branches[[#This Row],[Дата]]),"Январь","Февраль","Март","Апрель","Май","Июнь","Июль","Август","Сентябрь","Октябрь","Ноябрь","Декабрь")&amp;" "&amp;YEAR(branches[[#This Row],[Дата]])</f>
        <v>Февраль 2025</v>
      </c>
      <c r="E11" t="s">
        <v>16</v>
      </c>
      <c r="F11" t="s">
        <v>17</v>
      </c>
      <c r="G11">
        <v>2</v>
      </c>
      <c r="H11">
        <v>648</v>
      </c>
      <c r="I11" t="s">
        <v>15</v>
      </c>
      <c r="J11" t="str">
        <f>_xlfn.XLOOKUP(branches[[#This Row],[Филиал]], tbl_Filialy[Филиал], tbl_Filialy[Менеджер])</f>
        <v>Сергей Мельников</v>
      </c>
    </row>
    <row r="12" spans="1:10" x14ac:dyDescent="0.3">
      <c r="A12" t="str">
        <f>_xlfn.XLOOKUP(branches[[#This Row],[Филиал]], tbl_Filialy[Филиал], tbl_Filialy[Город])</f>
        <v>Екатеринбург</v>
      </c>
      <c r="B12" s="1" t="s">
        <v>7</v>
      </c>
      <c r="C12" s="2">
        <v>45720</v>
      </c>
      <c r="D12" s="2" t="str">
        <f>CHOOSE(MONTH(branches[[#This Row],[Дата]]),"Январь","Февраль","Март","Апрель","Май","Июнь","Июль","Август","Сентябрь","Октябрь","Ноябрь","Декабрь")&amp;" "&amp;YEAR(branches[[#This Row],[Дата]])</f>
        <v>Март 2025</v>
      </c>
      <c r="E12" t="s">
        <v>22</v>
      </c>
      <c r="F12" t="s">
        <v>9</v>
      </c>
      <c r="G12">
        <v>1</v>
      </c>
      <c r="H12">
        <v>160</v>
      </c>
      <c r="I12" t="s">
        <v>23</v>
      </c>
      <c r="J12" t="str">
        <f>_xlfn.XLOOKUP(branches[[#This Row],[Филиал]], tbl_Filialy[Филиал], tbl_Filialy[Менеджер])</f>
        <v>Сергей Мельников</v>
      </c>
    </row>
    <row r="13" spans="1:10" x14ac:dyDescent="0.3">
      <c r="A13" t="str">
        <f>_xlfn.XLOOKUP(branches[[#This Row],[Филиал]], tbl_Filialy[Филиал], tbl_Filialy[Город])</f>
        <v>Екатеринбург</v>
      </c>
      <c r="B13" s="1" t="s">
        <v>7</v>
      </c>
      <c r="C13" s="2">
        <v>45676</v>
      </c>
      <c r="D13" s="2" t="str">
        <f>CHOOSE(MONTH(branches[[#This Row],[Дата]]),"Январь","Февраль","Март","Апрель","Май","Июнь","Июль","Август","Сентябрь","Октябрь","Ноябрь","Декабрь")&amp;" "&amp;YEAR(branches[[#This Row],[Дата]])</f>
        <v>Январь 2025</v>
      </c>
      <c r="E13" t="s">
        <v>14</v>
      </c>
      <c r="F13" t="s">
        <v>12</v>
      </c>
      <c r="G13">
        <v>1</v>
      </c>
      <c r="H13">
        <v>268</v>
      </c>
      <c r="I13" t="s">
        <v>13</v>
      </c>
      <c r="J13" t="str">
        <f>_xlfn.XLOOKUP(branches[[#This Row],[Филиал]], tbl_Filialy[Филиал], tbl_Filialy[Менеджер])</f>
        <v>Сергей Мельников</v>
      </c>
    </row>
    <row r="14" spans="1:10" x14ac:dyDescent="0.3">
      <c r="A14" t="str">
        <f>_xlfn.XLOOKUP(branches[[#This Row],[Филиал]], tbl_Filialy[Филиал], tbl_Filialy[Город])</f>
        <v>Екатеринбург</v>
      </c>
      <c r="B14" s="1" t="s">
        <v>7</v>
      </c>
      <c r="C14" s="2">
        <v>46010</v>
      </c>
      <c r="D14" s="2" t="str">
        <f>CHOOSE(MONTH(branches[[#This Row],[Дата]]),"Январь","Февраль","Март","Апрель","Май","Июнь","Июль","Август","Сентябрь","Октябрь","Ноябрь","Декабрь")&amp;" "&amp;YEAR(branches[[#This Row],[Дата]])</f>
        <v>Декабрь 2025</v>
      </c>
      <c r="E14" t="s">
        <v>24</v>
      </c>
      <c r="F14" t="s">
        <v>17</v>
      </c>
      <c r="G14">
        <v>1</v>
      </c>
      <c r="H14">
        <v>390</v>
      </c>
      <c r="I14" t="s">
        <v>23</v>
      </c>
      <c r="J14" t="str">
        <f>_xlfn.XLOOKUP(branches[[#This Row],[Филиал]], tbl_Filialy[Филиал], tbl_Filialy[Менеджер])</f>
        <v>Сергей Мельников</v>
      </c>
    </row>
    <row r="15" spans="1:10" x14ac:dyDescent="0.3">
      <c r="A15" t="str">
        <f>_xlfn.XLOOKUP(branches[[#This Row],[Филиал]], tbl_Filialy[Филиал], tbl_Filialy[Город])</f>
        <v>Екатеринбург</v>
      </c>
      <c r="B15" s="1" t="s">
        <v>7</v>
      </c>
      <c r="C15" s="2">
        <v>45827</v>
      </c>
      <c r="D15" s="2" t="str">
        <f>CHOOSE(MONTH(branches[[#This Row],[Дата]]),"Январь","Февраль","Март","Апрель","Май","Июнь","Июль","Август","Сентябрь","Октябрь","Ноябрь","Декабрь")&amp;" "&amp;YEAR(branches[[#This Row],[Дата]])</f>
        <v>Июнь 2025</v>
      </c>
      <c r="E15" t="s">
        <v>18</v>
      </c>
      <c r="F15" t="s">
        <v>12</v>
      </c>
      <c r="G15">
        <v>2</v>
      </c>
      <c r="H15">
        <v>250</v>
      </c>
      <c r="I15" t="s">
        <v>13</v>
      </c>
      <c r="J15" t="str">
        <f>_xlfn.XLOOKUP(branches[[#This Row],[Филиал]], tbl_Filialy[Филиал], tbl_Filialy[Менеджер])</f>
        <v>Сергей Мельников</v>
      </c>
    </row>
    <row r="16" spans="1:10" x14ac:dyDescent="0.3">
      <c r="A16" t="str">
        <f>_xlfn.XLOOKUP(branches[[#This Row],[Филиал]], tbl_Filialy[Филиал], tbl_Filialy[Город])</f>
        <v>Екатеринбург</v>
      </c>
      <c r="B16" s="1" t="s">
        <v>7</v>
      </c>
      <c r="C16" s="2">
        <v>45715</v>
      </c>
      <c r="D16" s="2" t="str">
        <f>CHOOSE(MONTH(branches[[#This Row],[Дата]]),"Январь","Февраль","Март","Апрель","Май","Июнь","Июль","Август","Сентябрь","Октябрь","Ноябрь","Декабрь")&amp;" "&amp;YEAR(branches[[#This Row],[Дата]])</f>
        <v>Февраль 2025</v>
      </c>
      <c r="E16" t="s">
        <v>22</v>
      </c>
      <c r="F16" t="s">
        <v>9</v>
      </c>
      <c r="G16">
        <v>1</v>
      </c>
      <c r="H16">
        <v>169</v>
      </c>
      <c r="I16" t="s">
        <v>10</v>
      </c>
      <c r="J16" t="str">
        <f>_xlfn.XLOOKUP(branches[[#This Row],[Филиал]], tbl_Filialy[Филиал], tbl_Filialy[Менеджер])</f>
        <v>Сергей Мельников</v>
      </c>
    </row>
    <row r="17" spans="1:10" x14ac:dyDescent="0.3">
      <c r="A17" t="str">
        <f>_xlfn.XLOOKUP(branches[[#This Row],[Филиал]], tbl_Filialy[Филиал], tbl_Filialy[Город])</f>
        <v>Екатеринбург</v>
      </c>
      <c r="B17" s="1" t="s">
        <v>7</v>
      </c>
      <c r="C17" s="2">
        <v>45743</v>
      </c>
      <c r="D17" s="2" t="str">
        <f>CHOOSE(MONTH(branches[[#This Row],[Дата]]),"Январь","Февраль","Март","Апрель","Май","Июнь","Июль","Август","Сентябрь","Октябрь","Ноябрь","Декабрь")&amp;" "&amp;YEAR(branches[[#This Row],[Дата]])</f>
        <v>Март 2025</v>
      </c>
      <c r="E17" t="s">
        <v>8</v>
      </c>
      <c r="F17" t="s">
        <v>9</v>
      </c>
      <c r="G17">
        <v>1</v>
      </c>
      <c r="H17">
        <v>245</v>
      </c>
      <c r="I17" t="s">
        <v>13</v>
      </c>
      <c r="J17" t="str">
        <f>_xlfn.XLOOKUP(branches[[#This Row],[Филиал]], tbl_Filialy[Филиал], tbl_Filialy[Менеджер])</f>
        <v>Сергей Мельников</v>
      </c>
    </row>
    <row r="18" spans="1:10" x14ac:dyDescent="0.3">
      <c r="A18" t="str">
        <f>_xlfn.XLOOKUP(branches[[#This Row],[Филиал]], tbl_Filialy[Филиал], tbl_Filialy[Город])</f>
        <v>Екатеринбург</v>
      </c>
      <c r="B18" s="1" t="s">
        <v>7</v>
      </c>
      <c r="C18" s="2">
        <v>45995</v>
      </c>
      <c r="D18" s="2" t="str">
        <f>CHOOSE(MONTH(branches[[#This Row],[Дата]]),"Январь","Февраль","Март","Апрель","Май","Июнь","Июль","Август","Сентябрь","Октябрь","Ноябрь","Декабрь")&amp;" "&amp;YEAR(branches[[#This Row],[Дата]])</f>
        <v>Декабрь 2025</v>
      </c>
      <c r="E18" t="s">
        <v>22</v>
      </c>
      <c r="F18" t="s">
        <v>9</v>
      </c>
      <c r="G18">
        <v>3</v>
      </c>
      <c r="H18">
        <v>597</v>
      </c>
      <c r="I18" t="s">
        <v>15</v>
      </c>
      <c r="J18" t="str">
        <f>_xlfn.XLOOKUP(branches[[#This Row],[Филиал]], tbl_Filialy[Филиал], tbl_Filialy[Менеджер])</f>
        <v>Сергей Мельников</v>
      </c>
    </row>
    <row r="19" spans="1:10" x14ac:dyDescent="0.3">
      <c r="A19" t="str">
        <f>_xlfn.XLOOKUP(branches[[#This Row],[Филиал]], tbl_Filialy[Филиал], tbl_Filialy[Город])</f>
        <v>Екатеринбург</v>
      </c>
      <c r="B19" s="1" t="s">
        <v>7</v>
      </c>
      <c r="C19" s="2">
        <v>45658</v>
      </c>
      <c r="D19" s="2" t="str">
        <f>CHOOSE(MONTH(branches[[#This Row],[Дата]]),"Январь","Февраль","Март","Апрель","Май","Июнь","Июль","Август","Сентябрь","Октябрь","Ноябрь","Декабрь")&amp;" "&amp;YEAR(branches[[#This Row],[Дата]])</f>
        <v>Январь 2025</v>
      </c>
      <c r="E19" t="s">
        <v>11</v>
      </c>
      <c r="F19" t="s">
        <v>12</v>
      </c>
      <c r="G19">
        <v>1</v>
      </c>
      <c r="H19">
        <v>145</v>
      </c>
      <c r="I19" t="s">
        <v>19</v>
      </c>
      <c r="J19" t="str">
        <f>_xlfn.XLOOKUP(branches[[#This Row],[Филиал]], tbl_Filialy[Филиал], tbl_Filialy[Менеджер])</f>
        <v>Сергей Мельников</v>
      </c>
    </row>
    <row r="20" spans="1:10" x14ac:dyDescent="0.3">
      <c r="A20" t="str">
        <f>_xlfn.XLOOKUP(branches[[#This Row],[Филиал]], tbl_Filialy[Филиал], tbl_Filialy[Город])</f>
        <v>Екатеринбург</v>
      </c>
      <c r="B20" s="1" t="s">
        <v>7</v>
      </c>
      <c r="C20" s="2">
        <v>45680</v>
      </c>
      <c r="D20" s="2" t="str">
        <f>CHOOSE(MONTH(branches[[#This Row],[Дата]]),"Январь","Февраль","Март","Апрель","Май","Июнь","Июль","Август","Сентябрь","Октябрь","Ноябрь","Декабрь")&amp;" "&amp;YEAR(branches[[#This Row],[Дата]])</f>
        <v>Январь 2025</v>
      </c>
      <c r="E20" t="s">
        <v>18</v>
      </c>
      <c r="F20" t="s">
        <v>12</v>
      </c>
      <c r="G20">
        <v>2</v>
      </c>
      <c r="H20">
        <v>314</v>
      </c>
      <c r="I20" t="s">
        <v>23</v>
      </c>
      <c r="J20" t="str">
        <f>_xlfn.XLOOKUP(branches[[#This Row],[Филиал]], tbl_Filialy[Филиал], tbl_Filialy[Менеджер])</f>
        <v>Сергей Мельников</v>
      </c>
    </row>
    <row r="21" spans="1:10" x14ac:dyDescent="0.3">
      <c r="A21" t="str">
        <f>_xlfn.XLOOKUP(branches[[#This Row],[Филиал]], tbl_Filialy[Филиал], tbl_Filialy[Город])</f>
        <v>Екатеринбург</v>
      </c>
      <c r="B21" s="1" t="s">
        <v>7</v>
      </c>
      <c r="C21" s="2">
        <v>45923</v>
      </c>
      <c r="D21" s="2" t="str">
        <f>CHOOSE(MONTH(branches[[#This Row],[Дата]]),"Январь","Февраль","Март","Апрель","Май","Июнь","Июль","Август","Сентябрь","Октябрь","Ноябрь","Декабрь")&amp;" "&amp;YEAR(branches[[#This Row],[Дата]])</f>
        <v>Сентябрь 2025</v>
      </c>
      <c r="E21" t="s">
        <v>24</v>
      </c>
      <c r="F21" t="s">
        <v>17</v>
      </c>
      <c r="G21">
        <v>1</v>
      </c>
      <c r="H21">
        <v>388</v>
      </c>
      <c r="I21" t="s">
        <v>19</v>
      </c>
      <c r="J21" t="str">
        <f>_xlfn.XLOOKUP(branches[[#This Row],[Филиал]], tbl_Filialy[Филиал], tbl_Filialy[Менеджер])</f>
        <v>Сергей Мельников</v>
      </c>
    </row>
    <row r="22" spans="1:10" x14ac:dyDescent="0.3">
      <c r="A22" t="str">
        <f>_xlfn.XLOOKUP(branches[[#This Row],[Филиал]], tbl_Filialy[Филиал], tbl_Filialy[Город])</f>
        <v>Екатеринбург</v>
      </c>
      <c r="B22" s="1" t="s">
        <v>7</v>
      </c>
      <c r="C22" s="2">
        <v>45962</v>
      </c>
      <c r="D22" s="2" t="str">
        <f>CHOOSE(MONTH(branches[[#This Row],[Дата]]),"Январь","Февраль","Март","Апрель","Май","Июнь","Июль","Август","Сентябрь","Октябрь","Ноябрь","Декабрь")&amp;" "&amp;YEAR(branches[[#This Row],[Дата]])</f>
        <v>Ноябрь 2025</v>
      </c>
      <c r="E22" t="s">
        <v>20</v>
      </c>
      <c r="F22" t="s">
        <v>12</v>
      </c>
      <c r="G22">
        <v>2</v>
      </c>
      <c r="H22">
        <v>526</v>
      </c>
      <c r="I22" t="s">
        <v>13</v>
      </c>
      <c r="J22" t="str">
        <f>_xlfn.XLOOKUP(branches[[#This Row],[Филиал]], tbl_Filialy[Филиал], tbl_Filialy[Менеджер])</f>
        <v>Сергей Мельников</v>
      </c>
    </row>
    <row r="23" spans="1:10" x14ac:dyDescent="0.3">
      <c r="A23" t="str">
        <f>_xlfn.XLOOKUP(branches[[#This Row],[Филиал]], tbl_Filialy[Филиал], tbl_Filialy[Город])</f>
        <v>Екатеринбург</v>
      </c>
      <c r="B23" s="1" t="s">
        <v>7</v>
      </c>
      <c r="C23" s="2">
        <v>45660</v>
      </c>
      <c r="D23" s="2" t="str">
        <f>CHOOSE(MONTH(branches[[#This Row],[Дата]]),"Январь","Февраль","Март","Апрель","Май","Июнь","Июль","Август","Сентябрь","Октябрь","Ноябрь","Декабрь")&amp;" "&amp;YEAR(branches[[#This Row],[Дата]])</f>
        <v>Январь 2025</v>
      </c>
      <c r="E23" t="s">
        <v>25</v>
      </c>
      <c r="F23" t="s">
        <v>12</v>
      </c>
      <c r="G23">
        <v>1</v>
      </c>
      <c r="H23">
        <v>212</v>
      </c>
      <c r="I23" t="s">
        <v>10</v>
      </c>
      <c r="J23" t="str">
        <f>_xlfn.XLOOKUP(branches[[#This Row],[Филиал]], tbl_Filialy[Филиал], tbl_Filialy[Менеджер])</f>
        <v>Сергей Мельников</v>
      </c>
    </row>
    <row r="24" spans="1:10" x14ac:dyDescent="0.3">
      <c r="A24" t="str">
        <f>_xlfn.XLOOKUP(branches[[#This Row],[Филиал]], tbl_Filialy[Филиал], tbl_Filialy[Город])</f>
        <v>Екатеринбург</v>
      </c>
      <c r="B24" s="1" t="s">
        <v>7</v>
      </c>
      <c r="C24" s="2">
        <v>45975</v>
      </c>
      <c r="D24" s="2" t="str">
        <f>CHOOSE(MONTH(branches[[#This Row],[Дата]]),"Январь","Февраль","Март","Апрель","Май","Июнь","Июль","Август","Сентябрь","Октябрь","Ноябрь","Декабрь")&amp;" "&amp;YEAR(branches[[#This Row],[Дата]])</f>
        <v>Ноябрь 2025</v>
      </c>
      <c r="E24" t="s">
        <v>11</v>
      </c>
      <c r="F24" t="s">
        <v>12</v>
      </c>
      <c r="G24">
        <v>2</v>
      </c>
      <c r="H24">
        <v>354</v>
      </c>
      <c r="I24" t="s">
        <v>19</v>
      </c>
      <c r="J24" t="str">
        <f>_xlfn.XLOOKUP(branches[[#This Row],[Филиал]], tbl_Filialy[Филиал], tbl_Filialy[Менеджер])</f>
        <v>Сергей Мельников</v>
      </c>
    </row>
    <row r="25" spans="1:10" x14ac:dyDescent="0.3">
      <c r="A25" t="str">
        <f>_xlfn.XLOOKUP(branches[[#This Row],[Филиал]], tbl_Filialy[Филиал], tbl_Filialy[Город])</f>
        <v>Екатеринбург</v>
      </c>
      <c r="B25" s="1" t="s">
        <v>7</v>
      </c>
      <c r="C25" s="2">
        <v>45849</v>
      </c>
      <c r="D25" s="2" t="str">
        <f>CHOOSE(MONTH(branches[[#This Row],[Дата]]),"Январь","Февраль","Март","Апрель","Май","Июнь","Июль","Август","Сентябрь","Октябрь","Ноябрь","Декабрь")&amp;" "&amp;YEAR(branches[[#This Row],[Дата]])</f>
        <v>Июль 2025</v>
      </c>
      <c r="E25" t="s">
        <v>20</v>
      </c>
      <c r="F25" t="s">
        <v>12</v>
      </c>
      <c r="G25">
        <v>1</v>
      </c>
      <c r="H25">
        <v>257</v>
      </c>
      <c r="I25" t="s">
        <v>15</v>
      </c>
      <c r="J25" t="str">
        <f>_xlfn.XLOOKUP(branches[[#This Row],[Филиал]], tbl_Filialy[Филиал], tbl_Filialy[Менеджер])</f>
        <v>Сергей Мельников</v>
      </c>
    </row>
    <row r="26" spans="1:10" x14ac:dyDescent="0.3">
      <c r="A26" t="str">
        <f>_xlfn.XLOOKUP(branches[[#This Row],[Филиал]], tbl_Filialy[Филиал], tbl_Filialy[Город])</f>
        <v>Екатеринбург</v>
      </c>
      <c r="B26" s="1" t="s">
        <v>7</v>
      </c>
      <c r="C26" s="2">
        <v>45872</v>
      </c>
      <c r="D26" s="2" t="str">
        <f>CHOOSE(MONTH(branches[[#This Row],[Дата]]),"Январь","Февраль","Март","Апрель","Май","Июнь","Июль","Август","Сентябрь","Октябрь","Ноябрь","Декабрь")&amp;" "&amp;YEAR(branches[[#This Row],[Дата]])</f>
        <v>Август 2025</v>
      </c>
      <c r="E26" t="s">
        <v>18</v>
      </c>
      <c r="F26" t="s">
        <v>12</v>
      </c>
      <c r="G26">
        <v>2</v>
      </c>
      <c r="H26">
        <v>282</v>
      </c>
      <c r="I26" t="s">
        <v>10</v>
      </c>
      <c r="J26" t="str">
        <f>_xlfn.XLOOKUP(branches[[#This Row],[Филиал]], tbl_Filialy[Филиал], tbl_Filialy[Менеджер])</f>
        <v>Сергей Мельников</v>
      </c>
    </row>
    <row r="27" spans="1:10" x14ac:dyDescent="0.3">
      <c r="A27" t="str">
        <f>_xlfn.XLOOKUP(branches[[#This Row],[Филиал]], tbl_Filialy[Филиал], tbl_Filialy[Город])</f>
        <v>Екатеринбург</v>
      </c>
      <c r="B27" s="1" t="s">
        <v>7</v>
      </c>
      <c r="C27" s="2">
        <v>45861</v>
      </c>
      <c r="D27" s="2" t="str">
        <f>CHOOSE(MONTH(branches[[#This Row],[Дата]]),"Январь","Февраль","Март","Апрель","Май","Июнь","Июль","Август","Сентябрь","Октябрь","Ноябрь","Декабрь")&amp;" "&amp;YEAR(branches[[#This Row],[Дата]])</f>
        <v>Июль 2025</v>
      </c>
      <c r="E27" t="s">
        <v>24</v>
      </c>
      <c r="F27" t="s">
        <v>17</v>
      </c>
      <c r="G27">
        <v>1</v>
      </c>
      <c r="H27">
        <v>350</v>
      </c>
      <c r="I27" t="s">
        <v>13</v>
      </c>
      <c r="J27" t="str">
        <f>_xlfn.XLOOKUP(branches[[#This Row],[Филиал]], tbl_Filialy[Филиал], tbl_Filialy[Менеджер])</f>
        <v>Сергей Мельников</v>
      </c>
    </row>
    <row r="28" spans="1:10" x14ac:dyDescent="0.3">
      <c r="A28" t="str">
        <f>_xlfn.XLOOKUP(branches[[#This Row],[Филиал]], tbl_Filialy[Филиал], tbl_Filialy[Город])</f>
        <v>Екатеринбург</v>
      </c>
      <c r="B28" s="1" t="s">
        <v>7</v>
      </c>
      <c r="C28" s="2">
        <v>45798</v>
      </c>
      <c r="D28" s="2" t="str">
        <f>CHOOSE(MONTH(branches[[#This Row],[Дата]]),"Январь","Февраль","Март","Апрель","Май","Июнь","Июль","Август","Сентябрь","Октябрь","Ноябрь","Декабрь")&amp;" "&amp;YEAR(branches[[#This Row],[Дата]])</f>
        <v>Май 2025</v>
      </c>
      <c r="E28" t="s">
        <v>14</v>
      </c>
      <c r="F28" t="s">
        <v>12</v>
      </c>
      <c r="G28">
        <v>1</v>
      </c>
      <c r="H28">
        <v>233</v>
      </c>
      <c r="I28" t="s">
        <v>23</v>
      </c>
      <c r="J28" t="str">
        <f>_xlfn.XLOOKUP(branches[[#This Row],[Филиал]], tbl_Filialy[Филиал], tbl_Filialy[Менеджер])</f>
        <v>Сергей Мельников</v>
      </c>
    </row>
    <row r="29" spans="1:10" x14ac:dyDescent="0.3">
      <c r="A29" t="str">
        <f>_xlfn.XLOOKUP(branches[[#This Row],[Филиал]], tbl_Filialy[Филиал], tbl_Filialy[Город])</f>
        <v>Екатеринбург</v>
      </c>
      <c r="B29" s="1" t="s">
        <v>7</v>
      </c>
      <c r="C29" s="2">
        <v>45794</v>
      </c>
      <c r="D29" s="2" t="str">
        <f>CHOOSE(MONTH(branches[[#This Row],[Дата]]),"Январь","Февраль","Март","Апрель","Май","Июнь","Июль","Август","Сентябрь","Октябрь","Ноябрь","Декабрь")&amp;" "&amp;YEAR(branches[[#This Row],[Дата]])</f>
        <v>Май 2025</v>
      </c>
      <c r="E29" t="s">
        <v>11</v>
      </c>
      <c r="F29" t="s">
        <v>12</v>
      </c>
      <c r="G29">
        <v>2</v>
      </c>
      <c r="H29">
        <v>386</v>
      </c>
      <c r="I29" t="s">
        <v>15</v>
      </c>
      <c r="J29" t="str">
        <f>_xlfn.XLOOKUP(branches[[#This Row],[Филиал]], tbl_Filialy[Филиал], tbl_Filialy[Менеджер])</f>
        <v>Сергей Мельников</v>
      </c>
    </row>
    <row r="30" spans="1:10" x14ac:dyDescent="0.3">
      <c r="A30" t="str">
        <f>_xlfn.XLOOKUP(branches[[#This Row],[Филиал]], tbl_Filialy[Филиал], tbl_Filialy[Город])</f>
        <v>Екатеринбург</v>
      </c>
      <c r="B30" s="1" t="s">
        <v>7</v>
      </c>
      <c r="C30" s="2">
        <v>45674</v>
      </c>
      <c r="D30" s="2" t="str">
        <f>CHOOSE(MONTH(branches[[#This Row],[Дата]]),"Январь","Февраль","Март","Апрель","Май","Июнь","Июль","Август","Сентябрь","Октябрь","Ноябрь","Декабрь")&amp;" "&amp;YEAR(branches[[#This Row],[Дата]])</f>
        <v>Январь 2025</v>
      </c>
      <c r="E30" t="s">
        <v>26</v>
      </c>
      <c r="F30" t="s">
        <v>9</v>
      </c>
      <c r="G30">
        <v>2</v>
      </c>
      <c r="H30">
        <v>418</v>
      </c>
      <c r="I30" t="s">
        <v>13</v>
      </c>
      <c r="J30" t="str">
        <f>_xlfn.XLOOKUP(branches[[#This Row],[Филиал]], tbl_Filialy[Филиал], tbl_Filialy[Менеджер])</f>
        <v>Сергей Мельников</v>
      </c>
    </row>
    <row r="31" spans="1:10" x14ac:dyDescent="0.3">
      <c r="A31" t="str">
        <f>_xlfn.XLOOKUP(branches[[#This Row],[Филиал]], tbl_Filialy[Филиал], tbl_Filialy[Город])</f>
        <v>Екатеринбург</v>
      </c>
      <c r="B31" s="1" t="s">
        <v>7</v>
      </c>
      <c r="C31" s="2">
        <v>45684</v>
      </c>
      <c r="D31" s="2" t="str">
        <f>CHOOSE(MONTH(branches[[#This Row],[Дата]]),"Январь","Февраль","Март","Апрель","Май","Июнь","Июль","Август","Сентябрь","Октябрь","Ноябрь","Декабрь")&amp;" "&amp;YEAR(branches[[#This Row],[Дата]])</f>
        <v>Январь 2025</v>
      </c>
      <c r="E31" t="s">
        <v>16</v>
      </c>
      <c r="F31" t="s">
        <v>17</v>
      </c>
      <c r="G31">
        <v>1</v>
      </c>
      <c r="H31">
        <v>320</v>
      </c>
      <c r="I31" t="s">
        <v>21</v>
      </c>
      <c r="J31" t="str">
        <f>_xlfn.XLOOKUP(branches[[#This Row],[Филиал]], tbl_Filialy[Филиал], tbl_Filialy[Менеджер])</f>
        <v>Сергей Мельников</v>
      </c>
    </row>
    <row r="32" spans="1:10" x14ac:dyDescent="0.3">
      <c r="A32" t="str">
        <f>_xlfn.XLOOKUP(branches[[#This Row],[Филиал]], tbl_Filialy[Филиал], tbl_Filialy[Город])</f>
        <v>Екатеринбург</v>
      </c>
      <c r="B32" s="1" t="s">
        <v>7</v>
      </c>
      <c r="C32" s="2">
        <v>45912</v>
      </c>
      <c r="D32" s="2" t="str">
        <f>CHOOSE(MONTH(branches[[#This Row],[Дата]]),"Январь","Февраль","Март","Апрель","Май","Июнь","Июль","Август","Сентябрь","Октябрь","Ноябрь","Декабрь")&amp;" "&amp;YEAR(branches[[#This Row],[Дата]])</f>
        <v>Сентябрь 2025</v>
      </c>
      <c r="E32" t="s">
        <v>11</v>
      </c>
      <c r="F32" t="s">
        <v>12</v>
      </c>
      <c r="G32">
        <v>3</v>
      </c>
      <c r="H32">
        <v>516</v>
      </c>
      <c r="I32" t="s">
        <v>13</v>
      </c>
      <c r="J32" t="str">
        <f>_xlfn.XLOOKUP(branches[[#This Row],[Филиал]], tbl_Filialy[Филиал], tbl_Filialy[Менеджер])</f>
        <v>Сергей Мельников</v>
      </c>
    </row>
    <row r="33" spans="1:10" x14ac:dyDescent="0.3">
      <c r="A33" t="str">
        <f>_xlfn.XLOOKUP(branches[[#This Row],[Филиал]], tbl_Filialy[Филиал], tbl_Filialy[Город])</f>
        <v>Екатеринбург</v>
      </c>
      <c r="B33" s="1" t="s">
        <v>7</v>
      </c>
      <c r="C33" s="2">
        <v>45811</v>
      </c>
      <c r="D33" s="2" t="str">
        <f>CHOOSE(MONTH(branches[[#This Row],[Дата]]),"Январь","Февраль","Март","Апрель","Май","Июнь","Июль","Август","Сентябрь","Октябрь","Ноябрь","Декабрь")&amp;" "&amp;YEAR(branches[[#This Row],[Дата]])</f>
        <v>Июнь 2025</v>
      </c>
      <c r="E33" t="s">
        <v>14</v>
      </c>
      <c r="F33" t="s">
        <v>12</v>
      </c>
      <c r="G33">
        <v>3</v>
      </c>
      <c r="H33">
        <v>843</v>
      </c>
      <c r="I33" t="s">
        <v>23</v>
      </c>
      <c r="J33" t="str">
        <f>_xlfn.XLOOKUP(branches[[#This Row],[Филиал]], tbl_Filialy[Филиал], tbl_Filialy[Менеджер])</f>
        <v>Сергей Мельников</v>
      </c>
    </row>
    <row r="34" spans="1:10" x14ac:dyDescent="0.3">
      <c r="A34" t="str">
        <f>_xlfn.XLOOKUP(branches[[#This Row],[Филиал]], tbl_Filialy[Филиал], tbl_Filialy[Город])</f>
        <v>Екатеринбург</v>
      </c>
      <c r="B34" s="1" t="s">
        <v>7</v>
      </c>
      <c r="C34" s="2">
        <v>45752</v>
      </c>
      <c r="D34" s="2" t="str">
        <f>CHOOSE(MONTH(branches[[#This Row],[Дата]]),"Январь","Февраль","Март","Апрель","Май","Июнь","Июль","Август","Сентябрь","Октябрь","Ноябрь","Декабрь")&amp;" "&amp;YEAR(branches[[#This Row],[Дата]])</f>
        <v>Апрель 2025</v>
      </c>
      <c r="E34" t="s">
        <v>24</v>
      </c>
      <c r="F34" t="s">
        <v>17</v>
      </c>
      <c r="G34">
        <v>3</v>
      </c>
      <c r="H34">
        <v>1152</v>
      </c>
      <c r="I34" t="s">
        <v>23</v>
      </c>
      <c r="J34" t="str">
        <f>_xlfn.XLOOKUP(branches[[#This Row],[Филиал]], tbl_Filialy[Филиал], tbl_Filialy[Менеджер])</f>
        <v>Сергей Мельников</v>
      </c>
    </row>
    <row r="35" spans="1:10" x14ac:dyDescent="0.3">
      <c r="A35" t="str">
        <f>_xlfn.XLOOKUP(branches[[#This Row],[Филиал]], tbl_Filialy[Филиал], tbl_Filialy[Город])</f>
        <v>Екатеринбург</v>
      </c>
      <c r="B35" s="1" t="s">
        <v>7</v>
      </c>
      <c r="C35" s="2">
        <v>45788</v>
      </c>
      <c r="D35" s="2" t="str">
        <f>CHOOSE(MONTH(branches[[#This Row],[Дата]]),"Январь","Февраль","Март","Апрель","Май","Июнь","Июль","Август","Сентябрь","Октябрь","Ноябрь","Декабрь")&amp;" "&amp;YEAR(branches[[#This Row],[Дата]])</f>
        <v>Май 2025</v>
      </c>
      <c r="E35" t="s">
        <v>20</v>
      </c>
      <c r="F35" t="s">
        <v>12</v>
      </c>
      <c r="G35">
        <v>3</v>
      </c>
      <c r="H35">
        <v>876</v>
      </c>
      <c r="I35" t="s">
        <v>23</v>
      </c>
      <c r="J35" t="str">
        <f>_xlfn.XLOOKUP(branches[[#This Row],[Филиал]], tbl_Filialy[Филиал], tbl_Filialy[Менеджер])</f>
        <v>Сергей Мельников</v>
      </c>
    </row>
    <row r="36" spans="1:10" x14ac:dyDescent="0.3">
      <c r="A36" t="str">
        <f>_xlfn.XLOOKUP(branches[[#This Row],[Филиал]], tbl_Filialy[Филиал], tbl_Filialy[Город])</f>
        <v>Екатеринбург</v>
      </c>
      <c r="B36" s="1" t="s">
        <v>7</v>
      </c>
      <c r="C36" s="2">
        <v>45994</v>
      </c>
      <c r="D36" s="2" t="str">
        <f>CHOOSE(MONTH(branches[[#This Row],[Дата]]),"Январь","Февраль","Март","Апрель","Май","Июнь","Июль","Август","Сентябрь","Октябрь","Ноябрь","Декабрь")&amp;" "&amp;YEAR(branches[[#This Row],[Дата]])</f>
        <v>Декабрь 2025</v>
      </c>
      <c r="E36" t="s">
        <v>16</v>
      </c>
      <c r="F36" t="s">
        <v>17</v>
      </c>
      <c r="G36">
        <v>1</v>
      </c>
      <c r="H36">
        <v>330</v>
      </c>
      <c r="I36" t="s">
        <v>13</v>
      </c>
      <c r="J36" t="str">
        <f>_xlfn.XLOOKUP(branches[[#This Row],[Филиал]], tbl_Filialy[Филиал], tbl_Filialy[Менеджер])</f>
        <v>Сергей Мельников</v>
      </c>
    </row>
    <row r="37" spans="1:10" x14ac:dyDescent="0.3">
      <c r="A37" t="str">
        <f>_xlfn.XLOOKUP(branches[[#This Row],[Филиал]], tbl_Filialy[Филиал], tbl_Filialy[Город])</f>
        <v>Екатеринбург</v>
      </c>
      <c r="B37" s="1" t="s">
        <v>7</v>
      </c>
      <c r="C37" s="2">
        <v>45763</v>
      </c>
      <c r="D37" s="2" t="str">
        <f>CHOOSE(MONTH(branches[[#This Row],[Дата]]),"Январь","Февраль","Март","Апрель","Май","Июнь","Июль","Август","Сентябрь","Октябрь","Ноябрь","Декабрь")&amp;" "&amp;YEAR(branches[[#This Row],[Дата]])</f>
        <v>Апрель 2025</v>
      </c>
      <c r="E37" t="s">
        <v>16</v>
      </c>
      <c r="F37" t="s">
        <v>17</v>
      </c>
      <c r="G37">
        <v>2</v>
      </c>
      <c r="H37">
        <v>610</v>
      </c>
      <c r="I37" t="s">
        <v>13</v>
      </c>
      <c r="J37" t="str">
        <f>_xlfn.XLOOKUP(branches[[#This Row],[Филиал]], tbl_Filialy[Филиал], tbl_Filialy[Менеджер])</f>
        <v>Сергей Мельников</v>
      </c>
    </row>
    <row r="38" spans="1:10" x14ac:dyDescent="0.3">
      <c r="A38" t="str">
        <f>_xlfn.XLOOKUP(branches[[#This Row],[Филиал]], tbl_Filialy[Филиал], tbl_Filialy[Город])</f>
        <v>Екатеринбург</v>
      </c>
      <c r="B38" s="1" t="s">
        <v>7</v>
      </c>
      <c r="C38" s="2">
        <v>46017</v>
      </c>
      <c r="D38" s="2" t="str">
        <f>CHOOSE(MONTH(branches[[#This Row],[Дата]]),"Январь","Февраль","Март","Апрель","Май","Июнь","Июль","Август","Сентябрь","Октябрь","Ноябрь","Декабрь")&amp;" "&amp;YEAR(branches[[#This Row],[Дата]])</f>
        <v>Декабрь 2025</v>
      </c>
      <c r="E38" t="s">
        <v>25</v>
      </c>
      <c r="F38" t="s">
        <v>12</v>
      </c>
      <c r="G38">
        <v>2</v>
      </c>
      <c r="H38">
        <v>478</v>
      </c>
      <c r="I38" t="s">
        <v>23</v>
      </c>
      <c r="J38" t="str">
        <f>_xlfn.XLOOKUP(branches[[#This Row],[Филиал]], tbl_Filialy[Филиал], tbl_Filialy[Менеджер])</f>
        <v>Сергей Мельников</v>
      </c>
    </row>
    <row r="39" spans="1:10" x14ac:dyDescent="0.3">
      <c r="A39" t="str">
        <f>_xlfn.XLOOKUP(branches[[#This Row],[Филиал]], tbl_Filialy[Филиал], tbl_Filialy[Город])</f>
        <v>Екатеринбург</v>
      </c>
      <c r="B39" s="1" t="s">
        <v>7</v>
      </c>
      <c r="C39" s="2">
        <v>45772</v>
      </c>
      <c r="D39" s="2" t="str">
        <f>CHOOSE(MONTH(branches[[#This Row],[Дата]]),"Январь","Февраль","Март","Апрель","Май","Июнь","Июль","Август","Сентябрь","Октябрь","Ноябрь","Декабрь")&amp;" "&amp;YEAR(branches[[#This Row],[Дата]])</f>
        <v>Апрель 2025</v>
      </c>
      <c r="E39" t="s">
        <v>24</v>
      </c>
      <c r="F39" t="s">
        <v>17</v>
      </c>
      <c r="G39">
        <v>1</v>
      </c>
      <c r="H39">
        <v>376</v>
      </c>
      <c r="I39" t="s">
        <v>15</v>
      </c>
      <c r="J39" t="str">
        <f>_xlfn.XLOOKUP(branches[[#This Row],[Филиал]], tbl_Filialy[Филиал], tbl_Filialy[Менеджер])</f>
        <v>Сергей Мельников</v>
      </c>
    </row>
    <row r="40" spans="1:10" x14ac:dyDescent="0.3">
      <c r="A40" t="str">
        <f>_xlfn.XLOOKUP(branches[[#This Row],[Филиал]], tbl_Filialy[Филиал], tbl_Filialy[Город])</f>
        <v>Екатеринбург</v>
      </c>
      <c r="B40" s="1" t="s">
        <v>7</v>
      </c>
      <c r="C40" s="2">
        <v>45903</v>
      </c>
      <c r="D40" s="2" t="str">
        <f>CHOOSE(MONTH(branches[[#This Row],[Дата]]),"Январь","Февраль","Март","Апрель","Май","Июнь","Июль","Август","Сентябрь","Октябрь","Ноябрь","Декабрь")&amp;" "&amp;YEAR(branches[[#This Row],[Дата]])</f>
        <v>Сентябрь 2025</v>
      </c>
      <c r="E40" t="s">
        <v>26</v>
      </c>
      <c r="F40" t="s">
        <v>9</v>
      </c>
      <c r="G40">
        <v>3</v>
      </c>
      <c r="H40">
        <v>657</v>
      </c>
      <c r="I40" t="s">
        <v>19</v>
      </c>
      <c r="J40" t="str">
        <f>_xlfn.XLOOKUP(branches[[#This Row],[Филиал]], tbl_Filialy[Филиал], tbl_Filialy[Менеджер])</f>
        <v>Сергей Мельников</v>
      </c>
    </row>
    <row r="41" spans="1:10" x14ac:dyDescent="0.3">
      <c r="A41" t="str">
        <f>_xlfn.XLOOKUP(branches[[#This Row],[Филиал]], tbl_Filialy[Филиал], tbl_Filialy[Город])</f>
        <v>Екатеринбург</v>
      </c>
      <c r="B41" s="1" t="s">
        <v>7</v>
      </c>
      <c r="C41" s="2">
        <v>45876</v>
      </c>
      <c r="D41" s="2" t="str">
        <f>CHOOSE(MONTH(branches[[#This Row],[Дата]]),"Январь","Февраль","Март","Апрель","Май","Июнь","Июль","Август","Сентябрь","Октябрь","Ноябрь","Декабрь")&amp;" "&amp;YEAR(branches[[#This Row],[Дата]])</f>
        <v>Август 2025</v>
      </c>
      <c r="E41" t="s">
        <v>22</v>
      </c>
      <c r="F41" t="s">
        <v>9</v>
      </c>
      <c r="G41">
        <v>1</v>
      </c>
      <c r="H41">
        <v>200</v>
      </c>
      <c r="I41" t="s">
        <v>10</v>
      </c>
      <c r="J41" t="str">
        <f>_xlfn.XLOOKUP(branches[[#This Row],[Филиал]], tbl_Filialy[Филиал], tbl_Filialy[Менеджер])</f>
        <v>Сергей Мельников</v>
      </c>
    </row>
    <row r="42" spans="1:10" x14ac:dyDescent="0.3">
      <c r="A42" t="str">
        <f>_xlfn.XLOOKUP(branches[[#This Row],[Филиал]], tbl_Filialy[Филиал], tbl_Filialy[Город])</f>
        <v>Екатеринбург</v>
      </c>
      <c r="B42" s="1" t="s">
        <v>7</v>
      </c>
      <c r="C42" s="2">
        <v>45802</v>
      </c>
      <c r="D42" s="2" t="str">
        <f>CHOOSE(MONTH(branches[[#This Row],[Дата]]),"Январь","Февраль","Март","Апрель","Май","Июнь","Июль","Август","Сентябрь","Октябрь","Ноябрь","Декабрь")&amp;" "&amp;YEAR(branches[[#This Row],[Дата]])</f>
        <v>Май 2025</v>
      </c>
      <c r="E42" t="s">
        <v>16</v>
      </c>
      <c r="F42" t="s">
        <v>17</v>
      </c>
      <c r="G42">
        <v>1</v>
      </c>
      <c r="H42">
        <v>350</v>
      </c>
      <c r="I42" t="s">
        <v>21</v>
      </c>
      <c r="J42" t="str">
        <f>_xlfn.XLOOKUP(branches[[#This Row],[Филиал]], tbl_Filialy[Филиал], tbl_Filialy[Менеджер])</f>
        <v>Сергей Мельников</v>
      </c>
    </row>
    <row r="43" spans="1:10" x14ac:dyDescent="0.3">
      <c r="A43" t="str">
        <f>_xlfn.XLOOKUP(branches[[#This Row],[Филиал]], tbl_Filialy[Филиал], tbl_Filialy[Город])</f>
        <v>Екатеринбург</v>
      </c>
      <c r="B43" s="1" t="s">
        <v>7</v>
      </c>
      <c r="C43" s="2">
        <v>45817</v>
      </c>
      <c r="D43" s="2" t="str">
        <f>CHOOSE(MONTH(branches[[#This Row],[Дата]]),"Январь","Февраль","Март","Апрель","Май","Июнь","Июль","Август","Сентябрь","Октябрь","Ноябрь","Декабрь")&amp;" "&amp;YEAR(branches[[#This Row],[Дата]])</f>
        <v>Июнь 2025</v>
      </c>
      <c r="E43" t="s">
        <v>27</v>
      </c>
      <c r="F43" t="s">
        <v>12</v>
      </c>
      <c r="G43">
        <v>2</v>
      </c>
      <c r="H43">
        <v>448</v>
      </c>
      <c r="I43" t="s">
        <v>13</v>
      </c>
      <c r="J43" t="str">
        <f>_xlfn.XLOOKUP(branches[[#This Row],[Филиал]], tbl_Filialy[Филиал], tbl_Filialy[Менеджер])</f>
        <v>Сергей Мельников</v>
      </c>
    </row>
    <row r="44" spans="1:10" x14ac:dyDescent="0.3">
      <c r="A44" t="str">
        <f>_xlfn.XLOOKUP(branches[[#This Row],[Филиал]], tbl_Filialy[Филиал], tbl_Filialy[Город])</f>
        <v>Екатеринбург</v>
      </c>
      <c r="B44" s="1" t="s">
        <v>7</v>
      </c>
      <c r="C44" s="2">
        <v>45755</v>
      </c>
      <c r="D44" s="2" t="str">
        <f>CHOOSE(MONTH(branches[[#This Row],[Дата]]),"Январь","Февраль","Март","Апрель","Май","Июнь","Июль","Август","Сентябрь","Октябрь","Ноябрь","Декабрь")&amp;" "&amp;YEAR(branches[[#This Row],[Дата]])</f>
        <v>Апрель 2025</v>
      </c>
      <c r="E44" t="s">
        <v>11</v>
      </c>
      <c r="F44" t="s">
        <v>12</v>
      </c>
      <c r="G44">
        <v>3</v>
      </c>
      <c r="H44">
        <v>483</v>
      </c>
      <c r="I44" t="s">
        <v>15</v>
      </c>
      <c r="J44" t="str">
        <f>_xlfn.XLOOKUP(branches[[#This Row],[Филиал]], tbl_Filialy[Филиал], tbl_Filialy[Менеджер])</f>
        <v>Сергей Мельников</v>
      </c>
    </row>
    <row r="45" spans="1:10" x14ac:dyDescent="0.3">
      <c r="A45" t="str">
        <f>_xlfn.XLOOKUP(branches[[#This Row],[Филиал]], tbl_Filialy[Филиал], tbl_Filialy[Город])</f>
        <v>Екатеринбург</v>
      </c>
      <c r="B45" s="1" t="s">
        <v>7</v>
      </c>
      <c r="C45" s="2">
        <v>45784</v>
      </c>
      <c r="D45" s="2" t="str">
        <f>CHOOSE(MONTH(branches[[#This Row],[Дата]]),"Январь","Февраль","Март","Апрель","Май","Июнь","Июль","Август","Сентябрь","Октябрь","Ноябрь","Декабрь")&amp;" "&amp;YEAR(branches[[#This Row],[Дата]])</f>
        <v>Май 2025</v>
      </c>
      <c r="E45" t="s">
        <v>18</v>
      </c>
      <c r="F45" t="s">
        <v>12</v>
      </c>
      <c r="G45">
        <v>1</v>
      </c>
      <c r="H45">
        <v>137</v>
      </c>
      <c r="I45" t="s">
        <v>19</v>
      </c>
      <c r="J45" t="str">
        <f>_xlfn.XLOOKUP(branches[[#This Row],[Филиал]], tbl_Filialy[Филиал], tbl_Filialy[Менеджер])</f>
        <v>Сергей Мельников</v>
      </c>
    </row>
    <row r="46" spans="1:10" x14ac:dyDescent="0.3">
      <c r="A46" t="str">
        <f>_xlfn.XLOOKUP(branches[[#This Row],[Филиал]], tbl_Filialy[Филиал], tbl_Filialy[Город])</f>
        <v>Екатеринбург</v>
      </c>
      <c r="B46" s="1" t="s">
        <v>7</v>
      </c>
      <c r="C46" s="2">
        <v>45973</v>
      </c>
      <c r="D46" s="2" t="str">
        <f>CHOOSE(MONTH(branches[[#This Row],[Дата]]),"Январь","Февраль","Март","Апрель","Май","Июнь","Июль","Август","Сентябрь","Октябрь","Ноябрь","Декабрь")&amp;" "&amp;YEAR(branches[[#This Row],[Дата]])</f>
        <v>Ноябрь 2025</v>
      </c>
      <c r="E46" t="s">
        <v>28</v>
      </c>
      <c r="F46" t="s">
        <v>12</v>
      </c>
      <c r="G46">
        <v>2</v>
      </c>
      <c r="H46">
        <v>410</v>
      </c>
      <c r="I46" t="s">
        <v>15</v>
      </c>
      <c r="J46" t="str">
        <f>_xlfn.XLOOKUP(branches[[#This Row],[Филиал]], tbl_Filialy[Филиал], tbl_Filialy[Менеджер])</f>
        <v>Сергей Мельников</v>
      </c>
    </row>
    <row r="47" spans="1:10" x14ac:dyDescent="0.3">
      <c r="A47" t="str">
        <f>_xlfn.XLOOKUP(branches[[#This Row],[Филиал]], tbl_Filialy[Филиал], tbl_Filialy[Город])</f>
        <v>Екатеринбург</v>
      </c>
      <c r="B47" s="1" t="s">
        <v>7</v>
      </c>
      <c r="C47" s="2">
        <v>45722</v>
      </c>
      <c r="D47" s="2" t="str">
        <f>CHOOSE(MONTH(branches[[#This Row],[Дата]]),"Январь","Февраль","Март","Апрель","Май","Июнь","Июль","Август","Сентябрь","Октябрь","Ноябрь","Декабрь")&amp;" "&amp;YEAR(branches[[#This Row],[Дата]])</f>
        <v>Март 2025</v>
      </c>
      <c r="E47" t="s">
        <v>14</v>
      </c>
      <c r="F47" t="s">
        <v>12</v>
      </c>
      <c r="G47">
        <v>3</v>
      </c>
      <c r="H47">
        <v>804</v>
      </c>
      <c r="I47" t="s">
        <v>13</v>
      </c>
      <c r="J47" t="str">
        <f>_xlfn.XLOOKUP(branches[[#This Row],[Филиал]], tbl_Filialy[Филиал], tbl_Filialy[Менеджер])</f>
        <v>Сергей Мельников</v>
      </c>
    </row>
    <row r="48" spans="1:10" x14ac:dyDescent="0.3">
      <c r="A48" t="str">
        <f>_xlfn.XLOOKUP(branches[[#This Row],[Филиал]], tbl_Filialy[Филиал], tbl_Filialy[Город])</f>
        <v>Екатеринбург</v>
      </c>
      <c r="B48" s="1" t="s">
        <v>7</v>
      </c>
      <c r="C48" s="2">
        <v>45716</v>
      </c>
      <c r="D48" s="2" t="str">
        <f>CHOOSE(MONTH(branches[[#This Row],[Дата]]),"Январь","Февраль","Март","Апрель","Май","Июнь","Июль","Август","Сентябрь","Октябрь","Ноябрь","Декабрь")&amp;" "&amp;YEAR(branches[[#This Row],[Дата]])</f>
        <v>Февраль 2025</v>
      </c>
      <c r="E48" t="s">
        <v>16</v>
      </c>
      <c r="F48" t="s">
        <v>17</v>
      </c>
      <c r="G48">
        <v>3</v>
      </c>
      <c r="H48">
        <v>1053</v>
      </c>
      <c r="I48" t="s">
        <v>15</v>
      </c>
      <c r="J48" t="str">
        <f>_xlfn.XLOOKUP(branches[[#This Row],[Филиал]], tbl_Filialy[Филиал], tbl_Filialy[Менеджер])</f>
        <v>Сергей Мельников</v>
      </c>
    </row>
    <row r="49" spans="1:10" x14ac:dyDescent="0.3">
      <c r="A49" t="str">
        <f>_xlfn.XLOOKUP(branches[[#This Row],[Филиал]], tbl_Filialy[Филиал], tbl_Filialy[Город])</f>
        <v>Екатеринбург</v>
      </c>
      <c r="B49" s="1" t="s">
        <v>7</v>
      </c>
      <c r="C49" s="2">
        <v>45904</v>
      </c>
      <c r="D49" s="2" t="str">
        <f>CHOOSE(MONTH(branches[[#This Row],[Дата]]),"Январь","Февраль","Март","Апрель","Май","Июнь","Июль","Август","Сентябрь","Октябрь","Ноябрь","Декабрь")&amp;" "&amp;YEAR(branches[[#This Row],[Дата]])</f>
        <v>Сентябрь 2025</v>
      </c>
      <c r="E49" t="s">
        <v>24</v>
      </c>
      <c r="F49" t="s">
        <v>17</v>
      </c>
      <c r="G49">
        <v>2</v>
      </c>
      <c r="H49">
        <v>808</v>
      </c>
      <c r="I49" t="s">
        <v>13</v>
      </c>
      <c r="J49" t="str">
        <f>_xlfn.XLOOKUP(branches[[#This Row],[Филиал]], tbl_Filialy[Филиал], tbl_Filialy[Менеджер])</f>
        <v>Сергей Мельников</v>
      </c>
    </row>
    <row r="50" spans="1:10" x14ac:dyDescent="0.3">
      <c r="A50" t="str">
        <f>_xlfn.XLOOKUP(branches[[#This Row],[Филиал]], tbl_Filialy[Филиал], tbl_Filialy[Город])</f>
        <v>Екатеринбург</v>
      </c>
      <c r="B50" s="1" t="s">
        <v>7</v>
      </c>
      <c r="C50" s="2">
        <v>45856</v>
      </c>
      <c r="D50" s="2" t="str">
        <f>CHOOSE(MONTH(branches[[#This Row],[Дата]]),"Январь","Февраль","Март","Апрель","Май","Июнь","Июль","Август","Сентябрь","Октябрь","Ноябрь","Декабрь")&amp;" "&amp;YEAR(branches[[#This Row],[Дата]])</f>
        <v>Июль 2025</v>
      </c>
      <c r="E50" t="s">
        <v>27</v>
      </c>
      <c r="F50" t="s">
        <v>12</v>
      </c>
      <c r="G50">
        <v>1</v>
      </c>
      <c r="H50">
        <v>192</v>
      </c>
      <c r="I50" t="s">
        <v>21</v>
      </c>
      <c r="J50" t="str">
        <f>_xlfn.XLOOKUP(branches[[#This Row],[Филиал]], tbl_Filialy[Филиал], tbl_Filialy[Менеджер])</f>
        <v>Сергей Мельников</v>
      </c>
    </row>
    <row r="51" spans="1:10" x14ac:dyDescent="0.3">
      <c r="A51" t="str">
        <f>_xlfn.XLOOKUP(branches[[#This Row],[Филиал]], tbl_Filialy[Филиал], tbl_Filialy[Город])</f>
        <v>Екатеринбург</v>
      </c>
      <c r="B51" s="1" t="s">
        <v>7</v>
      </c>
      <c r="C51" s="2">
        <v>45736</v>
      </c>
      <c r="D51" s="2" t="str">
        <f>CHOOSE(MONTH(branches[[#This Row],[Дата]]),"Январь","Февраль","Март","Апрель","Май","Июнь","Июль","Август","Сентябрь","Октябрь","Ноябрь","Декабрь")&amp;" "&amp;YEAR(branches[[#This Row],[Дата]])</f>
        <v>Март 2025</v>
      </c>
      <c r="E51" t="s">
        <v>20</v>
      </c>
      <c r="F51" t="s">
        <v>12</v>
      </c>
      <c r="G51">
        <v>2</v>
      </c>
      <c r="H51">
        <v>620</v>
      </c>
      <c r="I51" t="s">
        <v>21</v>
      </c>
      <c r="J51" t="str">
        <f>_xlfn.XLOOKUP(branches[[#This Row],[Филиал]], tbl_Filialy[Филиал], tbl_Filialy[Менеджер])</f>
        <v>Сергей Мельников</v>
      </c>
    </row>
    <row r="52" spans="1:10" x14ac:dyDescent="0.3">
      <c r="A52" t="str">
        <f>_xlfn.XLOOKUP(branches[[#This Row],[Филиал]], tbl_Filialy[Филиал], tbl_Filialy[Город])</f>
        <v>Екатеринбург</v>
      </c>
      <c r="B52" s="1" t="s">
        <v>7</v>
      </c>
      <c r="C52" s="2">
        <v>45672</v>
      </c>
      <c r="D52" s="2" t="str">
        <f>CHOOSE(MONTH(branches[[#This Row],[Дата]]),"Январь","Февраль","Март","Апрель","Май","Июнь","Июль","Август","Сентябрь","Октябрь","Ноябрь","Декабрь")&amp;" "&amp;YEAR(branches[[#This Row],[Дата]])</f>
        <v>Январь 2025</v>
      </c>
      <c r="E52" t="s">
        <v>18</v>
      </c>
      <c r="F52" t="s">
        <v>12</v>
      </c>
      <c r="G52">
        <v>1</v>
      </c>
      <c r="H52">
        <v>146</v>
      </c>
      <c r="I52" t="s">
        <v>13</v>
      </c>
      <c r="J52" t="str">
        <f>_xlfn.XLOOKUP(branches[[#This Row],[Филиал]], tbl_Filialy[Филиал], tbl_Filialy[Менеджер])</f>
        <v>Сергей Мельников</v>
      </c>
    </row>
    <row r="53" spans="1:10" x14ac:dyDescent="0.3">
      <c r="A53" t="str">
        <f>_xlfn.XLOOKUP(branches[[#This Row],[Филиал]], tbl_Filialy[Филиал], tbl_Filialy[Город])</f>
        <v>Екатеринбург</v>
      </c>
      <c r="B53" s="1" t="s">
        <v>7</v>
      </c>
      <c r="C53" s="2">
        <v>46003</v>
      </c>
      <c r="D53" s="2" t="str">
        <f>CHOOSE(MONTH(branches[[#This Row],[Дата]]),"Январь","Февраль","Март","Апрель","Май","Июнь","Июль","Август","Сентябрь","Октябрь","Ноябрь","Декабрь")&amp;" "&amp;YEAR(branches[[#This Row],[Дата]])</f>
        <v>Декабрь 2025</v>
      </c>
      <c r="E53" t="s">
        <v>18</v>
      </c>
      <c r="F53" t="s">
        <v>12</v>
      </c>
      <c r="G53">
        <v>1</v>
      </c>
      <c r="H53">
        <v>150</v>
      </c>
      <c r="I53" t="s">
        <v>21</v>
      </c>
      <c r="J53" t="str">
        <f>_xlfn.XLOOKUP(branches[[#This Row],[Филиал]], tbl_Filialy[Филиал], tbl_Filialy[Менеджер])</f>
        <v>Сергей Мельников</v>
      </c>
    </row>
    <row r="54" spans="1:10" x14ac:dyDescent="0.3">
      <c r="A54" t="str">
        <f>_xlfn.XLOOKUP(branches[[#This Row],[Филиал]], tbl_Filialy[Филиал], tbl_Filialy[Город])</f>
        <v>Екатеринбург</v>
      </c>
      <c r="B54" s="1" t="s">
        <v>7</v>
      </c>
      <c r="C54" s="2">
        <v>45765</v>
      </c>
      <c r="D54" s="2" t="str">
        <f>CHOOSE(MONTH(branches[[#This Row],[Дата]]),"Январь","Февраль","Март","Апрель","Май","Июнь","Июль","Август","Сентябрь","Октябрь","Ноябрь","Декабрь")&amp;" "&amp;YEAR(branches[[#This Row],[Дата]])</f>
        <v>Апрель 2025</v>
      </c>
      <c r="E54" t="s">
        <v>24</v>
      </c>
      <c r="F54" t="s">
        <v>17</v>
      </c>
      <c r="G54">
        <v>2</v>
      </c>
      <c r="H54">
        <v>848</v>
      </c>
      <c r="I54" t="s">
        <v>13</v>
      </c>
      <c r="J54" t="str">
        <f>_xlfn.XLOOKUP(branches[[#This Row],[Филиал]], tbl_Filialy[Филиал], tbl_Filialy[Менеджер])</f>
        <v>Сергей Мельников</v>
      </c>
    </row>
    <row r="55" spans="1:10" x14ac:dyDescent="0.3">
      <c r="A55" t="str">
        <f>_xlfn.XLOOKUP(branches[[#This Row],[Филиал]], tbl_Filialy[Филиал], tbl_Filialy[Город])</f>
        <v>Екатеринбург</v>
      </c>
      <c r="B55" s="1" t="s">
        <v>7</v>
      </c>
      <c r="C55" s="2">
        <v>45685</v>
      </c>
      <c r="D55" s="2" t="str">
        <f>CHOOSE(MONTH(branches[[#This Row],[Дата]]),"Январь","Февраль","Март","Апрель","Май","Июнь","Июль","Август","Сентябрь","Октябрь","Ноябрь","Декабрь")&amp;" "&amp;YEAR(branches[[#This Row],[Дата]])</f>
        <v>Январь 2025</v>
      </c>
      <c r="E55" t="s">
        <v>14</v>
      </c>
      <c r="F55" t="s">
        <v>12</v>
      </c>
      <c r="G55">
        <v>1</v>
      </c>
      <c r="H55">
        <v>244</v>
      </c>
      <c r="I55" t="s">
        <v>13</v>
      </c>
      <c r="J55" t="str">
        <f>_xlfn.XLOOKUP(branches[[#This Row],[Филиал]], tbl_Filialy[Филиал], tbl_Filialy[Менеджер])</f>
        <v>Сергей Мельников</v>
      </c>
    </row>
    <row r="56" spans="1:10" x14ac:dyDescent="0.3">
      <c r="A56" t="str">
        <f>_xlfn.XLOOKUP(branches[[#This Row],[Филиал]], tbl_Filialy[Филиал], tbl_Filialy[Город])</f>
        <v>Екатеринбург</v>
      </c>
      <c r="B56" s="1" t="s">
        <v>7</v>
      </c>
      <c r="C56" s="2">
        <v>45779</v>
      </c>
      <c r="D56" s="2" t="str">
        <f>CHOOSE(MONTH(branches[[#This Row],[Дата]]),"Январь","Февраль","Март","Апрель","Май","Июнь","Июль","Август","Сентябрь","Октябрь","Ноябрь","Декабрь")&amp;" "&amp;YEAR(branches[[#This Row],[Дата]])</f>
        <v>Май 2025</v>
      </c>
      <c r="E56" t="s">
        <v>24</v>
      </c>
      <c r="F56" t="s">
        <v>17</v>
      </c>
      <c r="G56">
        <v>2</v>
      </c>
      <c r="H56">
        <v>700</v>
      </c>
      <c r="I56" t="s">
        <v>19</v>
      </c>
      <c r="J56" t="str">
        <f>_xlfn.XLOOKUP(branches[[#This Row],[Филиал]], tbl_Filialy[Филиал], tbl_Filialy[Менеджер])</f>
        <v>Сергей Мельников</v>
      </c>
    </row>
    <row r="57" spans="1:10" x14ac:dyDescent="0.3">
      <c r="A57" t="str">
        <f>_xlfn.XLOOKUP(branches[[#This Row],[Филиал]], tbl_Filialy[Филиал], tbl_Filialy[Город])</f>
        <v>Екатеринбург</v>
      </c>
      <c r="B57" s="1" t="s">
        <v>7</v>
      </c>
      <c r="C57" s="2">
        <v>45726</v>
      </c>
      <c r="D57" s="2" t="str">
        <f>CHOOSE(MONTH(branches[[#This Row],[Дата]]),"Январь","Февраль","Март","Апрель","Май","Июнь","Июль","Август","Сентябрь","Октябрь","Ноябрь","Декабрь")&amp;" "&amp;YEAR(branches[[#This Row],[Дата]])</f>
        <v>Март 2025</v>
      </c>
      <c r="E57" t="s">
        <v>28</v>
      </c>
      <c r="F57" t="s">
        <v>12</v>
      </c>
      <c r="G57">
        <v>1</v>
      </c>
      <c r="H57">
        <v>232</v>
      </c>
      <c r="I57" t="s">
        <v>10</v>
      </c>
      <c r="J57" t="str">
        <f>_xlfn.XLOOKUP(branches[[#This Row],[Филиал]], tbl_Filialy[Филиал], tbl_Filialy[Менеджер])</f>
        <v>Сергей Мельников</v>
      </c>
    </row>
    <row r="58" spans="1:10" x14ac:dyDescent="0.3">
      <c r="A58" t="str">
        <f>_xlfn.XLOOKUP(branches[[#This Row],[Филиал]], tbl_Filialy[Филиал], tbl_Filialy[Город])</f>
        <v>Екатеринбург</v>
      </c>
      <c r="B58" s="1" t="s">
        <v>7</v>
      </c>
      <c r="C58" s="2">
        <v>45843</v>
      </c>
      <c r="D58" s="2" t="str">
        <f>CHOOSE(MONTH(branches[[#This Row],[Дата]]),"Январь","Февраль","Март","Апрель","Май","Июнь","Июль","Август","Сентябрь","Октябрь","Ноябрь","Декабрь")&amp;" "&amp;YEAR(branches[[#This Row],[Дата]])</f>
        <v>Июль 2025</v>
      </c>
      <c r="E58" t="s">
        <v>28</v>
      </c>
      <c r="F58" t="s">
        <v>12</v>
      </c>
      <c r="G58">
        <v>2</v>
      </c>
      <c r="H58">
        <v>448</v>
      </c>
      <c r="I58" t="s">
        <v>13</v>
      </c>
      <c r="J58" t="str">
        <f>_xlfn.XLOOKUP(branches[[#This Row],[Филиал]], tbl_Filialy[Филиал], tbl_Filialy[Менеджер])</f>
        <v>Сергей Мельников</v>
      </c>
    </row>
    <row r="59" spans="1:10" x14ac:dyDescent="0.3">
      <c r="A59" t="str">
        <f>_xlfn.XLOOKUP(branches[[#This Row],[Филиал]], tbl_Filialy[Филиал], tbl_Filialy[Город])</f>
        <v>Екатеринбург</v>
      </c>
      <c r="B59" s="1" t="s">
        <v>7</v>
      </c>
      <c r="C59" s="2">
        <v>45824</v>
      </c>
      <c r="D59" s="2" t="str">
        <f>CHOOSE(MONTH(branches[[#This Row],[Дата]]),"Январь","Февраль","Март","Апрель","Май","Июнь","Июль","Август","Сентябрь","Октябрь","Ноябрь","Декабрь")&amp;" "&amp;YEAR(branches[[#This Row],[Дата]])</f>
        <v>Июнь 2025</v>
      </c>
      <c r="E59" t="s">
        <v>11</v>
      </c>
      <c r="F59" t="s">
        <v>12</v>
      </c>
      <c r="G59">
        <v>1</v>
      </c>
      <c r="H59">
        <v>166</v>
      </c>
      <c r="I59" t="s">
        <v>21</v>
      </c>
      <c r="J59" t="str">
        <f>_xlfn.XLOOKUP(branches[[#This Row],[Филиал]], tbl_Filialy[Филиал], tbl_Filialy[Менеджер])</f>
        <v>Сергей Мельников</v>
      </c>
    </row>
    <row r="60" spans="1:10" x14ac:dyDescent="0.3">
      <c r="A60" t="str">
        <f>_xlfn.XLOOKUP(branches[[#This Row],[Филиал]], tbl_Filialy[Филиал], tbl_Filialy[Город])</f>
        <v>Екатеринбург</v>
      </c>
      <c r="B60" s="1" t="s">
        <v>7</v>
      </c>
      <c r="C60" s="2">
        <v>45946</v>
      </c>
      <c r="D60" s="2" t="str">
        <f>CHOOSE(MONTH(branches[[#This Row],[Дата]]),"Январь","Февраль","Март","Апрель","Май","Июнь","Июль","Август","Сентябрь","Октябрь","Ноябрь","Декабрь")&amp;" "&amp;YEAR(branches[[#This Row],[Дата]])</f>
        <v>Октябрь 2025</v>
      </c>
      <c r="E60" t="s">
        <v>11</v>
      </c>
      <c r="F60" t="s">
        <v>12</v>
      </c>
      <c r="G60">
        <v>1</v>
      </c>
      <c r="H60">
        <v>191</v>
      </c>
      <c r="I60" t="s">
        <v>15</v>
      </c>
      <c r="J60" t="str">
        <f>_xlfn.XLOOKUP(branches[[#This Row],[Филиал]], tbl_Filialy[Филиал], tbl_Filialy[Менеджер])</f>
        <v>Сергей Мельников</v>
      </c>
    </row>
    <row r="61" spans="1:10" x14ac:dyDescent="0.3">
      <c r="A61" t="str">
        <f>_xlfn.XLOOKUP(branches[[#This Row],[Филиал]], tbl_Filialy[Филиал], tbl_Filialy[Город])</f>
        <v>Екатеринбург</v>
      </c>
      <c r="B61" s="1" t="s">
        <v>7</v>
      </c>
      <c r="C61" s="2">
        <v>45660</v>
      </c>
      <c r="D61" s="2" t="str">
        <f>CHOOSE(MONTH(branches[[#This Row],[Дата]]),"Январь","Февраль","Март","Апрель","Май","Июнь","Июль","Август","Сентябрь","Октябрь","Ноябрь","Декабрь")&amp;" "&amp;YEAR(branches[[#This Row],[Дата]])</f>
        <v>Январь 2025</v>
      </c>
      <c r="E61" t="s">
        <v>28</v>
      </c>
      <c r="F61" t="s">
        <v>12</v>
      </c>
      <c r="G61">
        <v>3</v>
      </c>
      <c r="H61">
        <v>630</v>
      </c>
      <c r="I61" t="s">
        <v>10</v>
      </c>
      <c r="J61" t="str">
        <f>_xlfn.XLOOKUP(branches[[#This Row],[Филиал]], tbl_Filialy[Филиал], tbl_Filialy[Менеджер])</f>
        <v>Сергей Мельников</v>
      </c>
    </row>
    <row r="62" spans="1:10" x14ac:dyDescent="0.3">
      <c r="A62" t="str">
        <f>_xlfn.XLOOKUP(branches[[#This Row],[Филиал]], tbl_Filialy[Филиал], tbl_Filialy[Город])</f>
        <v>Екатеринбург</v>
      </c>
      <c r="B62" s="1" t="s">
        <v>7</v>
      </c>
      <c r="C62" s="2">
        <v>45730</v>
      </c>
      <c r="D62" s="2" t="str">
        <f>CHOOSE(MONTH(branches[[#This Row],[Дата]]),"Январь","Февраль","Март","Апрель","Май","Июнь","Июль","Август","Сентябрь","Октябрь","Ноябрь","Декабрь")&amp;" "&amp;YEAR(branches[[#This Row],[Дата]])</f>
        <v>Март 2025</v>
      </c>
      <c r="E62" t="s">
        <v>28</v>
      </c>
      <c r="F62" t="s">
        <v>12</v>
      </c>
      <c r="G62">
        <v>3</v>
      </c>
      <c r="H62">
        <v>705</v>
      </c>
      <c r="I62" t="s">
        <v>23</v>
      </c>
      <c r="J62" t="str">
        <f>_xlfn.XLOOKUP(branches[[#This Row],[Филиал]], tbl_Filialy[Филиал], tbl_Filialy[Менеджер])</f>
        <v>Сергей Мельников</v>
      </c>
    </row>
    <row r="63" spans="1:10" x14ac:dyDescent="0.3">
      <c r="A63" t="str">
        <f>_xlfn.XLOOKUP(branches[[#This Row],[Филиал]], tbl_Filialy[Филиал], tbl_Filialy[Город])</f>
        <v>Екатеринбург</v>
      </c>
      <c r="B63" s="1" t="s">
        <v>7</v>
      </c>
      <c r="C63" s="2">
        <v>45886</v>
      </c>
      <c r="D63" s="2" t="str">
        <f>CHOOSE(MONTH(branches[[#This Row],[Дата]]),"Январь","Февраль","Март","Апрель","Май","Июнь","Июль","Август","Сентябрь","Октябрь","Ноябрь","Декабрь")&amp;" "&amp;YEAR(branches[[#This Row],[Дата]])</f>
        <v>Август 2025</v>
      </c>
      <c r="E63" t="s">
        <v>11</v>
      </c>
      <c r="F63" t="s">
        <v>12</v>
      </c>
      <c r="G63">
        <v>3</v>
      </c>
      <c r="H63">
        <v>465</v>
      </c>
      <c r="I63" t="s">
        <v>19</v>
      </c>
      <c r="J63" t="str">
        <f>_xlfn.XLOOKUP(branches[[#This Row],[Филиал]], tbl_Filialy[Филиал], tbl_Filialy[Менеджер])</f>
        <v>Сергей Мельников</v>
      </c>
    </row>
    <row r="64" spans="1:10" x14ac:dyDescent="0.3">
      <c r="A64" t="str">
        <f>_xlfn.XLOOKUP(branches[[#This Row],[Филиал]], tbl_Filialy[Филиал], tbl_Filialy[Город])</f>
        <v>Екатеринбург</v>
      </c>
      <c r="B64" s="1" t="s">
        <v>7</v>
      </c>
      <c r="C64" s="2">
        <v>45735</v>
      </c>
      <c r="D64" s="2" t="str">
        <f>CHOOSE(MONTH(branches[[#This Row],[Дата]]),"Январь","Февраль","Март","Апрель","Май","Июнь","Июль","Август","Сентябрь","Октябрь","Ноябрь","Декабрь")&amp;" "&amp;YEAR(branches[[#This Row],[Дата]])</f>
        <v>Март 2025</v>
      </c>
      <c r="E64" t="s">
        <v>26</v>
      </c>
      <c r="F64" t="s">
        <v>9</v>
      </c>
      <c r="G64">
        <v>2</v>
      </c>
      <c r="H64">
        <v>396</v>
      </c>
      <c r="I64" t="s">
        <v>10</v>
      </c>
      <c r="J64" t="str">
        <f>_xlfn.XLOOKUP(branches[[#This Row],[Филиал]], tbl_Filialy[Филиал], tbl_Filialy[Менеджер])</f>
        <v>Сергей Мельников</v>
      </c>
    </row>
    <row r="65" spans="1:10" x14ac:dyDescent="0.3">
      <c r="A65" t="str">
        <f>_xlfn.XLOOKUP(branches[[#This Row],[Филиал]], tbl_Filialy[Филиал], tbl_Filialy[Город])</f>
        <v>Екатеринбург</v>
      </c>
      <c r="B65" s="1" t="s">
        <v>7</v>
      </c>
      <c r="C65" s="2">
        <v>45703</v>
      </c>
      <c r="D65" s="2" t="str">
        <f>CHOOSE(MONTH(branches[[#This Row],[Дата]]),"Январь","Февраль","Март","Апрель","Май","Июнь","Июль","Август","Сентябрь","Октябрь","Ноябрь","Декабрь")&amp;" "&amp;YEAR(branches[[#This Row],[Дата]])</f>
        <v>Февраль 2025</v>
      </c>
      <c r="E65" t="s">
        <v>24</v>
      </c>
      <c r="F65" t="s">
        <v>17</v>
      </c>
      <c r="G65">
        <v>1</v>
      </c>
      <c r="H65">
        <v>382</v>
      </c>
      <c r="I65" t="s">
        <v>19</v>
      </c>
      <c r="J65" t="str">
        <f>_xlfn.XLOOKUP(branches[[#This Row],[Филиал]], tbl_Filialy[Филиал], tbl_Filialy[Менеджер])</f>
        <v>Сергей Мельников</v>
      </c>
    </row>
    <row r="66" spans="1:10" x14ac:dyDescent="0.3">
      <c r="A66" t="str">
        <f>_xlfn.XLOOKUP(branches[[#This Row],[Филиал]], tbl_Filialy[Филиал], tbl_Filialy[Город])</f>
        <v>Екатеринбург</v>
      </c>
      <c r="B66" s="1" t="s">
        <v>7</v>
      </c>
      <c r="C66" s="2">
        <v>45693</v>
      </c>
      <c r="D66" s="2" t="str">
        <f>CHOOSE(MONTH(branches[[#This Row],[Дата]]),"Январь","Февраль","Март","Апрель","Май","Июнь","Июль","Август","Сентябрь","Октябрь","Ноябрь","Декабрь")&amp;" "&amp;YEAR(branches[[#This Row],[Дата]])</f>
        <v>Февраль 2025</v>
      </c>
      <c r="E66" t="s">
        <v>24</v>
      </c>
      <c r="F66" t="s">
        <v>17</v>
      </c>
      <c r="G66">
        <v>2</v>
      </c>
      <c r="H66">
        <v>678</v>
      </c>
      <c r="I66" t="s">
        <v>15</v>
      </c>
      <c r="J66" t="str">
        <f>_xlfn.XLOOKUP(branches[[#This Row],[Филиал]], tbl_Filialy[Филиал], tbl_Filialy[Менеджер])</f>
        <v>Сергей Мельников</v>
      </c>
    </row>
    <row r="67" spans="1:10" x14ac:dyDescent="0.3">
      <c r="A67" t="str">
        <f>_xlfn.XLOOKUP(branches[[#This Row],[Филиал]], tbl_Filialy[Филиал], tbl_Filialy[Город])</f>
        <v>Екатеринбург</v>
      </c>
      <c r="B67" s="1" t="s">
        <v>7</v>
      </c>
      <c r="C67" s="2">
        <v>45852</v>
      </c>
      <c r="D67" s="2" t="str">
        <f>CHOOSE(MONTH(branches[[#This Row],[Дата]]),"Январь","Февраль","Март","Апрель","Май","Июнь","Июль","Август","Сентябрь","Октябрь","Ноябрь","Декабрь")&amp;" "&amp;YEAR(branches[[#This Row],[Дата]])</f>
        <v>Июль 2025</v>
      </c>
      <c r="E67" t="s">
        <v>27</v>
      </c>
      <c r="F67" t="s">
        <v>12</v>
      </c>
      <c r="G67">
        <v>2</v>
      </c>
      <c r="H67">
        <v>466</v>
      </c>
      <c r="I67" t="s">
        <v>13</v>
      </c>
      <c r="J67" t="str">
        <f>_xlfn.XLOOKUP(branches[[#This Row],[Филиал]], tbl_Filialy[Филиал], tbl_Filialy[Менеджер])</f>
        <v>Сергей Мельников</v>
      </c>
    </row>
    <row r="68" spans="1:10" x14ac:dyDescent="0.3">
      <c r="A68" t="str">
        <f>_xlfn.XLOOKUP(branches[[#This Row],[Филиал]], tbl_Filialy[Филиал], tbl_Filialy[Город])</f>
        <v>Екатеринбург</v>
      </c>
      <c r="B68" s="1" t="s">
        <v>7</v>
      </c>
      <c r="C68" s="2">
        <v>45978</v>
      </c>
      <c r="D68" s="2" t="str">
        <f>CHOOSE(MONTH(branches[[#This Row],[Дата]]),"Январь","Февраль","Март","Апрель","Май","Июнь","Июль","Август","Сентябрь","Октябрь","Ноябрь","Декабрь")&amp;" "&amp;YEAR(branches[[#This Row],[Дата]])</f>
        <v>Ноябрь 2025</v>
      </c>
      <c r="E68" t="s">
        <v>14</v>
      </c>
      <c r="F68" t="s">
        <v>12</v>
      </c>
      <c r="G68">
        <v>1</v>
      </c>
      <c r="H68">
        <v>263</v>
      </c>
      <c r="I68" t="s">
        <v>21</v>
      </c>
      <c r="J68" t="str">
        <f>_xlfn.XLOOKUP(branches[[#This Row],[Филиал]], tbl_Filialy[Филиал], tbl_Filialy[Менеджер])</f>
        <v>Сергей Мельников</v>
      </c>
    </row>
    <row r="69" spans="1:10" x14ac:dyDescent="0.3">
      <c r="A69" t="str">
        <f>_xlfn.XLOOKUP(branches[[#This Row],[Филиал]], tbl_Filialy[Филиал], tbl_Filialy[Город])</f>
        <v>Екатеринбург</v>
      </c>
      <c r="B69" s="1" t="s">
        <v>7</v>
      </c>
      <c r="C69" s="2">
        <v>45784</v>
      </c>
      <c r="D69" s="2" t="str">
        <f>CHOOSE(MONTH(branches[[#This Row],[Дата]]),"Январь","Февраль","Март","Апрель","Май","Июнь","Июль","Август","Сентябрь","Октябрь","Ноябрь","Декабрь")&amp;" "&amp;YEAR(branches[[#This Row],[Дата]])</f>
        <v>Май 2025</v>
      </c>
      <c r="E69" t="s">
        <v>27</v>
      </c>
      <c r="F69" t="s">
        <v>12</v>
      </c>
      <c r="G69">
        <v>1</v>
      </c>
      <c r="H69">
        <v>216</v>
      </c>
      <c r="I69" t="s">
        <v>19</v>
      </c>
      <c r="J69" t="str">
        <f>_xlfn.XLOOKUP(branches[[#This Row],[Филиал]], tbl_Filialy[Филиал], tbl_Filialy[Менеджер])</f>
        <v>Сергей Мельников</v>
      </c>
    </row>
    <row r="70" spans="1:10" x14ac:dyDescent="0.3">
      <c r="A70" t="str">
        <f>_xlfn.XLOOKUP(branches[[#This Row],[Филиал]], tbl_Filialy[Филиал], tbl_Filialy[Город])</f>
        <v>Екатеринбург</v>
      </c>
      <c r="B70" s="1" t="s">
        <v>7</v>
      </c>
      <c r="C70" s="2">
        <v>45993</v>
      </c>
      <c r="D70" s="2" t="str">
        <f>CHOOSE(MONTH(branches[[#This Row],[Дата]]),"Январь","Февраль","Март","Апрель","Май","Июнь","Июль","Август","Сентябрь","Октябрь","Ноябрь","Декабрь")&amp;" "&amp;YEAR(branches[[#This Row],[Дата]])</f>
        <v>Декабрь 2025</v>
      </c>
      <c r="E70" t="s">
        <v>22</v>
      </c>
      <c r="F70" t="s">
        <v>9</v>
      </c>
      <c r="G70">
        <v>1</v>
      </c>
      <c r="H70">
        <v>165</v>
      </c>
      <c r="I70" t="s">
        <v>10</v>
      </c>
      <c r="J70" t="str">
        <f>_xlfn.XLOOKUP(branches[[#This Row],[Филиал]], tbl_Filialy[Филиал], tbl_Filialy[Менеджер])</f>
        <v>Сергей Мельников</v>
      </c>
    </row>
    <row r="71" spans="1:10" x14ac:dyDescent="0.3">
      <c r="A71" t="str">
        <f>_xlfn.XLOOKUP(branches[[#This Row],[Филиал]], tbl_Filialy[Филиал], tbl_Filialy[Город])</f>
        <v>Екатеринбург</v>
      </c>
      <c r="B71" s="1" t="s">
        <v>7</v>
      </c>
      <c r="C71" s="2">
        <v>45973</v>
      </c>
      <c r="D71" s="2" t="str">
        <f>CHOOSE(MONTH(branches[[#This Row],[Дата]]),"Январь","Февраль","Март","Апрель","Май","Июнь","Июль","Август","Сентябрь","Октябрь","Ноябрь","Декабрь")&amp;" "&amp;YEAR(branches[[#This Row],[Дата]])</f>
        <v>Ноябрь 2025</v>
      </c>
      <c r="E71" t="s">
        <v>24</v>
      </c>
      <c r="F71" t="s">
        <v>17</v>
      </c>
      <c r="G71">
        <v>3</v>
      </c>
      <c r="H71">
        <v>1170</v>
      </c>
      <c r="I71" t="s">
        <v>21</v>
      </c>
      <c r="J71" t="str">
        <f>_xlfn.XLOOKUP(branches[[#This Row],[Филиал]], tbl_Filialy[Филиал], tbl_Filialy[Менеджер])</f>
        <v>Сергей Мельников</v>
      </c>
    </row>
    <row r="72" spans="1:10" x14ac:dyDescent="0.3">
      <c r="A72" t="str">
        <f>_xlfn.XLOOKUP(branches[[#This Row],[Филиал]], tbl_Filialy[Филиал], tbl_Filialy[Город])</f>
        <v>Екатеринбург</v>
      </c>
      <c r="B72" s="1" t="s">
        <v>7</v>
      </c>
      <c r="C72" s="2">
        <v>45769</v>
      </c>
      <c r="D72" s="2" t="str">
        <f>CHOOSE(MONTH(branches[[#This Row],[Дата]]),"Январь","Февраль","Март","Апрель","Май","Июнь","Июль","Август","Сентябрь","Октябрь","Ноябрь","Декабрь")&amp;" "&amp;YEAR(branches[[#This Row],[Дата]])</f>
        <v>Апрель 2025</v>
      </c>
      <c r="E72" t="s">
        <v>26</v>
      </c>
      <c r="F72" t="s">
        <v>9</v>
      </c>
      <c r="G72">
        <v>2</v>
      </c>
      <c r="H72">
        <v>390</v>
      </c>
      <c r="I72" t="s">
        <v>19</v>
      </c>
      <c r="J72" t="str">
        <f>_xlfn.XLOOKUP(branches[[#This Row],[Филиал]], tbl_Filialy[Филиал], tbl_Filialy[Менеджер])</f>
        <v>Сергей Мельников</v>
      </c>
    </row>
    <row r="73" spans="1:10" x14ac:dyDescent="0.3">
      <c r="A73" t="str">
        <f>_xlfn.XLOOKUP(branches[[#This Row],[Филиал]], tbl_Filialy[Филиал], tbl_Filialy[Город])</f>
        <v>Екатеринбург</v>
      </c>
      <c r="B73" s="1" t="s">
        <v>7</v>
      </c>
      <c r="C73" s="2">
        <v>45952</v>
      </c>
      <c r="D73" s="2" t="str">
        <f>CHOOSE(MONTH(branches[[#This Row],[Дата]]),"Январь","Февраль","Март","Апрель","Май","Июнь","Июль","Август","Сентябрь","Октябрь","Ноябрь","Декабрь")&amp;" "&amp;YEAR(branches[[#This Row],[Дата]])</f>
        <v>Октябрь 2025</v>
      </c>
      <c r="E73" t="s">
        <v>18</v>
      </c>
      <c r="F73" t="s">
        <v>12</v>
      </c>
      <c r="G73">
        <v>1</v>
      </c>
      <c r="H73">
        <v>133</v>
      </c>
      <c r="I73" t="s">
        <v>10</v>
      </c>
      <c r="J73" t="str">
        <f>_xlfn.XLOOKUP(branches[[#This Row],[Филиал]], tbl_Filialy[Филиал], tbl_Filialy[Менеджер])</f>
        <v>Сергей Мельников</v>
      </c>
    </row>
    <row r="74" spans="1:10" x14ac:dyDescent="0.3">
      <c r="A74" t="str">
        <f>_xlfn.XLOOKUP(branches[[#This Row],[Филиал]], tbl_Filialy[Филиал], tbl_Filialy[Город])</f>
        <v>Екатеринбург</v>
      </c>
      <c r="B74" s="1" t="s">
        <v>7</v>
      </c>
      <c r="C74" s="2">
        <v>45841</v>
      </c>
      <c r="D74" s="2" t="str">
        <f>CHOOSE(MONTH(branches[[#This Row],[Дата]]),"Январь","Февраль","Март","Апрель","Май","Июнь","Июль","Август","Сентябрь","Октябрь","Ноябрь","Декабрь")&amp;" "&amp;YEAR(branches[[#This Row],[Дата]])</f>
        <v>Июль 2025</v>
      </c>
      <c r="E74" t="s">
        <v>11</v>
      </c>
      <c r="F74" t="s">
        <v>12</v>
      </c>
      <c r="G74">
        <v>2</v>
      </c>
      <c r="H74">
        <v>302</v>
      </c>
      <c r="I74" t="s">
        <v>21</v>
      </c>
      <c r="J74" t="str">
        <f>_xlfn.XLOOKUP(branches[[#This Row],[Филиал]], tbl_Filialy[Филиал], tbl_Filialy[Менеджер])</f>
        <v>Сергей Мельников</v>
      </c>
    </row>
    <row r="75" spans="1:10" x14ac:dyDescent="0.3">
      <c r="A75" t="str">
        <f>_xlfn.XLOOKUP(branches[[#This Row],[Филиал]], tbl_Filialy[Филиал], tbl_Filialy[Город])</f>
        <v>Екатеринбург</v>
      </c>
      <c r="B75" s="1" t="s">
        <v>7</v>
      </c>
      <c r="C75" s="2">
        <v>45790</v>
      </c>
      <c r="D75" s="2" t="str">
        <f>CHOOSE(MONTH(branches[[#This Row],[Дата]]),"Январь","Февраль","Март","Апрель","Май","Июнь","Июль","Август","Сентябрь","Октябрь","Ноябрь","Декабрь")&amp;" "&amp;YEAR(branches[[#This Row],[Дата]])</f>
        <v>Май 2025</v>
      </c>
      <c r="E75" t="s">
        <v>24</v>
      </c>
      <c r="F75" t="s">
        <v>17</v>
      </c>
      <c r="G75">
        <v>3</v>
      </c>
      <c r="H75">
        <v>1269</v>
      </c>
      <c r="I75" t="s">
        <v>13</v>
      </c>
      <c r="J75" t="str">
        <f>_xlfn.XLOOKUP(branches[[#This Row],[Филиал]], tbl_Filialy[Филиал], tbl_Filialy[Менеджер])</f>
        <v>Сергей Мельников</v>
      </c>
    </row>
    <row r="76" spans="1:10" x14ac:dyDescent="0.3">
      <c r="A76" t="str">
        <f>_xlfn.XLOOKUP(branches[[#This Row],[Филиал]], tbl_Filialy[Филиал], tbl_Filialy[Город])</f>
        <v>Екатеринбург</v>
      </c>
      <c r="B76" s="1" t="s">
        <v>7</v>
      </c>
      <c r="C76" s="2">
        <v>45976</v>
      </c>
      <c r="D76" s="2" t="str">
        <f>CHOOSE(MONTH(branches[[#This Row],[Дата]]),"Январь","Февраль","Март","Апрель","Май","Июнь","Июль","Август","Сентябрь","Октябрь","Ноябрь","Декабрь")&amp;" "&amp;YEAR(branches[[#This Row],[Дата]])</f>
        <v>Ноябрь 2025</v>
      </c>
      <c r="E76" t="s">
        <v>22</v>
      </c>
      <c r="F76" t="s">
        <v>9</v>
      </c>
      <c r="G76">
        <v>1</v>
      </c>
      <c r="H76">
        <v>183</v>
      </c>
      <c r="I76" t="s">
        <v>23</v>
      </c>
      <c r="J76" t="str">
        <f>_xlfn.XLOOKUP(branches[[#This Row],[Филиал]], tbl_Filialy[Филиал], tbl_Filialy[Менеджер])</f>
        <v>Сергей Мельников</v>
      </c>
    </row>
    <row r="77" spans="1:10" x14ac:dyDescent="0.3">
      <c r="A77" t="str">
        <f>_xlfn.XLOOKUP(branches[[#This Row],[Филиал]], tbl_Filialy[Филиал], tbl_Filialy[Город])</f>
        <v>Екатеринбург</v>
      </c>
      <c r="B77" s="1" t="s">
        <v>7</v>
      </c>
      <c r="C77" s="2">
        <v>45845</v>
      </c>
      <c r="D77" s="2" t="str">
        <f>CHOOSE(MONTH(branches[[#This Row],[Дата]]),"Январь","Февраль","Март","Апрель","Май","Июнь","Июль","Август","Сентябрь","Октябрь","Ноябрь","Декабрь")&amp;" "&amp;YEAR(branches[[#This Row],[Дата]])</f>
        <v>Июль 2025</v>
      </c>
      <c r="E77" t="s">
        <v>8</v>
      </c>
      <c r="F77" t="s">
        <v>9</v>
      </c>
      <c r="G77">
        <v>2</v>
      </c>
      <c r="H77">
        <v>470</v>
      </c>
      <c r="I77" t="s">
        <v>21</v>
      </c>
      <c r="J77" t="str">
        <f>_xlfn.XLOOKUP(branches[[#This Row],[Филиал]], tbl_Filialy[Филиал], tbl_Filialy[Менеджер])</f>
        <v>Сергей Мельников</v>
      </c>
    </row>
    <row r="78" spans="1:10" x14ac:dyDescent="0.3">
      <c r="A78" t="str">
        <f>_xlfn.XLOOKUP(branches[[#This Row],[Филиал]], tbl_Filialy[Филиал], tbl_Filialy[Город])</f>
        <v>Екатеринбург</v>
      </c>
      <c r="B78" s="1" t="s">
        <v>7</v>
      </c>
      <c r="C78" s="2">
        <v>46016</v>
      </c>
      <c r="D78" s="2" t="str">
        <f>CHOOSE(MONTH(branches[[#This Row],[Дата]]),"Январь","Февраль","Март","Апрель","Май","Июнь","Июль","Август","Сентябрь","Октябрь","Ноябрь","Декабрь")&amp;" "&amp;YEAR(branches[[#This Row],[Дата]])</f>
        <v>Декабрь 2025</v>
      </c>
      <c r="E78" t="s">
        <v>27</v>
      </c>
      <c r="F78" t="s">
        <v>12</v>
      </c>
      <c r="G78">
        <v>2</v>
      </c>
      <c r="H78">
        <v>370</v>
      </c>
      <c r="I78" t="s">
        <v>21</v>
      </c>
      <c r="J78" t="str">
        <f>_xlfn.XLOOKUP(branches[[#This Row],[Филиал]], tbl_Filialy[Филиал], tbl_Filialy[Менеджер])</f>
        <v>Сергей Мельников</v>
      </c>
    </row>
    <row r="79" spans="1:10" x14ac:dyDescent="0.3">
      <c r="A79" t="str">
        <f>_xlfn.XLOOKUP(branches[[#This Row],[Филиал]], tbl_Filialy[Филиал], tbl_Filialy[Город])</f>
        <v>Екатеринбург</v>
      </c>
      <c r="B79" s="1" t="s">
        <v>7</v>
      </c>
      <c r="C79" s="2">
        <v>45890</v>
      </c>
      <c r="D79" s="2" t="str">
        <f>CHOOSE(MONTH(branches[[#This Row],[Дата]]),"Январь","Февраль","Март","Апрель","Май","Июнь","Июль","Август","Сентябрь","Октябрь","Ноябрь","Декабрь")&amp;" "&amp;YEAR(branches[[#This Row],[Дата]])</f>
        <v>Август 2025</v>
      </c>
      <c r="E79" t="s">
        <v>22</v>
      </c>
      <c r="F79" t="s">
        <v>9</v>
      </c>
      <c r="G79">
        <v>1</v>
      </c>
      <c r="H79">
        <v>188</v>
      </c>
      <c r="I79" t="s">
        <v>21</v>
      </c>
      <c r="J79" t="str">
        <f>_xlfn.XLOOKUP(branches[[#This Row],[Филиал]], tbl_Filialy[Филиал], tbl_Filialy[Менеджер])</f>
        <v>Сергей Мельников</v>
      </c>
    </row>
    <row r="80" spans="1:10" x14ac:dyDescent="0.3">
      <c r="A80" t="str">
        <f>_xlfn.XLOOKUP(branches[[#This Row],[Филиал]], tbl_Filialy[Филиал], tbl_Filialy[Город])</f>
        <v>Екатеринбург</v>
      </c>
      <c r="B80" s="1" t="s">
        <v>7</v>
      </c>
      <c r="C80" s="2">
        <v>45814</v>
      </c>
      <c r="D80" s="2" t="str">
        <f>CHOOSE(MONTH(branches[[#This Row],[Дата]]),"Январь","Февраль","Март","Апрель","Май","Июнь","Июль","Август","Сентябрь","Октябрь","Ноябрь","Декабрь")&amp;" "&amp;YEAR(branches[[#This Row],[Дата]])</f>
        <v>Июнь 2025</v>
      </c>
      <c r="E80" t="s">
        <v>27</v>
      </c>
      <c r="F80" t="s">
        <v>12</v>
      </c>
      <c r="G80">
        <v>2</v>
      </c>
      <c r="H80">
        <v>378</v>
      </c>
      <c r="I80" t="s">
        <v>15</v>
      </c>
      <c r="J80" t="str">
        <f>_xlfn.XLOOKUP(branches[[#This Row],[Филиал]], tbl_Filialy[Филиал], tbl_Filialy[Менеджер])</f>
        <v>Сергей Мельников</v>
      </c>
    </row>
    <row r="81" spans="1:10" x14ac:dyDescent="0.3">
      <c r="A81" t="str">
        <f>_xlfn.XLOOKUP(branches[[#This Row],[Филиал]], tbl_Filialy[Филиал], tbl_Filialy[Город])</f>
        <v>Екатеринбург</v>
      </c>
      <c r="B81" s="1" t="s">
        <v>7</v>
      </c>
      <c r="C81" s="2">
        <v>45681</v>
      </c>
      <c r="D81" s="2" t="str">
        <f>CHOOSE(MONTH(branches[[#This Row],[Дата]]),"Январь","Февраль","Март","Апрель","Май","Июнь","Июль","Август","Сентябрь","Октябрь","Ноябрь","Декабрь")&amp;" "&amp;YEAR(branches[[#This Row],[Дата]])</f>
        <v>Январь 2025</v>
      </c>
      <c r="E81" t="s">
        <v>14</v>
      </c>
      <c r="F81" t="s">
        <v>12</v>
      </c>
      <c r="G81">
        <v>3</v>
      </c>
      <c r="H81">
        <v>729</v>
      </c>
      <c r="I81" t="s">
        <v>15</v>
      </c>
      <c r="J81" t="str">
        <f>_xlfn.XLOOKUP(branches[[#This Row],[Филиал]], tbl_Filialy[Филиал], tbl_Filialy[Менеджер])</f>
        <v>Сергей Мельников</v>
      </c>
    </row>
    <row r="82" spans="1:10" x14ac:dyDescent="0.3">
      <c r="A82" t="str">
        <f>_xlfn.XLOOKUP(branches[[#This Row],[Филиал]], tbl_Filialy[Филиал], tbl_Filialy[Город])</f>
        <v>Екатеринбург</v>
      </c>
      <c r="B82" s="1" t="s">
        <v>7</v>
      </c>
      <c r="C82" s="2">
        <v>45782</v>
      </c>
      <c r="D82" s="2" t="str">
        <f>CHOOSE(MONTH(branches[[#This Row],[Дата]]),"Январь","Февраль","Март","Апрель","Май","Июнь","Июль","Август","Сентябрь","Октябрь","Ноябрь","Декабрь")&amp;" "&amp;YEAR(branches[[#This Row],[Дата]])</f>
        <v>Май 2025</v>
      </c>
      <c r="E82" t="s">
        <v>8</v>
      </c>
      <c r="F82" t="s">
        <v>9</v>
      </c>
      <c r="G82">
        <v>1</v>
      </c>
      <c r="H82">
        <v>266</v>
      </c>
      <c r="I82" t="s">
        <v>15</v>
      </c>
      <c r="J82" t="str">
        <f>_xlfn.XLOOKUP(branches[[#This Row],[Филиал]], tbl_Filialy[Филиал], tbl_Filialy[Менеджер])</f>
        <v>Сергей Мельников</v>
      </c>
    </row>
    <row r="83" spans="1:10" x14ac:dyDescent="0.3">
      <c r="A83" t="str">
        <f>_xlfn.XLOOKUP(branches[[#This Row],[Филиал]], tbl_Filialy[Филиал], tbl_Filialy[Город])</f>
        <v>Екатеринбург</v>
      </c>
      <c r="B83" s="1" t="s">
        <v>7</v>
      </c>
      <c r="C83" s="2">
        <v>45913</v>
      </c>
      <c r="D83" s="2" t="str">
        <f>CHOOSE(MONTH(branches[[#This Row],[Дата]]),"Январь","Февраль","Март","Апрель","Май","Июнь","Июль","Август","Сентябрь","Октябрь","Ноябрь","Декабрь")&amp;" "&amp;YEAR(branches[[#This Row],[Дата]])</f>
        <v>Сентябрь 2025</v>
      </c>
      <c r="E83" t="s">
        <v>18</v>
      </c>
      <c r="F83" t="s">
        <v>12</v>
      </c>
      <c r="G83">
        <v>3</v>
      </c>
      <c r="H83">
        <v>438</v>
      </c>
      <c r="I83" t="s">
        <v>29</v>
      </c>
      <c r="J83" t="str">
        <f>_xlfn.XLOOKUP(branches[[#This Row],[Филиал]], tbl_Filialy[Филиал], tbl_Filialy[Менеджер])</f>
        <v>Сергей Мельников</v>
      </c>
    </row>
    <row r="84" spans="1:10" x14ac:dyDescent="0.3">
      <c r="A84" t="str">
        <f>_xlfn.XLOOKUP(branches[[#This Row],[Филиал]], tbl_Filialy[Филиал], tbl_Filialy[Город])</f>
        <v>Екатеринбург</v>
      </c>
      <c r="B84" s="1" t="s">
        <v>7</v>
      </c>
      <c r="C84" s="2">
        <v>45970</v>
      </c>
      <c r="D84" s="2" t="str">
        <f>CHOOSE(MONTH(branches[[#This Row],[Дата]]),"Январь","Февраль","Март","Апрель","Май","Июнь","Июль","Август","Сентябрь","Октябрь","Ноябрь","Декабрь")&amp;" "&amp;YEAR(branches[[#This Row],[Дата]])</f>
        <v>Ноябрь 2025</v>
      </c>
      <c r="E84" t="s">
        <v>25</v>
      </c>
      <c r="F84" t="s">
        <v>12</v>
      </c>
      <c r="G84">
        <v>1</v>
      </c>
      <c r="H84">
        <v>233</v>
      </c>
      <c r="I84" t="s">
        <v>19</v>
      </c>
      <c r="J84" t="str">
        <f>_xlfn.XLOOKUP(branches[[#This Row],[Филиал]], tbl_Filialy[Филиал], tbl_Filialy[Менеджер])</f>
        <v>Сергей Мельников</v>
      </c>
    </row>
    <row r="85" spans="1:10" x14ac:dyDescent="0.3">
      <c r="A85" t="str">
        <f>_xlfn.XLOOKUP(branches[[#This Row],[Филиал]], tbl_Filialy[Филиал], tbl_Filialy[Город])</f>
        <v>Екатеринбург</v>
      </c>
      <c r="B85" s="1" t="s">
        <v>7</v>
      </c>
      <c r="C85" s="2">
        <v>45769</v>
      </c>
      <c r="D85" s="2" t="str">
        <f>CHOOSE(MONTH(branches[[#This Row],[Дата]]),"Январь","Февраль","Март","Апрель","Май","Июнь","Июль","Август","Сентябрь","Октябрь","Ноябрь","Декабрь")&amp;" "&amp;YEAR(branches[[#This Row],[Дата]])</f>
        <v>Апрель 2025</v>
      </c>
      <c r="E85" t="s">
        <v>14</v>
      </c>
      <c r="F85" t="s">
        <v>12</v>
      </c>
      <c r="G85">
        <v>1</v>
      </c>
      <c r="H85">
        <v>258</v>
      </c>
      <c r="I85" t="s">
        <v>15</v>
      </c>
      <c r="J85" t="str">
        <f>_xlfn.XLOOKUP(branches[[#This Row],[Филиал]], tbl_Filialy[Филиал], tbl_Filialy[Менеджер])</f>
        <v>Сергей Мельников</v>
      </c>
    </row>
    <row r="86" spans="1:10" x14ac:dyDescent="0.3">
      <c r="A86" t="str">
        <f>_xlfn.XLOOKUP(branches[[#This Row],[Филиал]], tbl_Filialy[Филиал], tbl_Filialy[Город])</f>
        <v>Екатеринбург</v>
      </c>
      <c r="B86" s="1" t="s">
        <v>7</v>
      </c>
      <c r="C86" s="2">
        <v>46006</v>
      </c>
      <c r="D86" s="2" t="str">
        <f>CHOOSE(MONTH(branches[[#This Row],[Дата]]),"Январь","Февраль","Март","Апрель","Май","Июнь","Июль","Август","Сентябрь","Октябрь","Ноябрь","Декабрь")&amp;" "&amp;YEAR(branches[[#This Row],[Дата]])</f>
        <v>Декабрь 2025</v>
      </c>
      <c r="E86" t="s">
        <v>22</v>
      </c>
      <c r="F86" t="s">
        <v>9</v>
      </c>
      <c r="G86">
        <v>2</v>
      </c>
      <c r="H86">
        <v>372</v>
      </c>
      <c r="I86" t="s">
        <v>23</v>
      </c>
      <c r="J86" t="str">
        <f>_xlfn.XLOOKUP(branches[[#This Row],[Филиал]], tbl_Filialy[Филиал], tbl_Filialy[Менеджер])</f>
        <v>Сергей Мельников</v>
      </c>
    </row>
    <row r="87" spans="1:10" x14ac:dyDescent="0.3">
      <c r="A87" t="str">
        <f>_xlfn.XLOOKUP(branches[[#This Row],[Филиал]], tbl_Filialy[Филиал], tbl_Filialy[Город])</f>
        <v>Екатеринбург</v>
      </c>
      <c r="B87" s="1" t="s">
        <v>7</v>
      </c>
      <c r="C87" s="2">
        <v>45880</v>
      </c>
      <c r="D87" s="2" t="str">
        <f>CHOOSE(MONTH(branches[[#This Row],[Дата]]),"Январь","Февраль","Март","Апрель","Май","Июнь","Июль","Август","Сентябрь","Октябрь","Ноябрь","Декабрь")&amp;" "&amp;YEAR(branches[[#This Row],[Дата]])</f>
        <v>Август 2025</v>
      </c>
      <c r="E87" t="s">
        <v>8</v>
      </c>
      <c r="F87" t="s">
        <v>9</v>
      </c>
      <c r="G87">
        <v>2</v>
      </c>
      <c r="H87">
        <v>560</v>
      </c>
      <c r="I87" t="s">
        <v>10</v>
      </c>
      <c r="J87" t="str">
        <f>_xlfn.XLOOKUP(branches[[#This Row],[Филиал]], tbl_Filialy[Филиал], tbl_Filialy[Менеджер])</f>
        <v>Сергей Мельников</v>
      </c>
    </row>
    <row r="88" spans="1:10" x14ac:dyDescent="0.3">
      <c r="A88" t="str">
        <f>_xlfn.XLOOKUP(branches[[#This Row],[Филиал]], tbl_Filialy[Филиал], tbl_Filialy[Город])</f>
        <v>Екатеринбург</v>
      </c>
      <c r="B88" s="1" t="s">
        <v>7</v>
      </c>
      <c r="C88" s="2">
        <v>45973</v>
      </c>
      <c r="D88" s="2" t="str">
        <f>CHOOSE(MONTH(branches[[#This Row],[Дата]]),"Январь","Февраль","Март","Апрель","Май","Июнь","Июль","Август","Сентябрь","Октябрь","Ноябрь","Декабрь")&amp;" "&amp;YEAR(branches[[#This Row],[Дата]])</f>
        <v>Ноябрь 2025</v>
      </c>
      <c r="E88" t="s">
        <v>11</v>
      </c>
      <c r="F88" t="s">
        <v>12</v>
      </c>
      <c r="G88">
        <v>1</v>
      </c>
      <c r="H88">
        <v>188</v>
      </c>
      <c r="I88" t="s">
        <v>10</v>
      </c>
      <c r="J88" t="str">
        <f>_xlfn.XLOOKUP(branches[[#This Row],[Филиал]], tbl_Filialy[Филиал], tbl_Filialy[Менеджер])</f>
        <v>Сергей Мельников</v>
      </c>
    </row>
    <row r="89" spans="1:10" x14ac:dyDescent="0.3">
      <c r="A89" t="str">
        <f>_xlfn.XLOOKUP(branches[[#This Row],[Филиал]], tbl_Filialy[Филиал], tbl_Filialy[Город])</f>
        <v>Екатеринбург</v>
      </c>
      <c r="B89" s="1" t="s">
        <v>7</v>
      </c>
      <c r="C89" s="2">
        <v>45774</v>
      </c>
      <c r="D89" s="2" t="str">
        <f>CHOOSE(MONTH(branches[[#This Row],[Дата]]),"Январь","Февраль","Март","Апрель","Май","Июнь","Июль","Август","Сентябрь","Октябрь","Ноябрь","Декабрь")&amp;" "&amp;YEAR(branches[[#This Row],[Дата]])</f>
        <v>Апрель 2025</v>
      </c>
      <c r="E89" t="s">
        <v>14</v>
      </c>
      <c r="F89" t="s">
        <v>12</v>
      </c>
      <c r="G89">
        <v>3</v>
      </c>
      <c r="H89">
        <v>786</v>
      </c>
      <c r="I89" t="s">
        <v>23</v>
      </c>
      <c r="J89" t="str">
        <f>_xlfn.XLOOKUP(branches[[#This Row],[Филиал]], tbl_Filialy[Филиал], tbl_Filialy[Менеджер])</f>
        <v>Сергей Мельников</v>
      </c>
    </row>
    <row r="90" spans="1:10" x14ac:dyDescent="0.3">
      <c r="A90" t="str">
        <f>_xlfn.XLOOKUP(branches[[#This Row],[Филиал]], tbl_Filialy[Филиал], tbl_Filialy[Город])</f>
        <v>Екатеринбург</v>
      </c>
      <c r="B90" s="1" t="s">
        <v>7</v>
      </c>
      <c r="C90" s="2">
        <v>45725</v>
      </c>
      <c r="D90" s="2" t="str">
        <f>CHOOSE(MONTH(branches[[#This Row],[Дата]]),"Январь","Февраль","Март","Апрель","Май","Июнь","Июль","Август","Сентябрь","Октябрь","Ноябрь","Декабрь")&amp;" "&amp;YEAR(branches[[#This Row],[Дата]])</f>
        <v>Март 2025</v>
      </c>
      <c r="E90" t="s">
        <v>26</v>
      </c>
      <c r="F90" t="s">
        <v>9</v>
      </c>
      <c r="G90">
        <v>1</v>
      </c>
      <c r="H90">
        <v>189</v>
      </c>
      <c r="I90" t="s">
        <v>23</v>
      </c>
      <c r="J90" t="str">
        <f>_xlfn.XLOOKUP(branches[[#This Row],[Филиал]], tbl_Filialy[Филиал], tbl_Filialy[Менеджер])</f>
        <v>Сергей Мельников</v>
      </c>
    </row>
    <row r="91" spans="1:10" x14ac:dyDescent="0.3">
      <c r="A91" t="str">
        <f>_xlfn.XLOOKUP(branches[[#This Row],[Филиал]], tbl_Filialy[Филиал], tbl_Filialy[Город])</f>
        <v>Екатеринбург</v>
      </c>
      <c r="B91" s="1" t="s">
        <v>7</v>
      </c>
      <c r="C91" s="2">
        <v>45872</v>
      </c>
      <c r="D91" s="2" t="str">
        <f>CHOOSE(MONTH(branches[[#This Row],[Дата]]),"Январь","Февраль","Март","Апрель","Май","Июнь","Июль","Август","Сентябрь","Октябрь","Ноябрь","Декабрь")&amp;" "&amp;YEAR(branches[[#This Row],[Дата]])</f>
        <v>Август 2025</v>
      </c>
      <c r="E91" t="s">
        <v>25</v>
      </c>
      <c r="F91" t="s">
        <v>12</v>
      </c>
      <c r="G91">
        <v>2</v>
      </c>
      <c r="H91">
        <v>474</v>
      </c>
      <c r="I91" t="s">
        <v>10</v>
      </c>
      <c r="J91" t="str">
        <f>_xlfn.XLOOKUP(branches[[#This Row],[Филиал]], tbl_Filialy[Филиал], tbl_Filialy[Менеджер])</f>
        <v>Сергей Мельников</v>
      </c>
    </row>
    <row r="92" spans="1:10" x14ac:dyDescent="0.3">
      <c r="A92" t="str">
        <f>_xlfn.XLOOKUP(branches[[#This Row],[Филиал]], tbl_Filialy[Филиал], tbl_Filialy[Город])</f>
        <v>Екатеринбург</v>
      </c>
      <c r="B92" s="1" t="s">
        <v>7</v>
      </c>
      <c r="C92" s="2">
        <v>45875</v>
      </c>
      <c r="D92" s="2" t="str">
        <f>CHOOSE(MONTH(branches[[#This Row],[Дата]]),"Январь","Февраль","Март","Апрель","Май","Июнь","Июль","Август","Сентябрь","Октябрь","Ноябрь","Декабрь")&amp;" "&amp;YEAR(branches[[#This Row],[Дата]])</f>
        <v>Август 2025</v>
      </c>
      <c r="E92" t="s">
        <v>18</v>
      </c>
      <c r="F92" t="s">
        <v>12</v>
      </c>
      <c r="G92">
        <v>3</v>
      </c>
      <c r="H92">
        <v>408</v>
      </c>
      <c r="I92" t="s">
        <v>23</v>
      </c>
      <c r="J92" t="str">
        <f>_xlfn.XLOOKUP(branches[[#This Row],[Филиал]], tbl_Filialy[Филиал], tbl_Filialy[Менеджер])</f>
        <v>Сергей Мельников</v>
      </c>
    </row>
    <row r="93" spans="1:10" x14ac:dyDescent="0.3">
      <c r="A93" t="str">
        <f>_xlfn.XLOOKUP(branches[[#This Row],[Филиал]], tbl_Filialy[Филиал], tbl_Filialy[Город])</f>
        <v>Екатеринбург</v>
      </c>
      <c r="B93" s="1" t="s">
        <v>7</v>
      </c>
      <c r="C93" s="2">
        <v>45691</v>
      </c>
      <c r="D93" s="2" t="str">
        <f>CHOOSE(MONTH(branches[[#This Row],[Дата]]),"Январь","Февраль","Март","Апрель","Май","Июнь","Июль","Август","Сентябрь","Октябрь","Ноябрь","Декабрь")&amp;" "&amp;YEAR(branches[[#This Row],[Дата]])</f>
        <v>Февраль 2025</v>
      </c>
      <c r="E93" t="s">
        <v>18</v>
      </c>
      <c r="F93" t="s">
        <v>12</v>
      </c>
      <c r="G93">
        <v>2</v>
      </c>
      <c r="H93">
        <v>316</v>
      </c>
      <c r="I93" t="s">
        <v>13</v>
      </c>
      <c r="J93" t="str">
        <f>_xlfn.XLOOKUP(branches[[#This Row],[Филиал]], tbl_Filialy[Филиал], tbl_Filialy[Менеджер])</f>
        <v>Сергей Мельников</v>
      </c>
    </row>
    <row r="94" spans="1:10" x14ac:dyDescent="0.3">
      <c r="A94" t="str">
        <f>_xlfn.XLOOKUP(branches[[#This Row],[Филиал]], tbl_Filialy[Филиал], tbl_Filialy[Город])</f>
        <v>Екатеринбург</v>
      </c>
      <c r="B94" s="1" t="s">
        <v>7</v>
      </c>
      <c r="C94" s="2">
        <v>45914</v>
      </c>
      <c r="D94" s="2" t="str">
        <f>CHOOSE(MONTH(branches[[#This Row],[Дата]]),"Январь","Февраль","Март","Апрель","Май","Июнь","Июль","Август","Сентябрь","Октябрь","Ноябрь","Декабрь")&amp;" "&amp;YEAR(branches[[#This Row],[Дата]])</f>
        <v>Сентябрь 2025</v>
      </c>
      <c r="E94" t="s">
        <v>22</v>
      </c>
      <c r="F94" t="s">
        <v>9</v>
      </c>
      <c r="G94">
        <v>3</v>
      </c>
      <c r="H94">
        <v>567</v>
      </c>
      <c r="I94" t="s">
        <v>15</v>
      </c>
      <c r="J94" t="str">
        <f>_xlfn.XLOOKUP(branches[[#This Row],[Филиал]], tbl_Filialy[Филиал], tbl_Filialy[Менеджер])</f>
        <v>Сергей Мельников</v>
      </c>
    </row>
    <row r="95" spans="1:10" x14ac:dyDescent="0.3">
      <c r="A95" t="str">
        <f>_xlfn.XLOOKUP(branches[[#This Row],[Филиал]], tbl_Filialy[Филиал], tbl_Filialy[Город])</f>
        <v>Екатеринбург</v>
      </c>
      <c r="B95" s="1" t="s">
        <v>7</v>
      </c>
      <c r="C95" s="2">
        <v>45920</v>
      </c>
      <c r="D95" s="2" t="str">
        <f>CHOOSE(MONTH(branches[[#This Row],[Дата]]),"Январь","Февраль","Март","Апрель","Май","Июнь","Июль","Август","Сентябрь","Октябрь","Ноябрь","Декабрь")&amp;" "&amp;YEAR(branches[[#This Row],[Дата]])</f>
        <v>Сентябрь 2025</v>
      </c>
      <c r="E95" t="s">
        <v>28</v>
      </c>
      <c r="F95" t="s">
        <v>12</v>
      </c>
      <c r="G95">
        <v>2</v>
      </c>
      <c r="H95">
        <v>518</v>
      </c>
      <c r="I95" t="s">
        <v>23</v>
      </c>
      <c r="J95" t="str">
        <f>_xlfn.XLOOKUP(branches[[#This Row],[Филиал]], tbl_Filialy[Филиал], tbl_Filialy[Менеджер])</f>
        <v>Сергей Мельников</v>
      </c>
    </row>
    <row r="96" spans="1:10" x14ac:dyDescent="0.3">
      <c r="A96" t="str">
        <f>_xlfn.XLOOKUP(branches[[#This Row],[Филиал]], tbl_Filialy[Филиал], tbl_Filialy[Город])</f>
        <v>Екатеринбург</v>
      </c>
      <c r="B96" s="1" t="s">
        <v>7</v>
      </c>
      <c r="C96" s="2">
        <v>45962</v>
      </c>
      <c r="D96" s="2" t="str">
        <f>CHOOSE(MONTH(branches[[#This Row],[Дата]]),"Январь","Февраль","Март","Апрель","Май","Июнь","Июль","Август","Сентябрь","Октябрь","Ноябрь","Декабрь")&amp;" "&amp;YEAR(branches[[#This Row],[Дата]])</f>
        <v>Ноябрь 2025</v>
      </c>
      <c r="E96" t="s">
        <v>28</v>
      </c>
      <c r="F96" t="s">
        <v>12</v>
      </c>
      <c r="G96">
        <v>1</v>
      </c>
      <c r="H96">
        <v>252</v>
      </c>
      <c r="I96" t="s">
        <v>19</v>
      </c>
      <c r="J96" t="str">
        <f>_xlfn.XLOOKUP(branches[[#This Row],[Филиал]], tbl_Filialy[Филиал], tbl_Filialy[Менеджер])</f>
        <v>Сергей Мельников</v>
      </c>
    </row>
    <row r="97" spans="1:10" x14ac:dyDescent="0.3">
      <c r="A97" t="str">
        <f>_xlfn.XLOOKUP(branches[[#This Row],[Филиал]], tbl_Filialy[Филиал], tbl_Filialy[Город])</f>
        <v>Екатеринбург</v>
      </c>
      <c r="B97" s="1" t="s">
        <v>7</v>
      </c>
      <c r="C97" s="2">
        <v>45680</v>
      </c>
      <c r="D97" s="2" t="str">
        <f>CHOOSE(MONTH(branches[[#This Row],[Дата]]),"Январь","Февраль","Март","Апрель","Май","Июнь","Июль","Август","Сентябрь","Октябрь","Ноябрь","Декабрь")&amp;" "&amp;YEAR(branches[[#This Row],[Дата]])</f>
        <v>Январь 2025</v>
      </c>
      <c r="E97" t="s">
        <v>24</v>
      </c>
      <c r="F97" t="s">
        <v>17</v>
      </c>
      <c r="G97">
        <v>1</v>
      </c>
      <c r="H97">
        <v>400</v>
      </c>
      <c r="I97" t="s">
        <v>15</v>
      </c>
      <c r="J97" t="str">
        <f>_xlfn.XLOOKUP(branches[[#This Row],[Филиал]], tbl_Filialy[Филиал], tbl_Filialy[Менеджер])</f>
        <v>Сергей Мельников</v>
      </c>
    </row>
    <row r="98" spans="1:10" x14ac:dyDescent="0.3">
      <c r="A98" t="str">
        <f>_xlfn.XLOOKUP(branches[[#This Row],[Филиал]], tbl_Filialy[Филиал], tbl_Filialy[Город])</f>
        <v>Екатеринбург</v>
      </c>
      <c r="B98" s="1" t="s">
        <v>7</v>
      </c>
      <c r="C98" s="2">
        <v>45804</v>
      </c>
      <c r="D98" s="2" t="str">
        <f>CHOOSE(MONTH(branches[[#This Row],[Дата]]),"Январь","Февраль","Март","Апрель","Май","Июнь","Июль","Август","Сентябрь","Октябрь","Ноябрь","Декабрь")&amp;" "&amp;YEAR(branches[[#This Row],[Дата]])</f>
        <v>Май 2025</v>
      </c>
      <c r="E98" t="s">
        <v>11</v>
      </c>
      <c r="F98" t="s">
        <v>12</v>
      </c>
      <c r="G98">
        <v>2</v>
      </c>
      <c r="H98">
        <v>312</v>
      </c>
      <c r="I98" t="s">
        <v>21</v>
      </c>
      <c r="J98" t="str">
        <f>_xlfn.XLOOKUP(branches[[#This Row],[Филиал]], tbl_Filialy[Филиал], tbl_Filialy[Менеджер])</f>
        <v>Сергей Мельников</v>
      </c>
    </row>
    <row r="99" spans="1:10" x14ac:dyDescent="0.3">
      <c r="A99" t="str">
        <f>_xlfn.XLOOKUP(branches[[#This Row],[Филиал]], tbl_Filialy[Филиал], tbl_Filialy[Город])</f>
        <v>Екатеринбург</v>
      </c>
      <c r="B99" s="1" t="s">
        <v>7</v>
      </c>
      <c r="C99" s="2">
        <v>45873</v>
      </c>
      <c r="D99" s="2" t="str">
        <f>CHOOSE(MONTH(branches[[#This Row],[Дата]]),"Январь","Февраль","Март","Апрель","Май","Июнь","Июль","Август","Сентябрь","Октябрь","Ноябрь","Декабрь")&amp;" "&amp;YEAR(branches[[#This Row],[Дата]])</f>
        <v>Август 2025</v>
      </c>
      <c r="E99" t="s">
        <v>28</v>
      </c>
      <c r="F99" t="s">
        <v>12</v>
      </c>
      <c r="G99">
        <v>1</v>
      </c>
      <c r="H99">
        <v>246</v>
      </c>
      <c r="I99" t="s">
        <v>15</v>
      </c>
      <c r="J99" t="str">
        <f>_xlfn.XLOOKUP(branches[[#This Row],[Филиал]], tbl_Filialy[Филиал], tbl_Filialy[Менеджер])</f>
        <v>Сергей Мельников</v>
      </c>
    </row>
    <row r="100" spans="1:10" x14ac:dyDescent="0.3">
      <c r="A100" t="str">
        <f>_xlfn.XLOOKUP(branches[[#This Row],[Филиал]], tbl_Filialy[Филиал], tbl_Filialy[Город])</f>
        <v>Екатеринбург</v>
      </c>
      <c r="B100" s="1" t="s">
        <v>7</v>
      </c>
      <c r="C100" s="2">
        <v>45711</v>
      </c>
      <c r="D100" s="2" t="str">
        <f>CHOOSE(MONTH(branches[[#This Row],[Дата]]),"Январь","Февраль","Март","Апрель","Май","Июнь","Июль","Август","Сентябрь","Октябрь","Ноябрь","Декабрь")&amp;" "&amp;YEAR(branches[[#This Row],[Дата]])</f>
        <v>Февраль 2025</v>
      </c>
      <c r="E100" t="s">
        <v>24</v>
      </c>
      <c r="F100" t="s">
        <v>17</v>
      </c>
      <c r="G100">
        <v>1</v>
      </c>
      <c r="H100">
        <v>363</v>
      </c>
      <c r="I100" t="s">
        <v>13</v>
      </c>
      <c r="J100" t="str">
        <f>_xlfn.XLOOKUP(branches[[#This Row],[Филиал]], tbl_Filialy[Филиал], tbl_Filialy[Менеджер])</f>
        <v>Сергей Мельников</v>
      </c>
    </row>
    <row r="101" spans="1:10" x14ac:dyDescent="0.3">
      <c r="A101" t="str">
        <f>_xlfn.XLOOKUP(branches[[#This Row],[Филиал]], tbl_Filialy[Филиал], tbl_Filialy[Город])</f>
        <v>Екатеринбург</v>
      </c>
      <c r="B101" s="1" t="s">
        <v>7</v>
      </c>
      <c r="C101" s="2">
        <v>45828</v>
      </c>
      <c r="D101" s="2" t="str">
        <f>CHOOSE(MONTH(branches[[#This Row],[Дата]]),"Январь","Февраль","Март","Апрель","Май","Июнь","Июль","Август","Сентябрь","Октябрь","Ноябрь","Декабрь")&amp;" "&amp;YEAR(branches[[#This Row],[Дата]])</f>
        <v>Июнь 2025</v>
      </c>
      <c r="E101" t="s">
        <v>16</v>
      </c>
      <c r="F101" t="s">
        <v>17</v>
      </c>
      <c r="G101">
        <v>3</v>
      </c>
      <c r="H101">
        <v>954</v>
      </c>
      <c r="I101" t="s">
        <v>10</v>
      </c>
      <c r="J101" t="str">
        <f>_xlfn.XLOOKUP(branches[[#This Row],[Филиал]], tbl_Filialy[Филиал], tbl_Filialy[Менеджер])</f>
        <v>Сергей Мельников</v>
      </c>
    </row>
    <row r="102" spans="1:10" x14ac:dyDescent="0.3">
      <c r="A102" t="str">
        <f>_xlfn.XLOOKUP(branches[[#This Row],[Филиал]], tbl_Filialy[Филиал], tbl_Filialy[Город])</f>
        <v>Екатеринбург</v>
      </c>
      <c r="B102" s="1" t="s">
        <v>7</v>
      </c>
      <c r="C102" s="2">
        <v>45926</v>
      </c>
      <c r="D102" s="2" t="str">
        <f>CHOOSE(MONTH(branches[[#This Row],[Дата]]),"Январь","Февраль","Март","Апрель","Май","Июнь","Июль","Август","Сентябрь","Октябрь","Ноябрь","Декабрь")&amp;" "&amp;YEAR(branches[[#This Row],[Дата]])</f>
        <v>Сентябрь 2025</v>
      </c>
      <c r="E102" t="s">
        <v>16</v>
      </c>
      <c r="F102" t="s">
        <v>17</v>
      </c>
      <c r="G102">
        <v>2</v>
      </c>
      <c r="H102">
        <v>572</v>
      </c>
      <c r="I102" t="s">
        <v>19</v>
      </c>
      <c r="J102" t="str">
        <f>_xlfn.XLOOKUP(branches[[#This Row],[Филиал]], tbl_Filialy[Филиал], tbl_Filialy[Менеджер])</f>
        <v>Сергей Мельников</v>
      </c>
    </row>
    <row r="103" spans="1:10" x14ac:dyDescent="0.3">
      <c r="A103" t="str">
        <f>_xlfn.XLOOKUP(branches[[#This Row],[Филиал]], tbl_Filialy[Филиал], tbl_Filialy[Город])</f>
        <v>Екатеринбург</v>
      </c>
      <c r="B103" s="1" t="s">
        <v>7</v>
      </c>
      <c r="C103" s="2">
        <v>46013</v>
      </c>
      <c r="D103" s="2" t="str">
        <f>CHOOSE(MONTH(branches[[#This Row],[Дата]]),"Январь","Февраль","Март","Апрель","Май","Июнь","Июль","Август","Сентябрь","Октябрь","Ноябрь","Декабрь")&amp;" "&amp;YEAR(branches[[#This Row],[Дата]])</f>
        <v>Декабрь 2025</v>
      </c>
      <c r="E103" t="s">
        <v>11</v>
      </c>
      <c r="F103" t="s">
        <v>12</v>
      </c>
      <c r="G103">
        <v>1</v>
      </c>
      <c r="H103">
        <v>151</v>
      </c>
      <c r="I103" t="s">
        <v>23</v>
      </c>
      <c r="J103" t="str">
        <f>_xlfn.XLOOKUP(branches[[#This Row],[Филиал]], tbl_Filialy[Филиал], tbl_Filialy[Менеджер])</f>
        <v>Сергей Мельников</v>
      </c>
    </row>
    <row r="104" spans="1:10" x14ac:dyDescent="0.3">
      <c r="A104" t="str">
        <f>_xlfn.XLOOKUP(branches[[#This Row],[Филиал]], tbl_Filialy[Филиал], tbl_Filialy[Город])</f>
        <v>Екатеринбург</v>
      </c>
      <c r="B104" s="1" t="s">
        <v>7</v>
      </c>
      <c r="C104" s="2">
        <v>45992</v>
      </c>
      <c r="D104" s="2" t="str">
        <f>CHOOSE(MONTH(branches[[#This Row],[Дата]]),"Январь","Февраль","Март","Апрель","Май","Июнь","Июль","Август","Сентябрь","Октябрь","Ноябрь","Декабрь")&amp;" "&amp;YEAR(branches[[#This Row],[Дата]])</f>
        <v>Декабрь 2025</v>
      </c>
      <c r="E104" t="s">
        <v>18</v>
      </c>
      <c r="F104" t="s">
        <v>12</v>
      </c>
      <c r="G104">
        <v>1</v>
      </c>
      <c r="H104">
        <v>150</v>
      </c>
      <c r="I104" t="s">
        <v>19</v>
      </c>
      <c r="J104" t="str">
        <f>_xlfn.XLOOKUP(branches[[#This Row],[Филиал]], tbl_Filialy[Филиал], tbl_Filialy[Менеджер])</f>
        <v>Сергей Мельников</v>
      </c>
    </row>
    <row r="105" spans="1:10" x14ac:dyDescent="0.3">
      <c r="A105" t="str">
        <f>_xlfn.XLOOKUP(branches[[#This Row],[Филиал]], tbl_Filialy[Филиал], tbl_Filialy[Город])</f>
        <v>Екатеринбург</v>
      </c>
      <c r="B105" s="1" t="s">
        <v>7</v>
      </c>
      <c r="C105" s="2">
        <v>45771</v>
      </c>
      <c r="D105" s="2" t="str">
        <f>CHOOSE(MONTH(branches[[#This Row],[Дата]]),"Январь","Февраль","Март","Апрель","Май","Июнь","Июль","Август","Сентябрь","Октябрь","Ноябрь","Декабрь")&amp;" "&amp;YEAR(branches[[#This Row],[Дата]])</f>
        <v>Апрель 2025</v>
      </c>
      <c r="E105" t="s">
        <v>24</v>
      </c>
      <c r="F105" t="s">
        <v>17</v>
      </c>
      <c r="G105">
        <v>1</v>
      </c>
      <c r="H105">
        <v>341</v>
      </c>
      <c r="I105" t="s">
        <v>13</v>
      </c>
      <c r="J105" t="str">
        <f>_xlfn.XLOOKUP(branches[[#This Row],[Филиал]], tbl_Filialy[Филиал], tbl_Filialy[Менеджер])</f>
        <v>Сергей Мельников</v>
      </c>
    </row>
    <row r="106" spans="1:10" x14ac:dyDescent="0.3">
      <c r="A106" t="str">
        <f>_xlfn.XLOOKUP(branches[[#This Row],[Филиал]], tbl_Filialy[Филиал], tbl_Filialy[Город])</f>
        <v>Екатеринбург</v>
      </c>
      <c r="B106" s="1" t="s">
        <v>7</v>
      </c>
      <c r="C106" s="2">
        <v>45974</v>
      </c>
      <c r="D106" s="2" t="str">
        <f>CHOOSE(MONTH(branches[[#This Row],[Дата]]),"Январь","Февраль","Март","Апрель","Май","Июнь","Июль","Август","Сентябрь","Октябрь","Ноябрь","Декабрь")&amp;" "&amp;YEAR(branches[[#This Row],[Дата]])</f>
        <v>Ноябрь 2025</v>
      </c>
      <c r="E106" t="s">
        <v>28</v>
      </c>
      <c r="F106" t="s">
        <v>12</v>
      </c>
      <c r="G106">
        <v>1</v>
      </c>
      <c r="H106">
        <v>258</v>
      </c>
      <c r="I106" t="s">
        <v>13</v>
      </c>
      <c r="J106" t="str">
        <f>_xlfn.XLOOKUP(branches[[#This Row],[Филиал]], tbl_Filialy[Филиал], tbl_Filialy[Менеджер])</f>
        <v>Сергей Мельников</v>
      </c>
    </row>
    <row r="107" spans="1:10" x14ac:dyDescent="0.3">
      <c r="A107" t="str">
        <f>_xlfn.XLOOKUP(branches[[#This Row],[Филиал]], tbl_Filialy[Филиал], tbl_Filialy[Город])</f>
        <v>Екатеринбург</v>
      </c>
      <c r="B107" s="1" t="s">
        <v>7</v>
      </c>
      <c r="C107" s="2">
        <v>45771</v>
      </c>
      <c r="D107" s="2" t="str">
        <f>CHOOSE(MONTH(branches[[#This Row],[Дата]]),"Январь","Февраль","Март","Апрель","Май","Июнь","Июль","Август","Сентябрь","Октябрь","Ноябрь","Декабрь")&amp;" "&amp;YEAR(branches[[#This Row],[Дата]])</f>
        <v>Апрель 2025</v>
      </c>
      <c r="E107" t="s">
        <v>11</v>
      </c>
      <c r="F107" t="s">
        <v>12</v>
      </c>
      <c r="G107">
        <v>2</v>
      </c>
      <c r="H107">
        <v>342</v>
      </c>
      <c r="I107" t="s">
        <v>10</v>
      </c>
      <c r="J107" t="str">
        <f>_xlfn.XLOOKUP(branches[[#This Row],[Филиал]], tbl_Filialy[Филиал], tbl_Filialy[Менеджер])</f>
        <v>Сергей Мельников</v>
      </c>
    </row>
    <row r="108" spans="1:10" x14ac:dyDescent="0.3">
      <c r="A108" t="str">
        <f>_xlfn.XLOOKUP(branches[[#This Row],[Филиал]], tbl_Filialy[Филиал], tbl_Filialy[Город])</f>
        <v>Екатеринбург</v>
      </c>
      <c r="B108" s="1" t="s">
        <v>7</v>
      </c>
      <c r="C108" s="2">
        <v>45864</v>
      </c>
      <c r="D108" s="2" t="str">
        <f>CHOOSE(MONTH(branches[[#This Row],[Дата]]),"Январь","Февраль","Март","Апрель","Май","Июнь","Июль","Август","Сентябрь","Октябрь","Ноябрь","Декабрь")&amp;" "&amp;YEAR(branches[[#This Row],[Дата]])</f>
        <v>Июль 2025</v>
      </c>
      <c r="E108" t="s">
        <v>25</v>
      </c>
      <c r="F108" t="s">
        <v>12</v>
      </c>
      <c r="G108">
        <v>1</v>
      </c>
      <c r="H108">
        <v>198</v>
      </c>
      <c r="I108" t="s">
        <v>10</v>
      </c>
      <c r="J108" t="str">
        <f>_xlfn.XLOOKUP(branches[[#This Row],[Филиал]], tbl_Filialy[Филиал], tbl_Filialy[Менеджер])</f>
        <v>Сергей Мельников</v>
      </c>
    </row>
    <row r="109" spans="1:10" x14ac:dyDescent="0.3">
      <c r="A109" t="str">
        <f>_xlfn.XLOOKUP(branches[[#This Row],[Филиал]], tbl_Filialy[Филиал], tbl_Filialy[Город])</f>
        <v>Екатеринбург</v>
      </c>
      <c r="B109" s="1" t="s">
        <v>7</v>
      </c>
      <c r="C109" s="2">
        <v>45894</v>
      </c>
      <c r="D109" s="2" t="str">
        <f>CHOOSE(MONTH(branches[[#This Row],[Дата]]),"Январь","Февраль","Март","Апрель","Май","Июнь","Июль","Август","Сентябрь","Октябрь","Ноябрь","Декабрь")&amp;" "&amp;YEAR(branches[[#This Row],[Дата]])</f>
        <v>Август 2025</v>
      </c>
      <c r="E109" t="s">
        <v>28</v>
      </c>
      <c r="F109" t="s">
        <v>12</v>
      </c>
      <c r="G109">
        <v>2</v>
      </c>
      <c r="H109">
        <v>502</v>
      </c>
      <c r="I109" t="s">
        <v>21</v>
      </c>
      <c r="J109" t="str">
        <f>_xlfn.XLOOKUP(branches[[#This Row],[Филиал]], tbl_Filialy[Филиал], tbl_Filialy[Менеджер])</f>
        <v>Сергей Мельников</v>
      </c>
    </row>
    <row r="110" spans="1:10" x14ac:dyDescent="0.3">
      <c r="A110" t="str">
        <f>_xlfn.XLOOKUP(branches[[#This Row],[Филиал]], tbl_Filialy[Филиал], tbl_Filialy[Город])</f>
        <v>Екатеринбург</v>
      </c>
      <c r="B110" s="1" t="s">
        <v>7</v>
      </c>
      <c r="C110" s="2">
        <v>45698</v>
      </c>
      <c r="D110" s="2" t="str">
        <f>CHOOSE(MONTH(branches[[#This Row],[Дата]]),"Январь","Февраль","Март","Апрель","Май","Июнь","Июль","Август","Сентябрь","Октябрь","Ноябрь","Декабрь")&amp;" "&amp;YEAR(branches[[#This Row],[Дата]])</f>
        <v>Февраль 2025</v>
      </c>
      <c r="E110" t="s">
        <v>28</v>
      </c>
      <c r="F110" t="s">
        <v>12</v>
      </c>
      <c r="G110">
        <v>2</v>
      </c>
      <c r="H110">
        <v>492</v>
      </c>
      <c r="I110" t="s">
        <v>10</v>
      </c>
      <c r="J110" t="str">
        <f>_xlfn.XLOOKUP(branches[[#This Row],[Филиал]], tbl_Filialy[Филиал], tbl_Filialy[Менеджер])</f>
        <v>Сергей Мельников</v>
      </c>
    </row>
    <row r="111" spans="1:10" x14ac:dyDescent="0.3">
      <c r="A111" t="str">
        <f>_xlfn.XLOOKUP(branches[[#This Row],[Филиал]], tbl_Filialy[Филиал], tbl_Filialy[Город])</f>
        <v>Екатеринбург</v>
      </c>
      <c r="B111" s="1" t="s">
        <v>7</v>
      </c>
      <c r="C111" s="2">
        <v>45984</v>
      </c>
      <c r="D111" s="2" t="str">
        <f>CHOOSE(MONTH(branches[[#This Row],[Дата]]),"Январь","Февраль","Март","Апрель","Май","Июнь","Июль","Август","Сентябрь","Октябрь","Ноябрь","Декабрь")&amp;" "&amp;YEAR(branches[[#This Row],[Дата]])</f>
        <v>Ноябрь 2025</v>
      </c>
      <c r="E111" t="s">
        <v>20</v>
      </c>
      <c r="F111" t="s">
        <v>12</v>
      </c>
      <c r="G111">
        <v>3</v>
      </c>
      <c r="H111">
        <v>843</v>
      </c>
      <c r="I111" t="s">
        <v>19</v>
      </c>
      <c r="J111" t="str">
        <f>_xlfn.XLOOKUP(branches[[#This Row],[Филиал]], tbl_Filialy[Филиал], tbl_Filialy[Менеджер])</f>
        <v>Сергей Мельников</v>
      </c>
    </row>
    <row r="112" spans="1:10" x14ac:dyDescent="0.3">
      <c r="A112" t="str">
        <f>_xlfn.XLOOKUP(branches[[#This Row],[Филиал]], tbl_Filialy[Филиал], tbl_Filialy[Город])</f>
        <v>Екатеринбург</v>
      </c>
      <c r="B112" s="1" t="s">
        <v>7</v>
      </c>
      <c r="C112" s="2">
        <v>45783</v>
      </c>
      <c r="D112" s="2" t="str">
        <f>CHOOSE(MONTH(branches[[#This Row],[Дата]]),"Январь","Февраль","Март","Апрель","Май","Июнь","Июль","Август","Сентябрь","Октябрь","Ноябрь","Декабрь")&amp;" "&amp;YEAR(branches[[#This Row],[Дата]])</f>
        <v>Май 2025</v>
      </c>
      <c r="E112" t="s">
        <v>18</v>
      </c>
      <c r="F112" t="s">
        <v>12</v>
      </c>
      <c r="G112">
        <v>3</v>
      </c>
      <c r="H112">
        <v>411</v>
      </c>
      <c r="I112" t="s">
        <v>10</v>
      </c>
      <c r="J112" t="str">
        <f>_xlfn.XLOOKUP(branches[[#This Row],[Филиал]], tbl_Filialy[Филиал], tbl_Filialy[Менеджер])</f>
        <v>Сергей Мельников</v>
      </c>
    </row>
    <row r="113" spans="1:10" x14ac:dyDescent="0.3">
      <c r="A113" t="str">
        <f>_xlfn.XLOOKUP(branches[[#This Row],[Филиал]], tbl_Filialy[Филиал], tbl_Filialy[Город])</f>
        <v>Екатеринбург</v>
      </c>
      <c r="B113" s="1" t="s">
        <v>7</v>
      </c>
      <c r="C113" s="2">
        <v>45882</v>
      </c>
      <c r="D113" s="2" t="str">
        <f>CHOOSE(MONTH(branches[[#This Row],[Дата]]),"Январь","Февраль","Март","Апрель","Май","Июнь","Июль","Август","Сентябрь","Октябрь","Ноябрь","Декабрь")&amp;" "&amp;YEAR(branches[[#This Row],[Дата]])</f>
        <v>Август 2025</v>
      </c>
      <c r="E113" t="s">
        <v>25</v>
      </c>
      <c r="F113" t="s">
        <v>12</v>
      </c>
      <c r="G113">
        <v>1</v>
      </c>
      <c r="H113">
        <v>231</v>
      </c>
      <c r="I113" t="s">
        <v>23</v>
      </c>
      <c r="J113" t="str">
        <f>_xlfn.XLOOKUP(branches[[#This Row],[Филиал]], tbl_Filialy[Филиал], tbl_Filialy[Менеджер])</f>
        <v>Сергей Мельников</v>
      </c>
    </row>
    <row r="114" spans="1:10" x14ac:dyDescent="0.3">
      <c r="A114" t="str">
        <f>_xlfn.XLOOKUP(branches[[#This Row],[Филиал]], tbl_Filialy[Филиал], tbl_Filialy[Город])</f>
        <v>Екатеринбург</v>
      </c>
      <c r="B114" s="1" t="s">
        <v>7</v>
      </c>
      <c r="C114" s="2">
        <v>45701</v>
      </c>
      <c r="D114" s="2" t="str">
        <f>CHOOSE(MONTH(branches[[#This Row],[Дата]]),"Январь","Февраль","Март","Апрель","Май","Июнь","Июль","Август","Сентябрь","Октябрь","Ноябрь","Декабрь")&amp;" "&amp;YEAR(branches[[#This Row],[Дата]])</f>
        <v>Февраль 2025</v>
      </c>
      <c r="E114" t="s">
        <v>8</v>
      </c>
      <c r="F114" t="s">
        <v>9</v>
      </c>
      <c r="G114">
        <v>1</v>
      </c>
      <c r="H114">
        <v>274</v>
      </c>
      <c r="I114" t="s">
        <v>15</v>
      </c>
      <c r="J114" t="str">
        <f>_xlfn.XLOOKUP(branches[[#This Row],[Филиал]], tbl_Filialy[Филиал], tbl_Filialy[Менеджер])</f>
        <v>Сергей Мельников</v>
      </c>
    </row>
    <row r="115" spans="1:10" x14ac:dyDescent="0.3">
      <c r="A115" t="str">
        <f>_xlfn.XLOOKUP(branches[[#This Row],[Филиал]], tbl_Filialy[Филиал], tbl_Filialy[Город])</f>
        <v>Екатеринбург</v>
      </c>
      <c r="B115" s="1" t="s">
        <v>7</v>
      </c>
      <c r="C115" s="2">
        <v>45812</v>
      </c>
      <c r="D115" s="2" t="str">
        <f>CHOOSE(MONTH(branches[[#This Row],[Дата]]),"Январь","Февраль","Март","Апрель","Май","Июнь","Июль","Август","Сентябрь","Октябрь","Ноябрь","Декабрь")&amp;" "&amp;YEAR(branches[[#This Row],[Дата]])</f>
        <v>Июнь 2025</v>
      </c>
      <c r="E115" t="s">
        <v>24</v>
      </c>
      <c r="F115" t="s">
        <v>17</v>
      </c>
      <c r="G115">
        <v>2</v>
      </c>
      <c r="H115">
        <v>686</v>
      </c>
      <c r="I115" t="s">
        <v>19</v>
      </c>
      <c r="J115" t="str">
        <f>_xlfn.XLOOKUP(branches[[#This Row],[Филиал]], tbl_Filialy[Филиал], tbl_Filialy[Менеджер])</f>
        <v>Сергей Мельников</v>
      </c>
    </row>
    <row r="116" spans="1:10" x14ac:dyDescent="0.3">
      <c r="A116" t="str">
        <f>_xlfn.XLOOKUP(branches[[#This Row],[Филиал]], tbl_Filialy[Филиал], tbl_Filialy[Город])</f>
        <v>Екатеринбург</v>
      </c>
      <c r="B116" s="1" t="s">
        <v>7</v>
      </c>
      <c r="C116" s="2">
        <v>45763</v>
      </c>
      <c r="D116" s="2" t="str">
        <f>CHOOSE(MONTH(branches[[#This Row],[Дата]]),"Январь","Февраль","Март","Апрель","Май","Июнь","Июль","Август","Сентябрь","Октябрь","Ноябрь","Декабрь")&amp;" "&amp;YEAR(branches[[#This Row],[Дата]])</f>
        <v>Апрель 2025</v>
      </c>
      <c r="E116" t="s">
        <v>20</v>
      </c>
      <c r="F116" t="s">
        <v>12</v>
      </c>
      <c r="G116">
        <v>1</v>
      </c>
      <c r="H116">
        <v>299</v>
      </c>
      <c r="I116" t="s">
        <v>15</v>
      </c>
      <c r="J116" t="str">
        <f>_xlfn.XLOOKUP(branches[[#This Row],[Филиал]], tbl_Filialy[Филиал], tbl_Filialy[Менеджер])</f>
        <v>Сергей Мельников</v>
      </c>
    </row>
    <row r="117" spans="1:10" x14ac:dyDescent="0.3">
      <c r="A117" t="str">
        <f>_xlfn.XLOOKUP(branches[[#This Row],[Филиал]], tbl_Filialy[Филиал], tbl_Filialy[Город])</f>
        <v>Екатеринбург</v>
      </c>
      <c r="B117" s="1" t="s">
        <v>7</v>
      </c>
      <c r="C117" s="2">
        <v>45975</v>
      </c>
      <c r="D117" s="2" t="str">
        <f>CHOOSE(MONTH(branches[[#This Row],[Дата]]),"Январь","Февраль","Март","Апрель","Май","Июнь","Июль","Август","Сентябрь","Октябрь","Ноябрь","Декабрь")&amp;" "&amp;YEAR(branches[[#This Row],[Дата]])</f>
        <v>Ноябрь 2025</v>
      </c>
      <c r="E117" t="s">
        <v>16</v>
      </c>
      <c r="F117" t="s">
        <v>17</v>
      </c>
      <c r="G117">
        <v>1</v>
      </c>
      <c r="H117">
        <v>298</v>
      </c>
      <c r="I117" t="s">
        <v>21</v>
      </c>
      <c r="J117" t="str">
        <f>_xlfn.XLOOKUP(branches[[#This Row],[Филиал]], tbl_Filialy[Филиал], tbl_Filialy[Менеджер])</f>
        <v>Сергей Мельников</v>
      </c>
    </row>
    <row r="118" spans="1:10" x14ac:dyDescent="0.3">
      <c r="A118" t="str">
        <f>_xlfn.XLOOKUP(branches[[#This Row],[Филиал]], tbl_Filialy[Филиал], tbl_Filialy[Город])</f>
        <v>Екатеринбург</v>
      </c>
      <c r="B118" s="1" t="s">
        <v>7</v>
      </c>
      <c r="C118" s="2">
        <v>45659</v>
      </c>
      <c r="D118" s="2" t="str">
        <f>CHOOSE(MONTH(branches[[#This Row],[Дата]]),"Январь","Февраль","Март","Апрель","Май","Июнь","Июль","Август","Сентябрь","Октябрь","Ноябрь","Декабрь")&amp;" "&amp;YEAR(branches[[#This Row],[Дата]])</f>
        <v>Январь 2025</v>
      </c>
      <c r="E118" t="s">
        <v>18</v>
      </c>
      <c r="F118" t="s">
        <v>12</v>
      </c>
      <c r="G118">
        <v>1</v>
      </c>
      <c r="H118">
        <v>132</v>
      </c>
      <c r="I118" t="s">
        <v>13</v>
      </c>
      <c r="J118" t="str">
        <f>_xlfn.XLOOKUP(branches[[#This Row],[Филиал]], tbl_Filialy[Филиал], tbl_Filialy[Менеджер])</f>
        <v>Сергей Мельников</v>
      </c>
    </row>
    <row r="119" spans="1:10" x14ac:dyDescent="0.3">
      <c r="A119" t="str">
        <f>_xlfn.XLOOKUP(branches[[#This Row],[Филиал]], tbl_Filialy[Филиал], tbl_Filialy[Город])</f>
        <v>Екатеринбург</v>
      </c>
      <c r="B119" s="1" t="s">
        <v>7</v>
      </c>
      <c r="C119" s="2">
        <v>46014</v>
      </c>
      <c r="D119" s="2" t="str">
        <f>CHOOSE(MONTH(branches[[#This Row],[Дата]]),"Январь","Февраль","Март","Апрель","Май","Июнь","Июль","Август","Сентябрь","Октябрь","Ноябрь","Декабрь")&amp;" "&amp;YEAR(branches[[#This Row],[Дата]])</f>
        <v>Декабрь 2025</v>
      </c>
      <c r="E119" t="s">
        <v>26</v>
      </c>
      <c r="F119" t="s">
        <v>9</v>
      </c>
      <c r="G119">
        <v>1</v>
      </c>
      <c r="H119">
        <v>214</v>
      </c>
      <c r="I119" t="s">
        <v>21</v>
      </c>
      <c r="J119" t="str">
        <f>_xlfn.XLOOKUP(branches[[#This Row],[Филиал]], tbl_Filialy[Филиал], tbl_Filialy[Менеджер])</f>
        <v>Сергей Мельников</v>
      </c>
    </row>
    <row r="120" spans="1:10" x14ac:dyDescent="0.3">
      <c r="A120" t="str">
        <f>_xlfn.XLOOKUP(branches[[#This Row],[Филиал]], tbl_Filialy[Филиал], tbl_Filialy[Город])</f>
        <v>Екатеринбург</v>
      </c>
      <c r="B120" s="1" t="s">
        <v>7</v>
      </c>
      <c r="C120" s="2">
        <v>46010</v>
      </c>
      <c r="D120" s="2" t="str">
        <f>CHOOSE(MONTH(branches[[#This Row],[Дата]]),"Январь","Февраль","Март","Апрель","Май","Июнь","Июль","Август","Сентябрь","Октябрь","Ноябрь","Декабрь")&amp;" "&amp;YEAR(branches[[#This Row],[Дата]])</f>
        <v>Декабрь 2025</v>
      </c>
      <c r="E120" t="s">
        <v>24</v>
      </c>
      <c r="F120" t="s">
        <v>17</v>
      </c>
      <c r="G120">
        <v>1</v>
      </c>
      <c r="H120">
        <v>410</v>
      </c>
      <c r="I120" t="s">
        <v>10</v>
      </c>
      <c r="J120" t="str">
        <f>_xlfn.XLOOKUP(branches[[#This Row],[Филиал]], tbl_Filialy[Филиал], tbl_Filialy[Менеджер])</f>
        <v>Сергей Мельников</v>
      </c>
    </row>
    <row r="121" spans="1:10" x14ac:dyDescent="0.3">
      <c r="A121" t="str">
        <f>_xlfn.XLOOKUP(branches[[#This Row],[Филиал]], tbl_Filialy[Филиал], tbl_Filialy[Город])</f>
        <v>Екатеринбург</v>
      </c>
      <c r="B121" s="1" t="s">
        <v>7</v>
      </c>
      <c r="C121" s="2">
        <v>45871</v>
      </c>
      <c r="D121" s="2" t="str">
        <f>CHOOSE(MONTH(branches[[#This Row],[Дата]]),"Январь","Февраль","Март","Апрель","Май","Июнь","Июль","Август","Сентябрь","Октябрь","Ноябрь","Декабрь")&amp;" "&amp;YEAR(branches[[#This Row],[Дата]])</f>
        <v>Август 2025</v>
      </c>
      <c r="E121" t="s">
        <v>25</v>
      </c>
      <c r="F121" t="s">
        <v>12</v>
      </c>
      <c r="G121">
        <v>2</v>
      </c>
      <c r="H121">
        <v>416</v>
      </c>
      <c r="I121" t="s">
        <v>21</v>
      </c>
      <c r="J121" t="str">
        <f>_xlfn.XLOOKUP(branches[[#This Row],[Филиал]], tbl_Filialy[Филиал], tbl_Filialy[Менеджер])</f>
        <v>Сергей Мельников</v>
      </c>
    </row>
    <row r="122" spans="1:10" x14ac:dyDescent="0.3">
      <c r="A122" t="str">
        <f>_xlfn.XLOOKUP(branches[[#This Row],[Филиал]], tbl_Filialy[Филиал], tbl_Filialy[Город])</f>
        <v>Екатеринбург</v>
      </c>
      <c r="B122" s="1" t="s">
        <v>7</v>
      </c>
      <c r="C122" s="2">
        <v>45730</v>
      </c>
      <c r="D122" s="2" t="str">
        <f>CHOOSE(MONTH(branches[[#This Row],[Дата]]),"Январь","Февраль","Март","Апрель","Май","Июнь","Июль","Август","Сентябрь","Октябрь","Ноябрь","Декабрь")&amp;" "&amp;YEAR(branches[[#This Row],[Дата]])</f>
        <v>Март 2025</v>
      </c>
      <c r="E122" t="s">
        <v>11</v>
      </c>
      <c r="F122" t="s">
        <v>12</v>
      </c>
      <c r="G122">
        <v>3</v>
      </c>
      <c r="H122">
        <v>552</v>
      </c>
      <c r="I122" t="s">
        <v>23</v>
      </c>
      <c r="J122" t="str">
        <f>_xlfn.XLOOKUP(branches[[#This Row],[Филиал]], tbl_Filialy[Филиал], tbl_Filialy[Менеджер])</f>
        <v>Сергей Мельников</v>
      </c>
    </row>
    <row r="123" spans="1:10" x14ac:dyDescent="0.3">
      <c r="A123" t="str">
        <f>_xlfn.XLOOKUP(branches[[#This Row],[Филиал]], tbl_Filialy[Филиал], tbl_Filialy[Город])</f>
        <v>Екатеринбург</v>
      </c>
      <c r="B123" s="1" t="s">
        <v>7</v>
      </c>
      <c r="C123" s="2">
        <v>45933</v>
      </c>
      <c r="D123" s="2" t="str">
        <f>CHOOSE(MONTH(branches[[#This Row],[Дата]]),"Январь","Февраль","Март","Апрель","Май","Июнь","Июль","Август","Сентябрь","Октябрь","Ноябрь","Декабрь")&amp;" "&amp;YEAR(branches[[#This Row],[Дата]])</f>
        <v>Октябрь 2025</v>
      </c>
      <c r="E123" t="s">
        <v>24</v>
      </c>
      <c r="F123" t="s">
        <v>17</v>
      </c>
      <c r="G123">
        <v>2</v>
      </c>
      <c r="H123">
        <v>840</v>
      </c>
      <c r="I123" t="s">
        <v>19</v>
      </c>
      <c r="J123" t="str">
        <f>_xlfn.XLOOKUP(branches[[#This Row],[Филиал]], tbl_Filialy[Филиал], tbl_Filialy[Менеджер])</f>
        <v>Сергей Мельников</v>
      </c>
    </row>
    <row r="124" spans="1:10" x14ac:dyDescent="0.3">
      <c r="A124" t="str">
        <f>_xlfn.XLOOKUP(branches[[#This Row],[Филиал]], tbl_Filialy[Филиал], tbl_Filialy[Город])</f>
        <v>Екатеринбург</v>
      </c>
      <c r="B124" s="1" t="s">
        <v>7</v>
      </c>
      <c r="C124" s="2">
        <v>45956</v>
      </c>
      <c r="D124" s="2" t="str">
        <f>CHOOSE(MONTH(branches[[#This Row],[Дата]]),"Январь","Февраль","Март","Апрель","Май","Июнь","Июль","Август","Сентябрь","Октябрь","Ноябрь","Декабрь")&amp;" "&amp;YEAR(branches[[#This Row],[Дата]])</f>
        <v>Октябрь 2025</v>
      </c>
      <c r="E124" t="s">
        <v>25</v>
      </c>
      <c r="F124" t="s">
        <v>12</v>
      </c>
      <c r="G124">
        <v>1</v>
      </c>
      <c r="H124">
        <v>232</v>
      </c>
      <c r="I124" t="s">
        <v>19</v>
      </c>
      <c r="J124" t="str">
        <f>_xlfn.XLOOKUP(branches[[#This Row],[Филиал]], tbl_Filialy[Филиал], tbl_Filialy[Менеджер])</f>
        <v>Сергей Мельников</v>
      </c>
    </row>
    <row r="125" spans="1:10" x14ac:dyDescent="0.3">
      <c r="A125" t="str">
        <f>_xlfn.XLOOKUP(branches[[#This Row],[Филиал]], tbl_Filialy[Филиал], tbl_Filialy[Город])</f>
        <v>Екатеринбург</v>
      </c>
      <c r="B125" s="1" t="s">
        <v>7</v>
      </c>
      <c r="C125" s="2">
        <v>45927</v>
      </c>
      <c r="D125" s="2" t="str">
        <f>CHOOSE(MONTH(branches[[#This Row],[Дата]]),"Январь","Февраль","Март","Апрель","Май","Июнь","Июль","Август","Сентябрь","Октябрь","Ноябрь","Декабрь")&amp;" "&amp;YEAR(branches[[#This Row],[Дата]])</f>
        <v>Сентябрь 2025</v>
      </c>
      <c r="E125" t="s">
        <v>25</v>
      </c>
      <c r="F125" t="s">
        <v>12</v>
      </c>
      <c r="G125">
        <v>3</v>
      </c>
      <c r="H125">
        <v>633</v>
      </c>
      <c r="I125" t="s">
        <v>19</v>
      </c>
      <c r="J125" t="str">
        <f>_xlfn.XLOOKUP(branches[[#This Row],[Филиал]], tbl_Filialy[Филиал], tbl_Filialy[Менеджер])</f>
        <v>Сергей Мельников</v>
      </c>
    </row>
    <row r="126" spans="1:10" x14ac:dyDescent="0.3">
      <c r="A126" t="str">
        <f>_xlfn.XLOOKUP(branches[[#This Row],[Филиал]], tbl_Filialy[Филиал], tbl_Filialy[Город])</f>
        <v>Екатеринбург</v>
      </c>
      <c r="B126" s="1" t="s">
        <v>7</v>
      </c>
      <c r="C126" s="2">
        <v>45913</v>
      </c>
      <c r="D126" s="2" t="str">
        <f>CHOOSE(MONTH(branches[[#This Row],[Дата]]),"Январь","Февраль","Март","Апрель","Май","Июнь","Июль","Август","Сентябрь","Октябрь","Ноябрь","Декабрь")&amp;" "&amp;YEAR(branches[[#This Row],[Дата]])</f>
        <v>Сентябрь 2025</v>
      </c>
      <c r="E126" t="s">
        <v>22</v>
      </c>
      <c r="F126" t="s">
        <v>9</v>
      </c>
      <c r="G126">
        <v>1</v>
      </c>
      <c r="H126">
        <v>173</v>
      </c>
      <c r="I126" t="s">
        <v>23</v>
      </c>
      <c r="J126" t="str">
        <f>_xlfn.XLOOKUP(branches[[#This Row],[Филиал]], tbl_Filialy[Филиал], tbl_Filialy[Менеджер])</f>
        <v>Сергей Мельников</v>
      </c>
    </row>
    <row r="127" spans="1:10" x14ac:dyDescent="0.3">
      <c r="A127" t="str">
        <f>_xlfn.XLOOKUP(branches[[#This Row],[Филиал]], tbl_Filialy[Филиал], tbl_Filialy[Город])</f>
        <v>Екатеринбург</v>
      </c>
      <c r="B127" s="1" t="s">
        <v>7</v>
      </c>
      <c r="C127" s="2">
        <v>45971</v>
      </c>
      <c r="D127" s="2" t="str">
        <f>CHOOSE(MONTH(branches[[#This Row],[Дата]]),"Январь","Февраль","Март","Апрель","Май","Июнь","Июль","Август","Сентябрь","Октябрь","Ноябрь","Декабрь")&amp;" "&amp;YEAR(branches[[#This Row],[Дата]])</f>
        <v>Ноябрь 2025</v>
      </c>
      <c r="E127" t="s">
        <v>8</v>
      </c>
      <c r="F127" t="s">
        <v>9</v>
      </c>
      <c r="G127">
        <v>1</v>
      </c>
      <c r="H127">
        <v>268</v>
      </c>
      <c r="I127" t="s">
        <v>13</v>
      </c>
      <c r="J127" t="str">
        <f>_xlfn.XLOOKUP(branches[[#This Row],[Филиал]], tbl_Filialy[Филиал], tbl_Filialy[Менеджер])</f>
        <v>Сергей Мельников</v>
      </c>
    </row>
    <row r="128" spans="1:10" x14ac:dyDescent="0.3">
      <c r="A128" t="str">
        <f>_xlfn.XLOOKUP(branches[[#This Row],[Филиал]], tbl_Filialy[Филиал], tbl_Filialy[Город])</f>
        <v>Екатеринбург</v>
      </c>
      <c r="B128" s="1" t="s">
        <v>7</v>
      </c>
      <c r="C128" s="2">
        <v>45786</v>
      </c>
      <c r="D128" s="2" t="str">
        <f>CHOOSE(MONTH(branches[[#This Row],[Дата]]),"Январь","Февраль","Март","Апрель","Май","Июнь","Июль","Август","Сентябрь","Октябрь","Ноябрь","Декабрь")&amp;" "&amp;YEAR(branches[[#This Row],[Дата]])</f>
        <v>Май 2025</v>
      </c>
      <c r="E128" t="s">
        <v>11</v>
      </c>
      <c r="F128" t="s">
        <v>12</v>
      </c>
      <c r="G128">
        <v>1</v>
      </c>
      <c r="H128">
        <v>153</v>
      </c>
      <c r="I128" t="s">
        <v>23</v>
      </c>
      <c r="J128" t="str">
        <f>_xlfn.XLOOKUP(branches[[#This Row],[Филиал]], tbl_Filialy[Филиал], tbl_Filialy[Менеджер])</f>
        <v>Сергей Мельников</v>
      </c>
    </row>
    <row r="129" spans="1:10" x14ac:dyDescent="0.3">
      <c r="A129" t="str">
        <f>_xlfn.XLOOKUP(branches[[#This Row],[Филиал]], tbl_Filialy[Филиал], tbl_Filialy[Город])</f>
        <v>Екатеринбург</v>
      </c>
      <c r="B129" s="1" t="s">
        <v>7</v>
      </c>
      <c r="C129" s="2">
        <v>45779</v>
      </c>
      <c r="D129" s="2" t="str">
        <f>CHOOSE(MONTH(branches[[#This Row],[Дата]]),"Январь","Февраль","Март","Апрель","Май","Июнь","Июль","Август","Сентябрь","Октябрь","Ноябрь","Декабрь")&amp;" "&amp;YEAR(branches[[#This Row],[Дата]])</f>
        <v>Май 2025</v>
      </c>
      <c r="E129" t="s">
        <v>20</v>
      </c>
      <c r="F129" t="s">
        <v>12</v>
      </c>
      <c r="G129">
        <v>1</v>
      </c>
      <c r="H129">
        <v>268</v>
      </c>
      <c r="I129" t="s">
        <v>23</v>
      </c>
      <c r="J129" t="str">
        <f>_xlfn.XLOOKUP(branches[[#This Row],[Филиал]], tbl_Filialy[Филиал], tbl_Filialy[Менеджер])</f>
        <v>Сергей Мельников</v>
      </c>
    </row>
    <row r="130" spans="1:10" x14ac:dyDescent="0.3">
      <c r="A130" t="str">
        <f>_xlfn.XLOOKUP(branches[[#This Row],[Филиал]], tbl_Filialy[Филиал], tbl_Filialy[Город])</f>
        <v>Екатеринбург</v>
      </c>
      <c r="B130" s="1" t="s">
        <v>7</v>
      </c>
      <c r="C130" s="2">
        <v>45664</v>
      </c>
      <c r="D130" s="2" t="str">
        <f>CHOOSE(MONTH(branches[[#This Row],[Дата]]),"Январь","Февраль","Март","Апрель","Май","Июнь","Июль","Август","Сентябрь","Октябрь","Ноябрь","Декабрь")&amp;" "&amp;YEAR(branches[[#This Row],[Дата]])</f>
        <v>Январь 2025</v>
      </c>
      <c r="E130" t="s">
        <v>26</v>
      </c>
      <c r="F130" t="s">
        <v>9</v>
      </c>
      <c r="G130">
        <v>1</v>
      </c>
      <c r="H130">
        <v>191</v>
      </c>
      <c r="I130" t="s">
        <v>19</v>
      </c>
      <c r="J130" t="str">
        <f>_xlfn.XLOOKUP(branches[[#This Row],[Филиал]], tbl_Filialy[Филиал], tbl_Filialy[Менеджер])</f>
        <v>Сергей Мельников</v>
      </c>
    </row>
    <row r="131" spans="1:10" x14ac:dyDescent="0.3">
      <c r="A131" t="str">
        <f>_xlfn.XLOOKUP(branches[[#This Row],[Филиал]], tbl_Filialy[Филиал], tbl_Filialy[Город])</f>
        <v>Екатеринбург</v>
      </c>
      <c r="B131" s="1" t="s">
        <v>7</v>
      </c>
      <c r="C131" s="2">
        <v>45943</v>
      </c>
      <c r="D131" s="2" t="str">
        <f>CHOOSE(MONTH(branches[[#This Row],[Дата]]),"Январь","Февраль","Март","Апрель","Май","Июнь","Июль","Август","Сентябрь","Октябрь","Ноябрь","Декабрь")&amp;" "&amp;YEAR(branches[[#This Row],[Дата]])</f>
        <v>Октябрь 2025</v>
      </c>
      <c r="E131" t="s">
        <v>20</v>
      </c>
      <c r="F131" t="s">
        <v>12</v>
      </c>
      <c r="G131">
        <v>1</v>
      </c>
      <c r="H131">
        <v>253</v>
      </c>
      <c r="I131" t="s">
        <v>10</v>
      </c>
      <c r="J131" t="str">
        <f>_xlfn.XLOOKUP(branches[[#This Row],[Филиал]], tbl_Filialy[Филиал], tbl_Filialy[Менеджер])</f>
        <v>Сергей Мельников</v>
      </c>
    </row>
    <row r="132" spans="1:10" x14ac:dyDescent="0.3">
      <c r="A132" t="str">
        <f>_xlfn.XLOOKUP(branches[[#This Row],[Филиал]], tbl_Filialy[Филиал], tbl_Filialy[Город])</f>
        <v>Екатеринбург</v>
      </c>
      <c r="B132" s="1" t="s">
        <v>7</v>
      </c>
      <c r="C132" s="2">
        <v>45928</v>
      </c>
      <c r="D132" s="2" t="str">
        <f>CHOOSE(MONTH(branches[[#This Row],[Дата]]),"Январь","Февраль","Март","Апрель","Май","Июнь","Июль","Август","Сентябрь","Октябрь","Ноябрь","Декабрь")&amp;" "&amp;YEAR(branches[[#This Row],[Дата]])</f>
        <v>Сентябрь 2025</v>
      </c>
      <c r="E132" t="s">
        <v>25</v>
      </c>
      <c r="F132" t="s">
        <v>12</v>
      </c>
      <c r="G132">
        <v>1</v>
      </c>
      <c r="H132">
        <v>207</v>
      </c>
      <c r="I132" t="s">
        <v>15</v>
      </c>
      <c r="J132" t="str">
        <f>_xlfn.XLOOKUP(branches[[#This Row],[Филиал]], tbl_Filialy[Филиал], tbl_Filialy[Менеджер])</f>
        <v>Сергей Мельников</v>
      </c>
    </row>
    <row r="133" spans="1:10" x14ac:dyDescent="0.3">
      <c r="A133" t="str">
        <f>_xlfn.XLOOKUP(branches[[#This Row],[Филиал]], tbl_Filialy[Филиал], tbl_Filialy[Город])</f>
        <v>Екатеринбург</v>
      </c>
      <c r="B133" s="1" t="s">
        <v>7</v>
      </c>
      <c r="C133" s="2">
        <v>45996</v>
      </c>
      <c r="D133" s="2" t="str">
        <f>CHOOSE(MONTH(branches[[#This Row],[Дата]]),"Январь","Февраль","Март","Апрель","Май","Июнь","Июль","Август","Сентябрь","Октябрь","Ноябрь","Декабрь")&amp;" "&amp;YEAR(branches[[#This Row],[Дата]])</f>
        <v>Декабрь 2025</v>
      </c>
      <c r="E133" t="s">
        <v>16</v>
      </c>
      <c r="F133" t="s">
        <v>17</v>
      </c>
      <c r="G133">
        <v>1</v>
      </c>
      <c r="H133">
        <v>354</v>
      </c>
      <c r="I133" t="s">
        <v>13</v>
      </c>
      <c r="J133" t="str">
        <f>_xlfn.XLOOKUP(branches[[#This Row],[Филиал]], tbl_Filialy[Филиал], tbl_Filialy[Менеджер])</f>
        <v>Сергей Мельников</v>
      </c>
    </row>
    <row r="134" spans="1:10" x14ac:dyDescent="0.3">
      <c r="A134" t="str">
        <f>_xlfn.XLOOKUP(branches[[#This Row],[Филиал]], tbl_Filialy[Филиал], tbl_Filialy[Город])</f>
        <v>Екатеринбург</v>
      </c>
      <c r="B134" s="1" t="s">
        <v>7</v>
      </c>
      <c r="C134" s="2">
        <v>45696</v>
      </c>
      <c r="D134" s="2" t="str">
        <f>CHOOSE(MONTH(branches[[#This Row],[Дата]]),"Январь","Февраль","Март","Апрель","Май","Июнь","Июль","Август","Сентябрь","Октябрь","Ноябрь","Декабрь")&amp;" "&amp;YEAR(branches[[#This Row],[Дата]])</f>
        <v>Февраль 2025</v>
      </c>
      <c r="E134" t="s">
        <v>20</v>
      </c>
      <c r="F134" t="s">
        <v>12</v>
      </c>
      <c r="G134">
        <v>2</v>
      </c>
      <c r="H134">
        <v>560</v>
      </c>
      <c r="I134" t="s">
        <v>13</v>
      </c>
      <c r="J134" t="str">
        <f>_xlfn.XLOOKUP(branches[[#This Row],[Филиал]], tbl_Filialy[Филиал], tbl_Filialy[Менеджер])</f>
        <v>Сергей Мельников</v>
      </c>
    </row>
    <row r="135" spans="1:10" x14ac:dyDescent="0.3">
      <c r="A135" t="str">
        <f>_xlfn.XLOOKUP(branches[[#This Row],[Филиал]], tbl_Filialy[Филиал], tbl_Filialy[Город])</f>
        <v>Екатеринбург</v>
      </c>
      <c r="B135" s="1" t="s">
        <v>7</v>
      </c>
      <c r="C135" s="2">
        <v>45774</v>
      </c>
      <c r="D135" s="2" t="str">
        <f>CHOOSE(MONTH(branches[[#This Row],[Дата]]),"Январь","Февраль","Март","Апрель","Май","Июнь","Июль","Август","Сентябрь","Октябрь","Ноябрь","Декабрь")&amp;" "&amp;YEAR(branches[[#This Row],[Дата]])</f>
        <v>Апрель 2025</v>
      </c>
      <c r="E135" t="s">
        <v>11</v>
      </c>
      <c r="F135" t="s">
        <v>12</v>
      </c>
      <c r="G135">
        <v>1</v>
      </c>
      <c r="H135">
        <v>168</v>
      </c>
      <c r="I135" t="s">
        <v>29</v>
      </c>
      <c r="J135" t="str">
        <f>_xlfn.XLOOKUP(branches[[#This Row],[Филиал]], tbl_Filialy[Филиал], tbl_Filialy[Менеджер])</f>
        <v>Сергей Мельников</v>
      </c>
    </row>
    <row r="136" spans="1:10" x14ac:dyDescent="0.3">
      <c r="A136" t="str">
        <f>_xlfn.XLOOKUP(branches[[#This Row],[Филиал]], tbl_Filialy[Филиал], tbl_Filialy[Город])</f>
        <v>Екатеринбург</v>
      </c>
      <c r="B136" s="1" t="s">
        <v>7</v>
      </c>
      <c r="C136" s="2">
        <v>45843</v>
      </c>
      <c r="D136" s="2" t="str">
        <f>CHOOSE(MONTH(branches[[#This Row],[Дата]]),"Январь","Февраль","Март","Апрель","Май","Июнь","Июль","Август","Сентябрь","Октябрь","Ноябрь","Декабрь")&amp;" "&amp;YEAR(branches[[#This Row],[Дата]])</f>
        <v>Июль 2025</v>
      </c>
      <c r="E136" t="s">
        <v>27</v>
      </c>
      <c r="F136" t="s">
        <v>12</v>
      </c>
      <c r="G136">
        <v>1</v>
      </c>
      <c r="H136">
        <v>187</v>
      </c>
      <c r="I136" t="s">
        <v>23</v>
      </c>
      <c r="J136" t="str">
        <f>_xlfn.XLOOKUP(branches[[#This Row],[Филиал]], tbl_Filialy[Филиал], tbl_Filialy[Менеджер])</f>
        <v>Сергей Мельников</v>
      </c>
    </row>
    <row r="137" spans="1:10" x14ac:dyDescent="0.3">
      <c r="A137" t="str">
        <f>_xlfn.XLOOKUP(branches[[#This Row],[Филиал]], tbl_Filialy[Филиал], tbl_Filialy[Город])</f>
        <v>Екатеринбург</v>
      </c>
      <c r="B137" s="1" t="s">
        <v>7</v>
      </c>
      <c r="C137" s="2">
        <v>45983</v>
      </c>
      <c r="D137" s="2" t="str">
        <f>CHOOSE(MONTH(branches[[#This Row],[Дата]]),"Январь","Февраль","Март","Апрель","Май","Июнь","Июль","Август","Сентябрь","Октябрь","Ноябрь","Декабрь")&amp;" "&amp;YEAR(branches[[#This Row],[Дата]])</f>
        <v>Ноябрь 2025</v>
      </c>
      <c r="E137" t="s">
        <v>20</v>
      </c>
      <c r="F137" t="s">
        <v>12</v>
      </c>
      <c r="G137">
        <v>2</v>
      </c>
      <c r="H137">
        <v>552</v>
      </c>
      <c r="I137" t="s">
        <v>13</v>
      </c>
      <c r="J137" t="str">
        <f>_xlfn.XLOOKUP(branches[[#This Row],[Филиал]], tbl_Filialy[Филиал], tbl_Filialy[Менеджер])</f>
        <v>Сергей Мельников</v>
      </c>
    </row>
    <row r="138" spans="1:10" x14ac:dyDescent="0.3">
      <c r="A138" t="str">
        <f>_xlfn.XLOOKUP(branches[[#This Row],[Филиал]], tbl_Filialy[Филиал], tbl_Filialy[Город])</f>
        <v>Екатеринбург</v>
      </c>
      <c r="B138" s="1" t="s">
        <v>7</v>
      </c>
      <c r="C138" s="2">
        <v>46007</v>
      </c>
      <c r="D138" s="2" t="str">
        <f>CHOOSE(MONTH(branches[[#This Row],[Дата]]),"Январь","Февраль","Март","Апрель","Май","Июнь","Июль","Август","Сентябрь","Октябрь","Ноябрь","Декабрь")&amp;" "&amp;YEAR(branches[[#This Row],[Дата]])</f>
        <v>Декабрь 2025</v>
      </c>
      <c r="E138" t="s">
        <v>26</v>
      </c>
      <c r="F138" t="s">
        <v>9</v>
      </c>
      <c r="G138">
        <v>1</v>
      </c>
      <c r="H138">
        <v>188</v>
      </c>
      <c r="I138" t="s">
        <v>10</v>
      </c>
      <c r="J138" t="str">
        <f>_xlfn.XLOOKUP(branches[[#This Row],[Филиал]], tbl_Filialy[Филиал], tbl_Filialy[Менеджер])</f>
        <v>Сергей Мельников</v>
      </c>
    </row>
    <row r="139" spans="1:10" x14ac:dyDescent="0.3">
      <c r="A139" t="str">
        <f>_xlfn.XLOOKUP(branches[[#This Row],[Филиал]], tbl_Filialy[Филиал], tbl_Filialy[Город])</f>
        <v>Екатеринбург</v>
      </c>
      <c r="B139" s="1" t="s">
        <v>7</v>
      </c>
      <c r="C139" s="2">
        <v>45945</v>
      </c>
      <c r="D139" s="2" t="str">
        <f>CHOOSE(MONTH(branches[[#This Row],[Дата]]),"Январь","Февраль","Март","Апрель","Май","Июнь","Июль","Август","Сентябрь","Октябрь","Ноябрь","Декабрь")&amp;" "&amp;YEAR(branches[[#This Row],[Дата]])</f>
        <v>Октябрь 2025</v>
      </c>
      <c r="E139" t="s">
        <v>20</v>
      </c>
      <c r="F139" t="s">
        <v>12</v>
      </c>
      <c r="G139">
        <v>1</v>
      </c>
      <c r="H139">
        <v>253</v>
      </c>
      <c r="I139" t="s">
        <v>21</v>
      </c>
      <c r="J139" t="str">
        <f>_xlfn.XLOOKUP(branches[[#This Row],[Филиал]], tbl_Filialy[Филиал], tbl_Filialy[Менеджер])</f>
        <v>Сергей Мельников</v>
      </c>
    </row>
    <row r="140" spans="1:10" x14ac:dyDescent="0.3">
      <c r="A140" t="str">
        <f>_xlfn.XLOOKUP(branches[[#This Row],[Филиал]], tbl_Filialy[Филиал], tbl_Filialy[Город])</f>
        <v>Екатеринбург</v>
      </c>
      <c r="B140" s="1" t="s">
        <v>7</v>
      </c>
      <c r="C140" s="2">
        <v>46018</v>
      </c>
      <c r="D140" s="2" t="str">
        <f>CHOOSE(MONTH(branches[[#This Row],[Дата]]),"Январь","Февраль","Март","Апрель","Май","Июнь","Июль","Август","Сентябрь","Октябрь","Ноябрь","Декабрь")&amp;" "&amp;YEAR(branches[[#This Row],[Дата]])</f>
        <v>Декабрь 2025</v>
      </c>
      <c r="E140" t="s">
        <v>8</v>
      </c>
      <c r="F140" t="s">
        <v>9</v>
      </c>
      <c r="G140">
        <v>3</v>
      </c>
      <c r="H140">
        <v>723</v>
      </c>
      <c r="I140" t="s">
        <v>19</v>
      </c>
      <c r="J140" t="str">
        <f>_xlfn.XLOOKUP(branches[[#This Row],[Филиал]], tbl_Filialy[Филиал], tbl_Filialy[Менеджер])</f>
        <v>Сергей Мельников</v>
      </c>
    </row>
    <row r="141" spans="1:10" x14ac:dyDescent="0.3">
      <c r="A141" t="str">
        <f>_xlfn.XLOOKUP(branches[[#This Row],[Филиал]], tbl_Filialy[Филиал], tbl_Filialy[Город])</f>
        <v>Екатеринбург</v>
      </c>
      <c r="B141" s="1" t="s">
        <v>7</v>
      </c>
      <c r="C141" s="2">
        <v>45752</v>
      </c>
      <c r="D141" s="2" t="str">
        <f>CHOOSE(MONTH(branches[[#This Row],[Дата]]),"Январь","Февраль","Март","Апрель","Май","Июнь","Июль","Август","Сентябрь","Октябрь","Ноябрь","Декабрь")&amp;" "&amp;YEAR(branches[[#This Row],[Дата]])</f>
        <v>Апрель 2025</v>
      </c>
      <c r="E141" t="s">
        <v>11</v>
      </c>
      <c r="F141" t="s">
        <v>12</v>
      </c>
      <c r="G141">
        <v>3</v>
      </c>
      <c r="H141">
        <v>459</v>
      </c>
      <c r="I141" t="s">
        <v>15</v>
      </c>
      <c r="J141" t="str">
        <f>_xlfn.XLOOKUP(branches[[#This Row],[Филиал]], tbl_Filialy[Филиал], tbl_Filialy[Менеджер])</f>
        <v>Сергей Мельников</v>
      </c>
    </row>
    <row r="142" spans="1:10" x14ac:dyDescent="0.3">
      <c r="A142" t="str">
        <f>_xlfn.XLOOKUP(branches[[#This Row],[Филиал]], tbl_Filialy[Филиал], tbl_Filialy[Город])</f>
        <v>Екатеринбург</v>
      </c>
      <c r="B142" s="1" t="s">
        <v>7</v>
      </c>
      <c r="C142" s="2">
        <v>45906</v>
      </c>
      <c r="D142" s="2" t="str">
        <f>CHOOSE(MONTH(branches[[#This Row],[Дата]]),"Январь","Февраль","Март","Апрель","Май","Июнь","Июль","Август","Сентябрь","Октябрь","Ноябрь","Декабрь")&amp;" "&amp;YEAR(branches[[#This Row],[Дата]])</f>
        <v>Сентябрь 2025</v>
      </c>
      <c r="E142" t="s">
        <v>11</v>
      </c>
      <c r="F142" t="s">
        <v>12</v>
      </c>
      <c r="G142">
        <v>1</v>
      </c>
      <c r="H142">
        <v>161</v>
      </c>
      <c r="I142" t="s">
        <v>23</v>
      </c>
      <c r="J142" t="str">
        <f>_xlfn.XLOOKUP(branches[[#This Row],[Филиал]], tbl_Filialy[Филиал], tbl_Filialy[Менеджер])</f>
        <v>Сергей Мельников</v>
      </c>
    </row>
    <row r="143" spans="1:10" x14ac:dyDescent="0.3">
      <c r="A143" t="str">
        <f>_xlfn.XLOOKUP(branches[[#This Row],[Филиал]], tbl_Filialy[Филиал], tbl_Filialy[Город])</f>
        <v>Екатеринбург</v>
      </c>
      <c r="B143" s="1" t="s">
        <v>7</v>
      </c>
      <c r="C143" s="2">
        <v>45705</v>
      </c>
      <c r="D143" s="2" t="str">
        <f>CHOOSE(MONTH(branches[[#This Row],[Дата]]),"Январь","Февраль","Март","Апрель","Май","Июнь","Июль","Август","Сентябрь","Октябрь","Ноябрь","Декабрь")&amp;" "&amp;YEAR(branches[[#This Row],[Дата]])</f>
        <v>Февраль 2025</v>
      </c>
      <c r="E143" t="s">
        <v>20</v>
      </c>
      <c r="F143" t="s">
        <v>12</v>
      </c>
      <c r="G143">
        <v>3</v>
      </c>
      <c r="H143">
        <v>783</v>
      </c>
      <c r="I143" t="s">
        <v>13</v>
      </c>
      <c r="J143" t="str">
        <f>_xlfn.XLOOKUP(branches[[#This Row],[Филиал]], tbl_Filialy[Филиал], tbl_Filialy[Менеджер])</f>
        <v>Сергей Мельников</v>
      </c>
    </row>
    <row r="144" spans="1:10" x14ac:dyDescent="0.3">
      <c r="A144" t="str">
        <f>_xlfn.XLOOKUP(branches[[#This Row],[Филиал]], tbl_Filialy[Филиал], tbl_Filialy[Город])</f>
        <v>Екатеринбург</v>
      </c>
      <c r="B144" s="1" t="s">
        <v>7</v>
      </c>
      <c r="C144" s="2">
        <v>45938</v>
      </c>
      <c r="D144" s="2" t="str">
        <f>CHOOSE(MONTH(branches[[#This Row],[Дата]]),"Январь","Февраль","Март","Апрель","Май","Июнь","Июль","Август","Сентябрь","Октябрь","Ноябрь","Декабрь")&amp;" "&amp;YEAR(branches[[#This Row],[Дата]])</f>
        <v>Октябрь 2025</v>
      </c>
      <c r="E144" t="s">
        <v>24</v>
      </c>
      <c r="F144" t="s">
        <v>17</v>
      </c>
      <c r="G144">
        <v>3</v>
      </c>
      <c r="H144">
        <v>1170</v>
      </c>
      <c r="I144" t="s">
        <v>21</v>
      </c>
      <c r="J144" t="str">
        <f>_xlfn.XLOOKUP(branches[[#This Row],[Филиал]], tbl_Filialy[Филиал], tbl_Filialy[Менеджер])</f>
        <v>Сергей Мельников</v>
      </c>
    </row>
    <row r="145" spans="1:10" x14ac:dyDescent="0.3">
      <c r="A145" t="str">
        <f>_xlfn.XLOOKUP(branches[[#This Row],[Филиал]], tbl_Filialy[Филиал], tbl_Filialy[Город])</f>
        <v>Екатеринбург</v>
      </c>
      <c r="B145" s="1" t="s">
        <v>7</v>
      </c>
      <c r="C145" s="2">
        <v>45767</v>
      </c>
      <c r="D145" s="2" t="str">
        <f>CHOOSE(MONTH(branches[[#This Row],[Дата]]),"Январь","Февраль","Март","Апрель","Май","Июнь","Июль","Август","Сентябрь","Октябрь","Ноябрь","Декабрь")&amp;" "&amp;YEAR(branches[[#This Row],[Дата]])</f>
        <v>Апрель 2025</v>
      </c>
      <c r="E145" t="s">
        <v>24</v>
      </c>
      <c r="F145" t="s">
        <v>17</v>
      </c>
      <c r="G145">
        <v>1</v>
      </c>
      <c r="H145">
        <v>421</v>
      </c>
      <c r="I145" t="s">
        <v>15</v>
      </c>
      <c r="J145" t="str">
        <f>_xlfn.XLOOKUP(branches[[#This Row],[Филиал]], tbl_Filialy[Филиал], tbl_Filialy[Менеджер])</f>
        <v>Сергей Мельников</v>
      </c>
    </row>
    <row r="146" spans="1:10" x14ac:dyDescent="0.3">
      <c r="A146" t="str">
        <f>_xlfn.XLOOKUP(branches[[#This Row],[Филиал]], tbl_Filialy[Филиал], tbl_Filialy[Город])</f>
        <v>Екатеринбург</v>
      </c>
      <c r="B146" s="1" t="s">
        <v>7</v>
      </c>
      <c r="C146" s="2">
        <v>45668</v>
      </c>
      <c r="D146" s="2" t="str">
        <f>CHOOSE(MONTH(branches[[#This Row],[Дата]]),"Январь","Февраль","Март","Апрель","Май","Июнь","Июль","Август","Сентябрь","Октябрь","Ноябрь","Декабрь")&amp;" "&amp;YEAR(branches[[#This Row],[Дата]])</f>
        <v>Январь 2025</v>
      </c>
      <c r="E146" t="s">
        <v>26</v>
      </c>
      <c r="F146" t="s">
        <v>9</v>
      </c>
      <c r="G146">
        <v>2</v>
      </c>
      <c r="H146">
        <v>464</v>
      </c>
      <c r="I146" t="s">
        <v>21</v>
      </c>
      <c r="J146" t="str">
        <f>_xlfn.XLOOKUP(branches[[#This Row],[Филиал]], tbl_Filialy[Филиал], tbl_Filialy[Менеджер])</f>
        <v>Сергей Мельников</v>
      </c>
    </row>
    <row r="147" spans="1:10" x14ac:dyDescent="0.3">
      <c r="A147" t="str">
        <f>_xlfn.XLOOKUP(branches[[#This Row],[Филиал]], tbl_Filialy[Филиал], tbl_Filialy[Город])</f>
        <v>Екатеринбург</v>
      </c>
      <c r="B147" s="1" t="s">
        <v>7</v>
      </c>
      <c r="C147" s="2">
        <v>45965</v>
      </c>
      <c r="D147" s="2" t="str">
        <f>CHOOSE(MONTH(branches[[#This Row],[Дата]]),"Январь","Февраль","Март","Апрель","Май","Июнь","Июль","Август","Сентябрь","Октябрь","Ноябрь","Декабрь")&amp;" "&amp;YEAR(branches[[#This Row],[Дата]])</f>
        <v>Ноябрь 2025</v>
      </c>
      <c r="E147" t="s">
        <v>16</v>
      </c>
      <c r="F147" t="s">
        <v>17</v>
      </c>
      <c r="G147">
        <v>1</v>
      </c>
      <c r="H147">
        <v>344</v>
      </c>
      <c r="I147" t="s">
        <v>21</v>
      </c>
      <c r="J147" t="str">
        <f>_xlfn.XLOOKUP(branches[[#This Row],[Филиал]], tbl_Filialy[Филиал], tbl_Filialy[Менеджер])</f>
        <v>Сергей Мельников</v>
      </c>
    </row>
    <row r="148" spans="1:10" x14ac:dyDescent="0.3">
      <c r="A148" t="str">
        <f>_xlfn.XLOOKUP(branches[[#This Row],[Филиал]], tbl_Filialy[Филиал], tbl_Filialy[Город])</f>
        <v>Екатеринбург</v>
      </c>
      <c r="B148" s="1" t="s">
        <v>7</v>
      </c>
      <c r="C148" s="2">
        <v>45917</v>
      </c>
      <c r="D148" s="2" t="str">
        <f>CHOOSE(MONTH(branches[[#This Row],[Дата]]),"Январь","Февраль","Март","Апрель","Май","Июнь","Июль","Август","Сентябрь","Октябрь","Ноябрь","Декабрь")&amp;" "&amp;YEAR(branches[[#This Row],[Дата]])</f>
        <v>Сентябрь 2025</v>
      </c>
      <c r="E148" t="s">
        <v>20</v>
      </c>
      <c r="F148" t="s">
        <v>12</v>
      </c>
      <c r="G148">
        <v>2</v>
      </c>
      <c r="H148">
        <v>598</v>
      </c>
      <c r="I148" t="s">
        <v>10</v>
      </c>
      <c r="J148" t="str">
        <f>_xlfn.XLOOKUP(branches[[#This Row],[Филиал]], tbl_Filialy[Филиал], tbl_Filialy[Менеджер])</f>
        <v>Сергей Мельников</v>
      </c>
    </row>
    <row r="149" spans="1:10" x14ac:dyDescent="0.3">
      <c r="A149" t="str">
        <f>_xlfn.XLOOKUP(branches[[#This Row],[Филиал]], tbl_Filialy[Филиал], tbl_Filialy[Город])</f>
        <v>Екатеринбург</v>
      </c>
      <c r="B149" s="1" t="s">
        <v>7</v>
      </c>
      <c r="C149" s="2">
        <v>45738</v>
      </c>
      <c r="D149" s="2" t="str">
        <f>CHOOSE(MONTH(branches[[#This Row],[Дата]]),"Январь","Февраль","Март","Апрель","Май","Июнь","Июль","Август","Сентябрь","Октябрь","Ноябрь","Декабрь")&amp;" "&amp;YEAR(branches[[#This Row],[Дата]])</f>
        <v>Март 2025</v>
      </c>
      <c r="E149" t="s">
        <v>25</v>
      </c>
      <c r="F149" t="s">
        <v>12</v>
      </c>
      <c r="G149">
        <v>3</v>
      </c>
      <c r="H149">
        <v>735</v>
      </c>
      <c r="I149" t="s">
        <v>13</v>
      </c>
      <c r="J149" t="str">
        <f>_xlfn.XLOOKUP(branches[[#This Row],[Филиал]], tbl_Filialy[Филиал], tbl_Filialy[Менеджер])</f>
        <v>Сергей Мельников</v>
      </c>
    </row>
    <row r="150" spans="1:10" x14ac:dyDescent="0.3">
      <c r="A150" t="str">
        <f>_xlfn.XLOOKUP(branches[[#This Row],[Филиал]], tbl_Filialy[Филиал], tbl_Filialy[Город])</f>
        <v>Екатеринбург</v>
      </c>
      <c r="B150" s="1" t="s">
        <v>7</v>
      </c>
      <c r="C150" s="2">
        <v>45881</v>
      </c>
      <c r="D150" s="2" t="str">
        <f>CHOOSE(MONTH(branches[[#This Row],[Дата]]),"Январь","Февраль","Март","Апрель","Май","Июнь","Июль","Август","Сентябрь","Октябрь","Ноябрь","Декабрь")&amp;" "&amp;YEAR(branches[[#This Row],[Дата]])</f>
        <v>Август 2025</v>
      </c>
      <c r="E150" t="s">
        <v>11</v>
      </c>
      <c r="F150" t="s">
        <v>12</v>
      </c>
      <c r="G150">
        <v>1</v>
      </c>
      <c r="H150">
        <v>163</v>
      </c>
      <c r="I150" t="s">
        <v>19</v>
      </c>
      <c r="J150" t="str">
        <f>_xlfn.XLOOKUP(branches[[#This Row],[Филиал]], tbl_Filialy[Филиал], tbl_Filialy[Менеджер])</f>
        <v>Сергей Мельников</v>
      </c>
    </row>
    <row r="151" spans="1:10" x14ac:dyDescent="0.3">
      <c r="A151" t="str">
        <f>_xlfn.XLOOKUP(branches[[#This Row],[Филиал]], tbl_Filialy[Филиал], tbl_Filialy[Город])</f>
        <v>Екатеринбург</v>
      </c>
      <c r="B151" s="1" t="s">
        <v>7</v>
      </c>
      <c r="C151" s="2">
        <v>45737</v>
      </c>
      <c r="D151" s="2" t="str">
        <f>CHOOSE(MONTH(branches[[#This Row],[Дата]]),"Январь","Февраль","Март","Апрель","Май","Июнь","Июль","Август","Сентябрь","Октябрь","Ноябрь","Декабрь")&amp;" "&amp;YEAR(branches[[#This Row],[Дата]])</f>
        <v>Март 2025</v>
      </c>
      <c r="E151" t="s">
        <v>26</v>
      </c>
      <c r="F151" t="s">
        <v>9</v>
      </c>
      <c r="G151">
        <v>2</v>
      </c>
      <c r="H151">
        <v>388</v>
      </c>
      <c r="I151" t="s">
        <v>13</v>
      </c>
      <c r="J151" t="str">
        <f>_xlfn.XLOOKUP(branches[[#This Row],[Филиал]], tbl_Filialy[Филиал], tbl_Filialy[Менеджер])</f>
        <v>Сергей Мельников</v>
      </c>
    </row>
    <row r="152" spans="1:10" x14ac:dyDescent="0.3">
      <c r="A152" t="str">
        <f>_xlfn.XLOOKUP(branches[[#This Row],[Филиал]], tbl_Filialy[Филиал], tbl_Filialy[Город])</f>
        <v>Екатеринбург</v>
      </c>
      <c r="B152" s="1" t="s">
        <v>7</v>
      </c>
      <c r="C152" s="2">
        <v>45701</v>
      </c>
      <c r="D152" s="2" t="str">
        <f>CHOOSE(MONTH(branches[[#This Row],[Дата]]),"Январь","Февраль","Март","Апрель","Май","Июнь","Июль","Август","Сентябрь","Октябрь","Ноябрь","Декабрь")&amp;" "&amp;YEAR(branches[[#This Row],[Дата]])</f>
        <v>Февраль 2025</v>
      </c>
      <c r="E152" t="s">
        <v>11</v>
      </c>
      <c r="F152" t="s">
        <v>12</v>
      </c>
      <c r="G152">
        <v>1</v>
      </c>
      <c r="H152">
        <v>180</v>
      </c>
      <c r="I152" t="s">
        <v>10</v>
      </c>
      <c r="J152" t="str">
        <f>_xlfn.XLOOKUP(branches[[#This Row],[Филиал]], tbl_Filialy[Филиал], tbl_Filialy[Менеджер])</f>
        <v>Сергей Мельников</v>
      </c>
    </row>
    <row r="153" spans="1:10" x14ac:dyDescent="0.3">
      <c r="A153" t="str">
        <f>_xlfn.XLOOKUP(branches[[#This Row],[Филиал]], tbl_Filialy[Филиал], tbl_Filialy[Город])</f>
        <v>Екатеринбург</v>
      </c>
      <c r="B153" s="1" t="s">
        <v>7</v>
      </c>
      <c r="C153" s="2">
        <v>46008</v>
      </c>
      <c r="D153" s="2" t="str">
        <f>CHOOSE(MONTH(branches[[#This Row],[Дата]]),"Январь","Февраль","Март","Апрель","Май","Июнь","Июль","Август","Сентябрь","Октябрь","Ноябрь","Декабрь")&amp;" "&amp;YEAR(branches[[#This Row],[Дата]])</f>
        <v>Декабрь 2025</v>
      </c>
      <c r="E153" t="s">
        <v>27</v>
      </c>
      <c r="F153" t="s">
        <v>12</v>
      </c>
      <c r="G153">
        <v>3</v>
      </c>
      <c r="H153">
        <v>579</v>
      </c>
      <c r="I153" t="s">
        <v>21</v>
      </c>
      <c r="J153" t="str">
        <f>_xlfn.XLOOKUP(branches[[#This Row],[Филиал]], tbl_Filialy[Филиал], tbl_Filialy[Менеджер])</f>
        <v>Сергей Мельников</v>
      </c>
    </row>
    <row r="154" spans="1:10" x14ac:dyDescent="0.3">
      <c r="A154" t="str">
        <f>_xlfn.XLOOKUP(branches[[#This Row],[Филиал]], tbl_Filialy[Филиал], tbl_Filialy[Город])</f>
        <v>Екатеринбург</v>
      </c>
      <c r="B154" s="1" t="s">
        <v>7</v>
      </c>
      <c r="C154" s="2">
        <v>45824</v>
      </c>
      <c r="D154" s="2" t="str">
        <f>CHOOSE(MONTH(branches[[#This Row],[Дата]]),"Январь","Февраль","Март","Апрель","Май","Июнь","Июль","Август","Сентябрь","Октябрь","Ноябрь","Декабрь")&amp;" "&amp;YEAR(branches[[#This Row],[Дата]])</f>
        <v>Июнь 2025</v>
      </c>
      <c r="E154" t="s">
        <v>28</v>
      </c>
      <c r="F154" t="s">
        <v>12</v>
      </c>
      <c r="G154">
        <v>1</v>
      </c>
      <c r="H154">
        <v>258</v>
      </c>
      <c r="I154" t="s">
        <v>13</v>
      </c>
      <c r="J154" t="str">
        <f>_xlfn.XLOOKUP(branches[[#This Row],[Филиал]], tbl_Filialy[Филиал], tbl_Filialy[Менеджер])</f>
        <v>Сергей Мельников</v>
      </c>
    </row>
    <row r="155" spans="1:10" x14ac:dyDescent="0.3">
      <c r="A155" t="str">
        <f>_xlfn.XLOOKUP(branches[[#This Row],[Филиал]], tbl_Filialy[Филиал], tbl_Filialy[Город])</f>
        <v>Екатеринбург</v>
      </c>
      <c r="B155" s="1" t="s">
        <v>7</v>
      </c>
      <c r="C155" s="2">
        <v>46008</v>
      </c>
      <c r="D155" s="2" t="str">
        <f>CHOOSE(MONTH(branches[[#This Row],[Дата]]),"Январь","Февраль","Март","Апрель","Май","Июнь","Июль","Август","Сентябрь","Октябрь","Ноябрь","Декабрь")&amp;" "&amp;YEAR(branches[[#This Row],[Дата]])</f>
        <v>Декабрь 2025</v>
      </c>
      <c r="E155" t="s">
        <v>11</v>
      </c>
      <c r="F155" t="s">
        <v>12</v>
      </c>
      <c r="G155">
        <v>2</v>
      </c>
      <c r="H155">
        <v>304</v>
      </c>
      <c r="I155" t="s">
        <v>23</v>
      </c>
      <c r="J155" t="str">
        <f>_xlfn.XLOOKUP(branches[[#This Row],[Филиал]], tbl_Filialy[Филиал], tbl_Filialy[Менеджер])</f>
        <v>Сергей Мельников</v>
      </c>
    </row>
    <row r="156" spans="1:10" x14ac:dyDescent="0.3">
      <c r="A156" t="str">
        <f>_xlfn.XLOOKUP(branches[[#This Row],[Филиал]], tbl_Filialy[Филиал], tbl_Filialy[Город])</f>
        <v>Екатеринбург</v>
      </c>
      <c r="B156" s="1" t="s">
        <v>7</v>
      </c>
      <c r="C156" s="2">
        <v>45903</v>
      </c>
      <c r="D156" s="2" t="str">
        <f>CHOOSE(MONTH(branches[[#This Row],[Дата]]),"Январь","Февраль","Март","Апрель","Май","Июнь","Июль","Август","Сентябрь","Октябрь","Ноябрь","Декабрь")&amp;" "&amp;YEAR(branches[[#This Row],[Дата]])</f>
        <v>Сентябрь 2025</v>
      </c>
      <c r="E156" t="s">
        <v>20</v>
      </c>
      <c r="F156" t="s">
        <v>12</v>
      </c>
      <c r="G156">
        <v>1</v>
      </c>
      <c r="H156">
        <v>256</v>
      </c>
      <c r="I156" t="s">
        <v>23</v>
      </c>
      <c r="J156" t="str">
        <f>_xlfn.XLOOKUP(branches[[#This Row],[Филиал]], tbl_Filialy[Филиал], tbl_Filialy[Менеджер])</f>
        <v>Сергей Мельников</v>
      </c>
    </row>
    <row r="157" spans="1:10" x14ac:dyDescent="0.3">
      <c r="A157" t="str">
        <f>_xlfn.XLOOKUP(branches[[#This Row],[Филиал]], tbl_Filialy[Филиал], tbl_Filialy[Город])</f>
        <v>Екатеринбург</v>
      </c>
      <c r="B157" s="1" t="s">
        <v>7</v>
      </c>
      <c r="C157" s="2">
        <v>45946</v>
      </c>
      <c r="D157" s="2" t="str">
        <f>CHOOSE(MONTH(branches[[#This Row],[Дата]]),"Январь","Февраль","Март","Апрель","Май","Июнь","Июль","Август","Сентябрь","Октябрь","Ноябрь","Декабрь")&amp;" "&amp;YEAR(branches[[#This Row],[Дата]])</f>
        <v>Октябрь 2025</v>
      </c>
      <c r="E157" t="s">
        <v>11</v>
      </c>
      <c r="F157" t="s">
        <v>12</v>
      </c>
      <c r="G157">
        <v>1</v>
      </c>
      <c r="H157">
        <v>162</v>
      </c>
      <c r="I157" t="s">
        <v>21</v>
      </c>
      <c r="J157" t="str">
        <f>_xlfn.XLOOKUP(branches[[#This Row],[Филиал]], tbl_Filialy[Филиал], tbl_Filialy[Менеджер])</f>
        <v>Сергей Мельников</v>
      </c>
    </row>
    <row r="158" spans="1:10" x14ac:dyDescent="0.3">
      <c r="A158" t="str">
        <f>_xlfn.XLOOKUP(branches[[#This Row],[Филиал]], tbl_Filialy[Филиал], tbl_Filialy[Город])</f>
        <v>Екатеринбург</v>
      </c>
      <c r="B158" s="1" t="s">
        <v>7</v>
      </c>
      <c r="C158" s="2">
        <v>46015</v>
      </c>
      <c r="D158" s="2" t="str">
        <f>CHOOSE(MONTH(branches[[#This Row],[Дата]]),"Январь","Февраль","Март","Апрель","Май","Июнь","Июль","Август","Сентябрь","Октябрь","Ноябрь","Декабрь")&amp;" "&amp;YEAR(branches[[#This Row],[Дата]])</f>
        <v>Декабрь 2025</v>
      </c>
      <c r="E158" t="s">
        <v>18</v>
      </c>
      <c r="F158" t="s">
        <v>12</v>
      </c>
      <c r="G158">
        <v>1</v>
      </c>
      <c r="H158">
        <v>152</v>
      </c>
      <c r="I158" t="s">
        <v>13</v>
      </c>
      <c r="J158" t="str">
        <f>_xlfn.XLOOKUP(branches[[#This Row],[Филиал]], tbl_Filialy[Филиал], tbl_Filialy[Менеджер])</f>
        <v>Сергей Мельников</v>
      </c>
    </row>
    <row r="159" spans="1:10" x14ac:dyDescent="0.3">
      <c r="A159" t="str">
        <f>_xlfn.XLOOKUP(branches[[#This Row],[Филиал]], tbl_Filialy[Филиал], tbl_Filialy[Город])</f>
        <v>Екатеринбург</v>
      </c>
      <c r="B159" s="1" t="s">
        <v>7</v>
      </c>
      <c r="C159" s="2">
        <v>45949</v>
      </c>
      <c r="D159" s="2" t="str">
        <f>CHOOSE(MONTH(branches[[#This Row],[Дата]]),"Январь","Февраль","Март","Апрель","Май","Июнь","Июль","Август","Сентябрь","Октябрь","Ноябрь","Декабрь")&amp;" "&amp;YEAR(branches[[#This Row],[Дата]])</f>
        <v>Октябрь 2025</v>
      </c>
      <c r="E159" t="s">
        <v>11</v>
      </c>
      <c r="F159" t="s">
        <v>12</v>
      </c>
      <c r="G159">
        <v>2</v>
      </c>
      <c r="H159">
        <v>330</v>
      </c>
      <c r="I159" t="s">
        <v>15</v>
      </c>
      <c r="J159" t="str">
        <f>_xlfn.XLOOKUP(branches[[#This Row],[Филиал]], tbl_Filialy[Филиал], tbl_Filialy[Менеджер])</f>
        <v>Сергей Мельников</v>
      </c>
    </row>
    <row r="160" spans="1:10" x14ac:dyDescent="0.3">
      <c r="A160" t="str">
        <f>_xlfn.XLOOKUP(branches[[#This Row],[Филиал]], tbl_Filialy[Филиал], tbl_Filialy[Город])</f>
        <v>Екатеринбург</v>
      </c>
      <c r="B160" s="1" t="s">
        <v>7</v>
      </c>
      <c r="C160" s="2">
        <v>45875</v>
      </c>
      <c r="D160" s="2" t="str">
        <f>CHOOSE(MONTH(branches[[#This Row],[Дата]]),"Январь","Февраль","Март","Апрель","Май","Июнь","Июль","Август","Сентябрь","Октябрь","Ноябрь","Декабрь")&amp;" "&amp;YEAR(branches[[#This Row],[Дата]])</f>
        <v>Август 2025</v>
      </c>
      <c r="E160" t="s">
        <v>28</v>
      </c>
      <c r="F160" t="s">
        <v>12</v>
      </c>
      <c r="G160">
        <v>2</v>
      </c>
      <c r="H160">
        <v>440</v>
      </c>
      <c r="I160" t="s">
        <v>10</v>
      </c>
      <c r="J160" t="str">
        <f>_xlfn.XLOOKUP(branches[[#This Row],[Филиал]], tbl_Filialy[Филиал], tbl_Filialy[Менеджер])</f>
        <v>Сергей Мельников</v>
      </c>
    </row>
    <row r="161" spans="1:10" x14ac:dyDescent="0.3">
      <c r="A161" t="str">
        <f>_xlfn.XLOOKUP(branches[[#This Row],[Филиал]], tbl_Filialy[Филиал], tbl_Filialy[Город])</f>
        <v>Екатеринбург</v>
      </c>
      <c r="B161" s="1" t="s">
        <v>7</v>
      </c>
      <c r="C161" s="2">
        <v>45901</v>
      </c>
      <c r="D161" s="2" t="str">
        <f>CHOOSE(MONTH(branches[[#This Row],[Дата]]),"Январь","Февраль","Март","Апрель","Май","Июнь","Июль","Август","Сентябрь","Октябрь","Ноябрь","Декабрь")&amp;" "&amp;YEAR(branches[[#This Row],[Дата]])</f>
        <v>Сентябрь 2025</v>
      </c>
      <c r="E161" t="s">
        <v>20</v>
      </c>
      <c r="F161" t="s">
        <v>12</v>
      </c>
      <c r="G161">
        <v>3</v>
      </c>
      <c r="H161">
        <v>855</v>
      </c>
      <c r="I161" t="s">
        <v>21</v>
      </c>
      <c r="J161" t="str">
        <f>_xlfn.XLOOKUP(branches[[#This Row],[Филиал]], tbl_Filialy[Филиал], tbl_Filialy[Менеджер])</f>
        <v>Сергей Мельников</v>
      </c>
    </row>
    <row r="162" spans="1:10" x14ac:dyDescent="0.3">
      <c r="A162" t="str">
        <f>_xlfn.XLOOKUP(branches[[#This Row],[Филиал]], tbl_Filialy[Филиал], tbl_Filialy[Город])</f>
        <v>Екатеринбург</v>
      </c>
      <c r="B162" s="1" t="s">
        <v>7</v>
      </c>
      <c r="C162" s="2">
        <v>45677</v>
      </c>
      <c r="D162" s="2" t="str">
        <f>CHOOSE(MONTH(branches[[#This Row],[Дата]]),"Январь","Февраль","Март","Апрель","Май","Июнь","Июль","Август","Сентябрь","Октябрь","Ноябрь","Декабрь")&amp;" "&amp;YEAR(branches[[#This Row],[Дата]])</f>
        <v>Январь 2025</v>
      </c>
      <c r="E162" t="s">
        <v>22</v>
      </c>
      <c r="F162" t="s">
        <v>9</v>
      </c>
      <c r="G162">
        <v>2</v>
      </c>
      <c r="H162">
        <v>384</v>
      </c>
      <c r="I162" t="s">
        <v>13</v>
      </c>
      <c r="J162" t="str">
        <f>_xlfn.XLOOKUP(branches[[#This Row],[Филиал]], tbl_Filialy[Филиал], tbl_Filialy[Менеджер])</f>
        <v>Сергей Мельников</v>
      </c>
    </row>
    <row r="163" spans="1:10" x14ac:dyDescent="0.3">
      <c r="A163" t="str">
        <f>_xlfn.XLOOKUP(branches[[#This Row],[Филиал]], tbl_Filialy[Филиал], tbl_Filialy[Город])</f>
        <v>Екатеринбург</v>
      </c>
      <c r="B163" s="1" t="s">
        <v>7</v>
      </c>
      <c r="C163" s="2">
        <v>45896</v>
      </c>
      <c r="D163" s="2" t="str">
        <f>CHOOSE(MONTH(branches[[#This Row],[Дата]]),"Январь","Февраль","Март","Апрель","Май","Июнь","Июль","Август","Сентябрь","Октябрь","Ноябрь","Декабрь")&amp;" "&amp;YEAR(branches[[#This Row],[Дата]])</f>
        <v>Август 2025</v>
      </c>
      <c r="E163" t="s">
        <v>22</v>
      </c>
      <c r="F163" t="s">
        <v>9</v>
      </c>
      <c r="G163">
        <v>3</v>
      </c>
      <c r="H163">
        <v>582</v>
      </c>
      <c r="I163" t="s">
        <v>15</v>
      </c>
      <c r="J163" t="str">
        <f>_xlfn.XLOOKUP(branches[[#This Row],[Филиал]], tbl_Filialy[Филиал], tbl_Filialy[Менеджер])</f>
        <v>Сергей Мельников</v>
      </c>
    </row>
    <row r="164" spans="1:10" x14ac:dyDescent="0.3">
      <c r="A164" t="str">
        <f>_xlfn.XLOOKUP(branches[[#This Row],[Филиал]], tbl_Filialy[Филиал], tbl_Filialy[Город])</f>
        <v>Екатеринбург</v>
      </c>
      <c r="B164" s="1" t="s">
        <v>7</v>
      </c>
      <c r="C164" s="2">
        <v>45716</v>
      </c>
      <c r="D164" s="2" t="str">
        <f>CHOOSE(MONTH(branches[[#This Row],[Дата]]),"Январь","Февраль","Март","Апрель","Май","Июнь","Июль","Август","Сентябрь","Октябрь","Ноябрь","Декабрь")&amp;" "&amp;YEAR(branches[[#This Row],[Дата]])</f>
        <v>Февраль 2025</v>
      </c>
      <c r="E164" t="s">
        <v>11</v>
      </c>
      <c r="F164" t="s">
        <v>12</v>
      </c>
      <c r="G164">
        <v>3</v>
      </c>
      <c r="H164">
        <v>561</v>
      </c>
      <c r="I164" t="s">
        <v>13</v>
      </c>
      <c r="J164" t="str">
        <f>_xlfn.XLOOKUP(branches[[#This Row],[Филиал]], tbl_Filialy[Филиал], tbl_Filialy[Менеджер])</f>
        <v>Сергей Мельников</v>
      </c>
    </row>
    <row r="165" spans="1:10" x14ac:dyDescent="0.3">
      <c r="A165" t="str">
        <f>_xlfn.XLOOKUP(branches[[#This Row],[Филиал]], tbl_Filialy[Филиал], tbl_Filialy[Город])</f>
        <v>Екатеринбург</v>
      </c>
      <c r="B165" s="1" t="s">
        <v>7</v>
      </c>
      <c r="C165" s="2">
        <v>45920</v>
      </c>
      <c r="D165" s="2" t="str">
        <f>CHOOSE(MONTH(branches[[#This Row],[Дата]]),"Январь","Февраль","Март","Апрель","Май","Июнь","Июль","Август","Сентябрь","Октябрь","Ноябрь","Декабрь")&amp;" "&amp;YEAR(branches[[#This Row],[Дата]])</f>
        <v>Сентябрь 2025</v>
      </c>
      <c r="E165" t="s">
        <v>16</v>
      </c>
      <c r="F165" t="s">
        <v>17</v>
      </c>
      <c r="G165">
        <v>2</v>
      </c>
      <c r="H165">
        <v>720</v>
      </c>
      <c r="I165" t="s">
        <v>23</v>
      </c>
      <c r="J165" t="str">
        <f>_xlfn.XLOOKUP(branches[[#This Row],[Филиал]], tbl_Filialy[Филиал], tbl_Filialy[Менеджер])</f>
        <v>Сергей Мельников</v>
      </c>
    </row>
    <row r="166" spans="1:10" x14ac:dyDescent="0.3">
      <c r="A166" t="str">
        <f>_xlfn.XLOOKUP(branches[[#This Row],[Филиал]], tbl_Filialy[Филиал], tbl_Filialy[Город])</f>
        <v>Екатеринбург</v>
      </c>
      <c r="B166" s="1" t="s">
        <v>7</v>
      </c>
      <c r="C166" s="2">
        <v>46001</v>
      </c>
      <c r="D166" s="2" t="str">
        <f>CHOOSE(MONTH(branches[[#This Row],[Дата]]),"Январь","Февраль","Март","Апрель","Май","Июнь","Июль","Август","Сентябрь","Октябрь","Ноябрь","Декабрь")&amp;" "&amp;YEAR(branches[[#This Row],[Дата]])</f>
        <v>Декабрь 2025</v>
      </c>
      <c r="E166" t="s">
        <v>14</v>
      </c>
      <c r="F166" t="s">
        <v>12</v>
      </c>
      <c r="G166">
        <v>1</v>
      </c>
      <c r="H166">
        <v>252</v>
      </c>
      <c r="I166" t="s">
        <v>19</v>
      </c>
      <c r="J166" t="str">
        <f>_xlfn.XLOOKUP(branches[[#This Row],[Филиал]], tbl_Filialy[Филиал], tbl_Filialy[Менеджер])</f>
        <v>Сергей Мельников</v>
      </c>
    </row>
    <row r="167" spans="1:10" x14ac:dyDescent="0.3">
      <c r="A167" t="str">
        <f>_xlfn.XLOOKUP(branches[[#This Row],[Филиал]], tbl_Filialy[Филиал], tbl_Filialy[Город])</f>
        <v>Екатеринбург</v>
      </c>
      <c r="B167" s="1" t="s">
        <v>7</v>
      </c>
      <c r="C167" s="2">
        <v>45678</v>
      </c>
      <c r="D167" s="2" t="str">
        <f>CHOOSE(MONTH(branches[[#This Row],[Дата]]),"Январь","Февраль","Март","Апрель","Май","Июнь","Июль","Август","Сентябрь","Октябрь","Ноябрь","Декабрь")&amp;" "&amp;YEAR(branches[[#This Row],[Дата]])</f>
        <v>Январь 2025</v>
      </c>
      <c r="E167" t="s">
        <v>20</v>
      </c>
      <c r="F167" t="s">
        <v>12</v>
      </c>
      <c r="G167">
        <v>1</v>
      </c>
      <c r="H167">
        <v>301</v>
      </c>
      <c r="I167" t="s">
        <v>23</v>
      </c>
      <c r="J167" t="str">
        <f>_xlfn.XLOOKUP(branches[[#This Row],[Филиал]], tbl_Filialy[Филиал], tbl_Filialy[Менеджер])</f>
        <v>Сергей Мельников</v>
      </c>
    </row>
    <row r="168" spans="1:10" x14ac:dyDescent="0.3">
      <c r="A168" t="str">
        <f>_xlfn.XLOOKUP(branches[[#This Row],[Филиал]], tbl_Filialy[Филиал], tbl_Filialy[Город])</f>
        <v>Екатеринбург</v>
      </c>
      <c r="B168" s="1" t="s">
        <v>7</v>
      </c>
      <c r="C168" s="2">
        <v>45819</v>
      </c>
      <c r="D168" s="2" t="str">
        <f>CHOOSE(MONTH(branches[[#This Row],[Дата]]),"Январь","Февраль","Март","Апрель","Май","Июнь","Июль","Август","Сентябрь","Октябрь","Ноябрь","Декабрь")&amp;" "&amp;YEAR(branches[[#This Row],[Дата]])</f>
        <v>Июнь 2025</v>
      </c>
      <c r="E168" t="s">
        <v>8</v>
      </c>
      <c r="F168" t="s">
        <v>9</v>
      </c>
      <c r="G168">
        <v>3</v>
      </c>
      <c r="H168">
        <v>816</v>
      </c>
      <c r="I168" t="s">
        <v>13</v>
      </c>
      <c r="J168" t="str">
        <f>_xlfn.XLOOKUP(branches[[#This Row],[Филиал]], tbl_Filialy[Филиал], tbl_Filialy[Менеджер])</f>
        <v>Сергей Мельников</v>
      </c>
    </row>
    <row r="169" spans="1:10" x14ac:dyDescent="0.3">
      <c r="A169" t="str">
        <f>_xlfn.XLOOKUP(branches[[#This Row],[Филиал]], tbl_Filialy[Филиал], tbl_Filialy[Город])</f>
        <v>Екатеринбург</v>
      </c>
      <c r="B169" s="1" t="s">
        <v>7</v>
      </c>
      <c r="C169" s="2">
        <v>45705</v>
      </c>
      <c r="D169" s="2" t="str">
        <f>CHOOSE(MONTH(branches[[#This Row],[Дата]]),"Январь","Февраль","Март","Апрель","Май","Июнь","Июль","Август","Сентябрь","Октябрь","Ноябрь","Декабрь")&amp;" "&amp;YEAR(branches[[#This Row],[Дата]])</f>
        <v>Февраль 2025</v>
      </c>
      <c r="E169" t="s">
        <v>26</v>
      </c>
      <c r="F169" t="s">
        <v>9</v>
      </c>
      <c r="G169">
        <v>1</v>
      </c>
      <c r="H169">
        <v>204</v>
      </c>
      <c r="I169" t="s">
        <v>13</v>
      </c>
      <c r="J169" t="str">
        <f>_xlfn.XLOOKUP(branches[[#This Row],[Филиал]], tbl_Filialy[Филиал], tbl_Filialy[Менеджер])</f>
        <v>Сергей Мельников</v>
      </c>
    </row>
    <row r="170" spans="1:10" x14ac:dyDescent="0.3">
      <c r="A170" t="str">
        <f>_xlfn.XLOOKUP(branches[[#This Row],[Филиал]], tbl_Filialy[Филиал], tbl_Filialy[Город])</f>
        <v>Екатеринбург</v>
      </c>
      <c r="B170" s="1" t="s">
        <v>7</v>
      </c>
      <c r="C170" s="2">
        <v>45950</v>
      </c>
      <c r="D170" s="2" t="str">
        <f>CHOOSE(MONTH(branches[[#This Row],[Дата]]),"Январь","Февраль","Март","Апрель","Май","Июнь","Июль","Август","Сентябрь","Октябрь","Ноябрь","Декабрь")&amp;" "&amp;YEAR(branches[[#This Row],[Дата]])</f>
        <v>Октябрь 2025</v>
      </c>
      <c r="E170" t="s">
        <v>16</v>
      </c>
      <c r="F170" t="s">
        <v>17</v>
      </c>
      <c r="G170">
        <v>1</v>
      </c>
      <c r="H170">
        <v>327</v>
      </c>
      <c r="I170" t="s">
        <v>23</v>
      </c>
      <c r="J170" t="str">
        <f>_xlfn.XLOOKUP(branches[[#This Row],[Филиал]], tbl_Filialy[Филиал], tbl_Filialy[Менеджер])</f>
        <v>Сергей Мельников</v>
      </c>
    </row>
    <row r="171" spans="1:10" x14ac:dyDescent="0.3">
      <c r="A171" t="str">
        <f>_xlfn.XLOOKUP(branches[[#This Row],[Филиал]], tbl_Filialy[Филиал], tbl_Filialy[Город])</f>
        <v>Екатеринбург</v>
      </c>
      <c r="B171" s="1" t="s">
        <v>7</v>
      </c>
      <c r="C171" s="2">
        <v>45708</v>
      </c>
      <c r="D171" s="2" t="str">
        <f>CHOOSE(MONTH(branches[[#This Row],[Дата]]),"Январь","Февраль","Март","Апрель","Май","Июнь","Июль","Август","Сентябрь","Октябрь","Ноябрь","Декабрь")&amp;" "&amp;YEAR(branches[[#This Row],[Дата]])</f>
        <v>Февраль 2025</v>
      </c>
      <c r="E171" t="s">
        <v>16</v>
      </c>
      <c r="F171" t="s">
        <v>17</v>
      </c>
      <c r="G171">
        <v>2</v>
      </c>
      <c r="H171">
        <v>618</v>
      </c>
      <c r="I171" t="s">
        <v>15</v>
      </c>
      <c r="J171" t="str">
        <f>_xlfn.XLOOKUP(branches[[#This Row],[Филиал]], tbl_Filialy[Филиал], tbl_Filialy[Менеджер])</f>
        <v>Сергей Мельников</v>
      </c>
    </row>
    <row r="172" spans="1:10" x14ac:dyDescent="0.3">
      <c r="A172" t="str">
        <f>_xlfn.XLOOKUP(branches[[#This Row],[Филиал]], tbl_Filialy[Филиал], tbl_Filialy[Город])</f>
        <v>Екатеринбург</v>
      </c>
      <c r="B172" s="1" t="s">
        <v>7</v>
      </c>
      <c r="C172" s="2">
        <v>45844</v>
      </c>
      <c r="D172" s="2" t="str">
        <f>CHOOSE(MONTH(branches[[#This Row],[Дата]]),"Январь","Февраль","Март","Апрель","Май","Июнь","Июль","Август","Сентябрь","Октябрь","Ноябрь","Декабрь")&amp;" "&amp;YEAR(branches[[#This Row],[Дата]])</f>
        <v>Июль 2025</v>
      </c>
      <c r="E172" t="s">
        <v>27</v>
      </c>
      <c r="F172" t="s">
        <v>12</v>
      </c>
      <c r="G172">
        <v>2</v>
      </c>
      <c r="H172">
        <v>456</v>
      </c>
      <c r="I172" t="s">
        <v>19</v>
      </c>
      <c r="J172" t="str">
        <f>_xlfn.XLOOKUP(branches[[#This Row],[Филиал]], tbl_Filialy[Филиал], tbl_Filialy[Менеджер])</f>
        <v>Сергей Мельников</v>
      </c>
    </row>
    <row r="173" spans="1:10" x14ac:dyDescent="0.3">
      <c r="A173" t="str">
        <f>_xlfn.XLOOKUP(branches[[#This Row],[Филиал]], tbl_Filialy[Филиал], tbl_Filialy[Город])</f>
        <v>Екатеринбург</v>
      </c>
      <c r="B173" s="1" t="s">
        <v>7</v>
      </c>
      <c r="C173" s="2">
        <v>45995</v>
      </c>
      <c r="D173" s="2" t="str">
        <f>CHOOSE(MONTH(branches[[#This Row],[Дата]]),"Январь","Февраль","Март","Апрель","Май","Июнь","Июль","Август","Сентябрь","Октябрь","Ноябрь","Декабрь")&amp;" "&amp;YEAR(branches[[#This Row],[Дата]])</f>
        <v>Декабрь 2025</v>
      </c>
      <c r="E173" t="s">
        <v>28</v>
      </c>
      <c r="F173" t="s">
        <v>12</v>
      </c>
      <c r="G173">
        <v>1</v>
      </c>
      <c r="H173">
        <v>238</v>
      </c>
      <c r="I173" t="s">
        <v>10</v>
      </c>
      <c r="J173" t="str">
        <f>_xlfn.XLOOKUP(branches[[#This Row],[Филиал]], tbl_Filialy[Филиал], tbl_Filialy[Менеджер])</f>
        <v>Сергей Мельников</v>
      </c>
    </row>
    <row r="174" spans="1:10" x14ac:dyDescent="0.3">
      <c r="A174" t="str">
        <f>_xlfn.XLOOKUP(branches[[#This Row],[Филиал]], tbl_Filialy[Филиал], tbl_Filialy[Город])</f>
        <v>Екатеринбург</v>
      </c>
      <c r="B174" s="1" t="s">
        <v>7</v>
      </c>
      <c r="C174" s="2">
        <v>45756</v>
      </c>
      <c r="D174" s="2" t="str">
        <f>CHOOSE(MONTH(branches[[#This Row],[Дата]]),"Январь","Февраль","Март","Апрель","Май","Июнь","Июль","Август","Сентябрь","Октябрь","Ноябрь","Декабрь")&amp;" "&amp;YEAR(branches[[#This Row],[Дата]])</f>
        <v>Апрель 2025</v>
      </c>
      <c r="E174" t="s">
        <v>14</v>
      </c>
      <c r="F174" t="s">
        <v>12</v>
      </c>
      <c r="G174">
        <v>1</v>
      </c>
      <c r="H174">
        <v>285</v>
      </c>
      <c r="I174" t="s">
        <v>13</v>
      </c>
      <c r="J174" t="str">
        <f>_xlfn.XLOOKUP(branches[[#This Row],[Филиал]], tbl_Filialy[Филиал], tbl_Filialy[Менеджер])</f>
        <v>Сергей Мельников</v>
      </c>
    </row>
    <row r="175" spans="1:10" x14ac:dyDescent="0.3">
      <c r="A175" t="str">
        <f>_xlfn.XLOOKUP(branches[[#This Row],[Филиал]], tbl_Filialy[Филиал], tbl_Filialy[Город])</f>
        <v>Екатеринбург</v>
      </c>
      <c r="B175" s="1" t="s">
        <v>7</v>
      </c>
      <c r="C175" s="2">
        <v>45784</v>
      </c>
      <c r="D175" s="2" t="str">
        <f>CHOOSE(MONTH(branches[[#This Row],[Дата]]),"Январь","Февраль","Март","Апрель","Май","Июнь","Июль","Август","Сентябрь","Октябрь","Ноябрь","Декабрь")&amp;" "&amp;YEAR(branches[[#This Row],[Дата]])</f>
        <v>Май 2025</v>
      </c>
      <c r="E175" t="s">
        <v>16</v>
      </c>
      <c r="F175" t="s">
        <v>17</v>
      </c>
      <c r="G175">
        <v>3</v>
      </c>
      <c r="H175">
        <v>963</v>
      </c>
      <c r="I175" t="s">
        <v>10</v>
      </c>
      <c r="J175" t="str">
        <f>_xlfn.XLOOKUP(branches[[#This Row],[Филиал]], tbl_Filialy[Филиал], tbl_Filialy[Менеджер])</f>
        <v>Сергей Мельников</v>
      </c>
    </row>
    <row r="176" spans="1:10" x14ac:dyDescent="0.3">
      <c r="A176" t="str">
        <f>_xlfn.XLOOKUP(branches[[#This Row],[Филиал]], tbl_Filialy[Филиал], tbl_Filialy[Город])</f>
        <v>Екатеринбург</v>
      </c>
      <c r="B176" s="1" t="s">
        <v>7</v>
      </c>
      <c r="C176" s="2">
        <v>45888</v>
      </c>
      <c r="D176" s="2" t="str">
        <f>CHOOSE(MONTH(branches[[#This Row],[Дата]]),"Январь","Февраль","Март","Апрель","Май","Июнь","Июль","Август","Сентябрь","Октябрь","Ноябрь","Декабрь")&amp;" "&amp;YEAR(branches[[#This Row],[Дата]])</f>
        <v>Август 2025</v>
      </c>
      <c r="E176" t="s">
        <v>26</v>
      </c>
      <c r="F176" t="s">
        <v>9</v>
      </c>
      <c r="G176">
        <v>2</v>
      </c>
      <c r="H176">
        <v>430</v>
      </c>
      <c r="I176" t="s">
        <v>23</v>
      </c>
      <c r="J176" t="str">
        <f>_xlfn.XLOOKUP(branches[[#This Row],[Филиал]], tbl_Filialy[Филиал], tbl_Filialy[Менеджер])</f>
        <v>Сергей Мельников</v>
      </c>
    </row>
    <row r="177" spans="1:10" x14ac:dyDescent="0.3">
      <c r="A177" t="str">
        <f>_xlfn.XLOOKUP(branches[[#This Row],[Филиал]], tbl_Filialy[Филиал], tbl_Filialy[Город])</f>
        <v>Екатеринбург</v>
      </c>
      <c r="B177" s="1" t="s">
        <v>7</v>
      </c>
      <c r="C177" s="2">
        <v>45707</v>
      </c>
      <c r="D177" s="2" t="str">
        <f>CHOOSE(MONTH(branches[[#This Row],[Дата]]),"Январь","Февраль","Март","Апрель","Май","Июнь","Июль","Август","Сентябрь","Октябрь","Ноябрь","Декабрь")&amp;" "&amp;YEAR(branches[[#This Row],[Дата]])</f>
        <v>Февраль 2025</v>
      </c>
      <c r="E177" t="s">
        <v>28</v>
      </c>
      <c r="F177" t="s">
        <v>12</v>
      </c>
      <c r="G177">
        <v>1</v>
      </c>
      <c r="H177">
        <v>247</v>
      </c>
      <c r="I177" t="s">
        <v>21</v>
      </c>
      <c r="J177" t="str">
        <f>_xlfn.XLOOKUP(branches[[#This Row],[Филиал]], tbl_Filialy[Филиал], tbl_Filialy[Менеджер])</f>
        <v>Сергей Мельников</v>
      </c>
    </row>
    <row r="178" spans="1:10" x14ac:dyDescent="0.3">
      <c r="A178" t="str">
        <f>_xlfn.XLOOKUP(branches[[#This Row],[Филиал]], tbl_Filialy[Филиал], tbl_Filialy[Город])</f>
        <v>Екатеринбург</v>
      </c>
      <c r="B178" s="1" t="s">
        <v>7</v>
      </c>
      <c r="C178" s="2">
        <v>45801</v>
      </c>
      <c r="D178" s="2" t="str">
        <f>CHOOSE(MONTH(branches[[#This Row],[Дата]]),"Январь","Февраль","Март","Апрель","Май","Июнь","Июль","Август","Сентябрь","Октябрь","Ноябрь","Декабрь")&amp;" "&amp;YEAR(branches[[#This Row],[Дата]])</f>
        <v>Май 2025</v>
      </c>
      <c r="E178" t="s">
        <v>20</v>
      </c>
      <c r="F178" t="s">
        <v>12</v>
      </c>
      <c r="G178">
        <v>3</v>
      </c>
      <c r="H178">
        <v>873</v>
      </c>
      <c r="I178" t="s">
        <v>19</v>
      </c>
      <c r="J178" t="str">
        <f>_xlfn.XLOOKUP(branches[[#This Row],[Филиал]], tbl_Filialy[Филиал], tbl_Filialy[Менеджер])</f>
        <v>Сергей Мельников</v>
      </c>
    </row>
    <row r="179" spans="1:10" x14ac:dyDescent="0.3">
      <c r="A179" t="str">
        <f>_xlfn.XLOOKUP(branches[[#This Row],[Филиал]], tbl_Filialy[Филиал], tbl_Filialy[Город])</f>
        <v>Екатеринбург</v>
      </c>
      <c r="B179" s="1" t="s">
        <v>7</v>
      </c>
      <c r="C179" s="2">
        <v>46001</v>
      </c>
      <c r="D179" s="2" t="str">
        <f>CHOOSE(MONTH(branches[[#This Row],[Дата]]),"Январь","Февраль","Март","Апрель","Май","Июнь","Июль","Август","Сентябрь","Октябрь","Ноябрь","Декабрь")&amp;" "&amp;YEAR(branches[[#This Row],[Дата]])</f>
        <v>Декабрь 2025</v>
      </c>
      <c r="E179" t="s">
        <v>26</v>
      </c>
      <c r="F179" t="s">
        <v>9</v>
      </c>
      <c r="G179">
        <v>2</v>
      </c>
      <c r="H179">
        <v>442</v>
      </c>
      <c r="I179" t="s">
        <v>23</v>
      </c>
      <c r="J179" t="str">
        <f>_xlfn.XLOOKUP(branches[[#This Row],[Филиал]], tbl_Filialy[Филиал], tbl_Filialy[Менеджер])</f>
        <v>Сергей Мельников</v>
      </c>
    </row>
    <row r="180" spans="1:10" x14ac:dyDescent="0.3">
      <c r="A180" t="str">
        <f>_xlfn.XLOOKUP(branches[[#This Row],[Филиал]], tbl_Filialy[Филиал], tbl_Filialy[Город])</f>
        <v>Екатеринбург</v>
      </c>
      <c r="B180" s="1" t="s">
        <v>7</v>
      </c>
      <c r="C180" s="2">
        <v>45738</v>
      </c>
      <c r="D180" s="2" t="str">
        <f>CHOOSE(MONTH(branches[[#This Row],[Дата]]),"Январь","Февраль","Март","Апрель","Май","Июнь","Июль","Август","Сентябрь","Октябрь","Ноябрь","Декабрь")&amp;" "&amp;YEAR(branches[[#This Row],[Дата]])</f>
        <v>Март 2025</v>
      </c>
      <c r="E180" t="s">
        <v>18</v>
      </c>
      <c r="F180" t="s">
        <v>12</v>
      </c>
      <c r="G180">
        <v>3</v>
      </c>
      <c r="H180">
        <v>378</v>
      </c>
      <c r="I180" t="s">
        <v>23</v>
      </c>
      <c r="J180" t="str">
        <f>_xlfn.XLOOKUP(branches[[#This Row],[Филиал]], tbl_Filialy[Филиал], tbl_Filialy[Менеджер])</f>
        <v>Сергей Мельников</v>
      </c>
    </row>
    <row r="181" spans="1:10" x14ac:dyDescent="0.3">
      <c r="A181" t="str">
        <f>_xlfn.XLOOKUP(branches[[#This Row],[Филиал]], tbl_Filialy[Филиал], tbl_Filialy[Город])</f>
        <v>Екатеринбург</v>
      </c>
      <c r="B181" s="1" t="s">
        <v>7</v>
      </c>
      <c r="C181" s="2">
        <v>45992</v>
      </c>
      <c r="D181" s="2" t="str">
        <f>CHOOSE(MONTH(branches[[#This Row],[Дата]]),"Январь","Февраль","Март","Апрель","Май","Июнь","Июль","Август","Сентябрь","Октябрь","Ноябрь","Декабрь")&amp;" "&amp;YEAR(branches[[#This Row],[Дата]])</f>
        <v>Декабрь 2025</v>
      </c>
      <c r="E181" t="s">
        <v>25</v>
      </c>
      <c r="F181" t="s">
        <v>12</v>
      </c>
      <c r="G181">
        <v>2</v>
      </c>
      <c r="H181">
        <v>408</v>
      </c>
      <c r="I181" t="s">
        <v>10</v>
      </c>
      <c r="J181" t="str">
        <f>_xlfn.XLOOKUP(branches[[#This Row],[Филиал]], tbl_Filialy[Филиал], tbl_Filialy[Менеджер])</f>
        <v>Сергей Мельников</v>
      </c>
    </row>
    <row r="182" spans="1:10" x14ac:dyDescent="0.3">
      <c r="A182" t="str">
        <f>_xlfn.XLOOKUP(branches[[#This Row],[Филиал]], tbl_Filialy[Филиал], tbl_Filialy[Город])</f>
        <v>Екатеринбург</v>
      </c>
      <c r="B182" s="1" t="s">
        <v>7</v>
      </c>
      <c r="C182" s="2">
        <v>45912</v>
      </c>
      <c r="D182" s="2" t="str">
        <f>CHOOSE(MONTH(branches[[#This Row],[Дата]]),"Январь","Февраль","Март","Апрель","Май","Июнь","Июль","Август","Сентябрь","Октябрь","Ноябрь","Декабрь")&amp;" "&amp;YEAR(branches[[#This Row],[Дата]])</f>
        <v>Сентябрь 2025</v>
      </c>
      <c r="E182" t="s">
        <v>24</v>
      </c>
      <c r="F182" t="s">
        <v>17</v>
      </c>
      <c r="G182">
        <v>2</v>
      </c>
      <c r="H182">
        <v>670</v>
      </c>
      <c r="I182" t="s">
        <v>21</v>
      </c>
      <c r="J182" t="str">
        <f>_xlfn.XLOOKUP(branches[[#This Row],[Филиал]], tbl_Filialy[Филиал], tbl_Filialy[Менеджер])</f>
        <v>Сергей Мельников</v>
      </c>
    </row>
    <row r="183" spans="1:10" x14ac:dyDescent="0.3">
      <c r="A183" t="str">
        <f>_xlfn.XLOOKUP(branches[[#This Row],[Филиал]], tbl_Filialy[Филиал], tbl_Filialy[Город])</f>
        <v>Екатеринбург</v>
      </c>
      <c r="B183" s="1" t="s">
        <v>7</v>
      </c>
      <c r="C183" s="2">
        <v>45759</v>
      </c>
      <c r="D183" s="2" t="str">
        <f>CHOOSE(MONTH(branches[[#This Row],[Дата]]),"Январь","Февраль","Март","Апрель","Май","Июнь","Июль","Август","Сентябрь","Октябрь","Ноябрь","Декабрь")&amp;" "&amp;YEAR(branches[[#This Row],[Дата]])</f>
        <v>Апрель 2025</v>
      </c>
      <c r="E183" t="s">
        <v>27</v>
      </c>
      <c r="F183" t="s">
        <v>12</v>
      </c>
      <c r="G183">
        <v>1</v>
      </c>
      <c r="H183">
        <v>189</v>
      </c>
      <c r="I183" t="s">
        <v>19</v>
      </c>
      <c r="J183" t="str">
        <f>_xlfn.XLOOKUP(branches[[#This Row],[Филиал]], tbl_Filialy[Филиал], tbl_Filialy[Менеджер])</f>
        <v>Сергей Мельников</v>
      </c>
    </row>
    <row r="184" spans="1:10" x14ac:dyDescent="0.3">
      <c r="A184" t="str">
        <f>_xlfn.XLOOKUP(branches[[#This Row],[Филиал]], tbl_Filialy[Филиал], tbl_Filialy[Город])</f>
        <v>Екатеринбург</v>
      </c>
      <c r="B184" s="1" t="s">
        <v>7</v>
      </c>
      <c r="C184" s="2">
        <v>45821</v>
      </c>
      <c r="D184" s="2" t="str">
        <f>CHOOSE(MONTH(branches[[#This Row],[Дата]]),"Январь","Февраль","Март","Апрель","Май","Июнь","Июль","Август","Сентябрь","Октябрь","Ноябрь","Декабрь")&amp;" "&amp;YEAR(branches[[#This Row],[Дата]])</f>
        <v>Июнь 2025</v>
      </c>
      <c r="E184" t="s">
        <v>11</v>
      </c>
      <c r="F184" t="s">
        <v>12</v>
      </c>
      <c r="G184">
        <v>3</v>
      </c>
      <c r="H184">
        <v>480</v>
      </c>
      <c r="I184" t="s">
        <v>15</v>
      </c>
      <c r="J184" t="str">
        <f>_xlfn.XLOOKUP(branches[[#This Row],[Филиал]], tbl_Filialy[Филиал], tbl_Filialy[Менеджер])</f>
        <v>Сергей Мельников</v>
      </c>
    </row>
    <row r="185" spans="1:10" x14ac:dyDescent="0.3">
      <c r="A185" t="str">
        <f>_xlfn.XLOOKUP(branches[[#This Row],[Филиал]], tbl_Filialy[Филиал], tbl_Filialy[Город])</f>
        <v>Екатеринбург</v>
      </c>
      <c r="B185" s="1" t="s">
        <v>7</v>
      </c>
      <c r="C185" s="2">
        <v>45924</v>
      </c>
      <c r="D185" s="2" t="str">
        <f>CHOOSE(MONTH(branches[[#This Row],[Дата]]),"Январь","Февраль","Март","Апрель","Май","Июнь","Июль","Август","Сентябрь","Октябрь","Ноябрь","Декабрь")&amp;" "&amp;YEAR(branches[[#This Row],[Дата]])</f>
        <v>Сентябрь 2025</v>
      </c>
      <c r="E185" t="s">
        <v>27</v>
      </c>
      <c r="F185" t="s">
        <v>12</v>
      </c>
      <c r="G185">
        <v>1</v>
      </c>
      <c r="H185">
        <v>213</v>
      </c>
      <c r="I185" t="s">
        <v>10</v>
      </c>
      <c r="J185" t="str">
        <f>_xlfn.XLOOKUP(branches[[#This Row],[Филиал]], tbl_Filialy[Филиал], tbl_Filialy[Менеджер])</f>
        <v>Сергей Мельников</v>
      </c>
    </row>
    <row r="186" spans="1:10" x14ac:dyDescent="0.3">
      <c r="A186" t="str">
        <f>_xlfn.XLOOKUP(branches[[#This Row],[Филиал]], tbl_Filialy[Филиал], tbl_Filialy[Город])</f>
        <v>Екатеринбург</v>
      </c>
      <c r="B186" s="1" t="s">
        <v>7</v>
      </c>
      <c r="C186" s="2">
        <v>45659</v>
      </c>
      <c r="D186" s="2" t="str">
        <f>CHOOSE(MONTH(branches[[#This Row],[Дата]]),"Январь","Февраль","Март","Апрель","Май","Июнь","Июль","Август","Сентябрь","Октябрь","Ноябрь","Декабрь")&amp;" "&amp;YEAR(branches[[#This Row],[Дата]])</f>
        <v>Январь 2025</v>
      </c>
      <c r="E186" t="s">
        <v>22</v>
      </c>
      <c r="F186" t="s">
        <v>9</v>
      </c>
      <c r="G186">
        <v>1</v>
      </c>
      <c r="H186">
        <v>172</v>
      </c>
      <c r="I186" t="s">
        <v>13</v>
      </c>
      <c r="J186" t="str">
        <f>_xlfn.XLOOKUP(branches[[#This Row],[Филиал]], tbl_Filialy[Филиал], tbl_Filialy[Менеджер])</f>
        <v>Сергей Мельников</v>
      </c>
    </row>
    <row r="187" spans="1:10" x14ac:dyDescent="0.3">
      <c r="A187" t="str">
        <f>_xlfn.XLOOKUP(branches[[#This Row],[Филиал]], tbl_Filialy[Филиал], tbl_Filialy[Город])</f>
        <v>Екатеринбург</v>
      </c>
      <c r="B187" s="1" t="s">
        <v>7</v>
      </c>
      <c r="C187" s="2">
        <v>45795</v>
      </c>
      <c r="D187" s="2" t="str">
        <f>CHOOSE(MONTH(branches[[#This Row],[Дата]]),"Январь","Февраль","Март","Апрель","Май","Июнь","Июль","Август","Сентябрь","Октябрь","Ноябрь","Декабрь")&amp;" "&amp;YEAR(branches[[#This Row],[Дата]])</f>
        <v>Май 2025</v>
      </c>
      <c r="E187" t="s">
        <v>16</v>
      </c>
      <c r="F187" t="s">
        <v>17</v>
      </c>
      <c r="G187">
        <v>3</v>
      </c>
      <c r="H187">
        <v>1071</v>
      </c>
      <c r="I187" t="s">
        <v>21</v>
      </c>
      <c r="J187" t="str">
        <f>_xlfn.XLOOKUP(branches[[#This Row],[Филиал]], tbl_Filialy[Филиал], tbl_Filialy[Менеджер])</f>
        <v>Сергей Мельников</v>
      </c>
    </row>
    <row r="188" spans="1:10" x14ac:dyDescent="0.3">
      <c r="A188" t="str">
        <f>_xlfn.XLOOKUP(branches[[#This Row],[Филиал]], tbl_Filialy[Филиал], tbl_Filialy[Город])</f>
        <v>Екатеринбург</v>
      </c>
      <c r="B188" s="1" t="s">
        <v>7</v>
      </c>
      <c r="C188" s="2">
        <v>45765</v>
      </c>
      <c r="D188" s="2" t="str">
        <f>CHOOSE(MONTH(branches[[#This Row],[Дата]]),"Январь","Февраль","Март","Апрель","Май","Июнь","Июль","Август","Сентябрь","Октябрь","Ноябрь","Декабрь")&amp;" "&amp;YEAR(branches[[#This Row],[Дата]])</f>
        <v>Апрель 2025</v>
      </c>
      <c r="E188" t="s">
        <v>28</v>
      </c>
      <c r="F188" t="s">
        <v>12</v>
      </c>
      <c r="G188">
        <v>3</v>
      </c>
      <c r="H188">
        <v>654</v>
      </c>
      <c r="I188" t="s">
        <v>15</v>
      </c>
      <c r="J188" t="str">
        <f>_xlfn.XLOOKUP(branches[[#This Row],[Филиал]], tbl_Filialy[Филиал], tbl_Filialy[Менеджер])</f>
        <v>Сергей Мельников</v>
      </c>
    </row>
    <row r="189" spans="1:10" x14ac:dyDescent="0.3">
      <c r="A189" t="str">
        <f>_xlfn.XLOOKUP(branches[[#This Row],[Филиал]], tbl_Filialy[Филиал], tbl_Filialy[Город])</f>
        <v>Екатеринбург</v>
      </c>
      <c r="B189" s="1" t="s">
        <v>7</v>
      </c>
      <c r="C189" s="2">
        <v>45968</v>
      </c>
      <c r="D189" s="2" t="str">
        <f>CHOOSE(MONTH(branches[[#This Row],[Дата]]),"Январь","Февраль","Март","Апрель","Май","Июнь","Июль","Август","Сентябрь","Октябрь","Ноябрь","Декабрь")&amp;" "&amp;YEAR(branches[[#This Row],[Дата]])</f>
        <v>Ноябрь 2025</v>
      </c>
      <c r="E189" t="s">
        <v>16</v>
      </c>
      <c r="F189" t="s">
        <v>17</v>
      </c>
      <c r="G189">
        <v>2</v>
      </c>
      <c r="H189">
        <v>668</v>
      </c>
      <c r="I189" t="s">
        <v>10</v>
      </c>
      <c r="J189" t="str">
        <f>_xlfn.XLOOKUP(branches[[#This Row],[Филиал]], tbl_Filialy[Филиал], tbl_Filialy[Менеджер])</f>
        <v>Сергей Мельников</v>
      </c>
    </row>
    <row r="190" spans="1:10" x14ac:dyDescent="0.3">
      <c r="A190" t="str">
        <f>_xlfn.XLOOKUP(branches[[#This Row],[Филиал]], tbl_Filialy[Филиал], tbl_Filialy[Город])</f>
        <v>Екатеринбург</v>
      </c>
      <c r="B190" s="1" t="s">
        <v>7</v>
      </c>
      <c r="C190" s="2">
        <v>45680</v>
      </c>
      <c r="D190" s="2" t="str">
        <f>CHOOSE(MONTH(branches[[#This Row],[Дата]]),"Январь","Февраль","Март","Апрель","Май","Июнь","Июль","Август","Сентябрь","Октябрь","Ноябрь","Декабрь")&amp;" "&amp;YEAR(branches[[#This Row],[Дата]])</f>
        <v>Январь 2025</v>
      </c>
      <c r="E190" t="s">
        <v>28</v>
      </c>
      <c r="F190" t="s">
        <v>12</v>
      </c>
      <c r="G190">
        <v>1</v>
      </c>
      <c r="H190">
        <v>249</v>
      </c>
      <c r="I190" t="s">
        <v>15</v>
      </c>
      <c r="J190" t="str">
        <f>_xlfn.XLOOKUP(branches[[#This Row],[Филиал]], tbl_Filialy[Филиал], tbl_Filialy[Менеджер])</f>
        <v>Сергей Мельников</v>
      </c>
    </row>
    <row r="191" spans="1:10" x14ac:dyDescent="0.3">
      <c r="A191" t="str">
        <f>_xlfn.XLOOKUP(branches[[#This Row],[Филиал]], tbl_Filialy[Филиал], tbl_Filialy[Город])</f>
        <v>Екатеринбург</v>
      </c>
      <c r="B191" s="1" t="s">
        <v>7</v>
      </c>
      <c r="C191" s="2">
        <v>45774</v>
      </c>
      <c r="D191" s="2" t="str">
        <f>CHOOSE(MONTH(branches[[#This Row],[Дата]]),"Январь","Февраль","Март","Апрель","Май","Июнь","Июль","Август","Сентябрь","Октябрь","Ноябрь","Декабрь")&amp;" "&amp;YEAR(branches[[#This Row],[Дата]])</f>
        <v>Апрель 2025</v>
      </c>
      <c r="E191" t="s">
        <v>27</v>
      </c>
      <c r="F191" t="s">
        <v>12</v>
      </c>
      <c r="G191">
        <v>2</v>
      </c>
      <c r="H191">
        <v>384</v>
      </c>
      <c r="I191" t="s">
        <v>13</v>
      </c>
      <c r="J191" t="str">
        <f>_xlfn.XLOOKUP(branches[[#This Row],[Филиал]], tbl_Filialy[Филиал], tbl_Filialy[Менеджер])</f>
        <v>Сергей Мельников</v>
      </c>
    </row>
    <row r="192" spans="1:10" x14ac:dyDescent="0.3">
      <c r="A192" t="str">
        <f>_xlfn.XLOOKUP(branches[[#This Row],[Филиал]], tbl_Filialy[Филиал], tbl_Filialy[Город])</f>
        <v>Екатеринбург</v>
      </c>
      <c r="B192" s="1" t="s">
        <v>7</v>
      </c>
      <c r="C192" s="2">
        <v>45996</v>
      </c>
      <c r="D192" s="2" t="str">
        <f>CHOOSE(MONTH(branches[[#This Row],[Дата]]),"Январь","Февраль","Март","Апрель","Май","Июнь","Июль","Август","Сентябрь","Октябрь","Ноябрь","Декабрь")&amp;" "&amp;YEAR(branches[[#This Row],[Дата]])</f>
        <v>Декабрь 2025</v>
      </c>
      <c r="E192" t="s">
        <v>16</v>
      </c>
      <c r="F192" t="s">
        <v>17</v>
      </c>
      <c r="G192">
        <v>1</v>
      </c>
      <c r="H192">
        <v>303</v>
      </c>
      <c r="I192" t="s">
        <v>13</v>
      </c>
      <c r="J192" t="str">
        <f>_xlfn.XLOOKUP(branches[[#This Row],[Филиал]], tbl_Filialy[Филиал], tbl_Filialy[Менеджер])</f>
        <v>Сергей Мельников</v>
      </c>
    </row>
    <row r="193" spans="1:10" x14ac:dyDescent="0.3">
      <c r="A193" t="str">
        <f>_xlfn.XLOOKUP(branches[[#This Row],[Филиал]], tbl_Filialy[Филиал], tbl_Filialy[Город])</f>
        <v>Екатеринбург</v>
      </c>
      <c r="B193" s="1" t="s">
        <v>7</v>
      </c>
      <c r="C193" s="2">
        <v>45665</v>
      </c>
      <c r="D193" s="2" t="str">
        <f>CHOOSE(MONTH(branches[[#This Row],[Дата]]),"Январь","Февраль","Март","Апрель","Май","Июнь","Июль","Август","Сентябрь","Октябрь","Ноябрь","Декабрь")&amp;" "&amp;YEAR(branches[[#This Row],[Дата]])</f>
        <v>Январь 2025</v>
      </c>
      <c r="E193" t="s">
        <v>25</v>
      </c>
      <c r="F193" t="s">
        <v>12</v>
      </c>
      <c r="G193">
        <v>3</v>
      </c>
      <c r="H193">
        <v>630</v>
      </c>
      <c r="I193" t="s">
        <v>15</v>
      </c>
      <c r="J193" t="str">
        <f>_xlfn.XLOOKUP(branches[[#This Row],[Филиал]], tbl_Filialy[Филиал], tbl_Filialy[Менеджер])</f>
        <v>Сергей Мельников</v>
      </c>
    </row>
    <row r="194" spans="1:10" x14ac:dyDescent="0.3">
      <c r="A194" t="str">
        <f>_xlfn.XLOOKUP(branches[[#This Row],[Филиал]], tbl_Filialy[Филиал], tbl_Filialy[Город])</f>
        <v>Екатеринбург</v>
      </c>
      <c r="B194" s="1" t="s">
        <v>7</v>
      </c>
      <c r="C194" s="2">
        <v>45742</v>
      </c>
      <c r="D194" s="2" t="str">
        <f>CHOOSE(MONTH(branches[[#This Row],[Дата]]),"Январь","Февраль","Март","Апрель","Май","Июнь","Июль","Август","Сентябрь","Октябрь","Ноябрь","Декабрь")&amp;" "&amp;YEAR(branches[[#This Row],[Дата]])</f>
        <v>Март 2025</v>
      </c>
      <c r="E194" t="s">
        <v>27</v>
      </c>
      <c r="F194" t="s">
        <v>12</v>
      </c>
      <c r="G194">
        <v>2</v>
      </c>
      <c r="H194">
        <v>474</v>
      </c>
      <c r="I194" t="s">
        <v>10</v>
      </c>
      <c r="J194" t="str">
        <f>_xlfn.XLOOKUP(branches[[#This Row],[Филиал]], tbl_Filialy[Филиал], tbl_Filialy[Менеджер])</f>
        <v>Сергей Мельников</v>
      </c>
    </row>
    <row r="195" spans="1:10" x14ac:dyDescent="0.3">
      <c r="A195" t="str">
        <f>_xlfn.XLOOKUP(branches[[#This Row],[Филиал]], tbl_Filialy[Филиал], tbl_Filialy[Город])</f>
        <v>Екатеринбург</v>
      </c>
      <c r="B195" s="1" t="s">
        <v>7</v>
      </c>
      <c r="C195" s="2">
        <v>45968</v>
      </c>
      <c r="D195" s="2" t="str">
        <f>CHOOSE(MONTH(branches[[#This Row],[Дата]]),"Январь","Февраль","Март","Апрель","Май","Июнь","Июль","Август","Сентябрь","Октябрь","Ноябрь","Декабрь")&amp;" "&amp;YEAR(branches[[#This Row],[Дата]])</f>
        <v>Ноябрь 2025</v>
      </c>
      <c r="E195" t="s">
        <v>22</v>
      </c>
      <c r="F195" t="s">
        <v>9</v>
      </c>
      <c r="G195">
        <v>1</v>
      </c>
      <c r="H195">
        <v>181</v>
      </c>
      <c r="I195" t="s">
        <v>19</v>
      </c>
      <c r="J195" t="str">
        <f>_xlfn.XLOOKUP(branches[[#This Row],[Филиал]], tbl_Filialy[Филиал], tbl_Filialy[Менеджер])</f>
        <v>Сергей Мельников</v>
      </c>
    </row>
    <row r="196" spans="1:10" x14ac:dyDescent="0.3">
      <c r="A196" t="str">
        <f>_xlfn.XLOOKUP(branches[[#This Row],[Филиал]], tbl_Filialy[Филиал], tbl_Filialy[Город])</f>
        <v>Екатеринбург</v>
      </c>
      <c r="B196" s="1" t="s">
        <v>7</v>
      </c>
      <c r="C196" s="2">
        <v>45957</v>
      </c>
      <c r="D196" s="2" t="str">
        <f>CHOOSE(MONTH(branches[[#This Row],[Дата]]),"Январь","Февраль","Март","Апрель","Май","Июнь","Июль","Август","Сентябрь","Октябрь","Ноябрь","Декабрь")&amp;" "&amp;YEAR(branches[[#This Row],[Дата]])</f>
        <v>Октябрь 2025</v>
      </c>
      <c r="E196" t="s">
        <v>18</v>
      </c>
      <c r="F196" t="s">
        <v>12</v>
      </c>
      <c r="G196">
        <v>3</v>
      </c>
      <c r="H196">
        <v>429</v>
      </c>
      <c r="I196" t="s">
        <v>19</v>
      </c>
      <c r="J196" t="str">
        <f>_xlfn.XLOOKUP(branches[[#This Row],[Филиал]], tbl_Filialy[Филиал], tbl_Filialy[Менеджер])</f>
        <v>Сергей Мельников</v>
      </c>
    </row>
    <row r="197" spans="1:10" x14ac:dyDescent="0.3">
      <c r="A197" t="str">
        <f>_xlfn.XLOOKUP(branches[[#This Row],[Филиал]], tbl_Filialy[Филиал], tbl_Filialy[Город])</f>
        <v>Екатеринбург</v>
      </c>
      <c r="B197" s="1" t="s">
        <v>7</v>
      </c>
      <c r="C197" s="2">
        <v>45904</v>
      </c>
      <c r="D197" s="2" t="str">
        <f>CHOOSE(MONTH(branches[[#This Row],[Дата]]),"Январь","Февраль","Март","Апрель","Май","Июнь","Июль","Август","Сентябрь","Октябрь","Ноябрь","Декабрь")&amp;" "&amp;YEAR(branches[[#This Row],[Дата]])</f>
        <v>Сентябрь 2025</v>
      </c>
      <c r="E197" t="s">
        <v>24</v>
      </c>
      <c r="F197" t="s">
        <v>17</v>
      </c>
      <c r="G197">
        <v>1</v>
      </c>
      <c r="H197">
        <v>399</v>
      </c>
      <c r="I197" t="s">
        <v>13</v>
      </c>
      <c r="J197" t="str">
        <f>_xlfn.XLOOKUP(branches[[#This Row],[Филиал]], tbl_Filialy[Филиал], tbl_Filialy[Менеджер])</f>
        <v>Сергей Мельников</v>
      </c>
    </row>
    <row r="198" spans="1:10" x14ac:dyDescent="0.3">
      <c r="A198" t="str">
        <f>_xlfn.XLOOKUP(branches[[#This Row],[Филиал]], tbl_Filialy[Филиал], tbl_Filialy[Город])</f>
        <v>Екатеринбург</v>
      </c>
      <c r="B198" s="1" t="s">
        <v>7</v>
      </c>
      <c r="C198" s="2">
        <v>45912</v>
      </c>
      <c r="D198" s="2" t="str">
        <f>CHOOSE(MONTH(branches[[#This Row],[Дата]]),"Январь","Февраль","Март","Апрель","Май","Июнь","Июль","Август","Сентябрь","Октябрь","Ноябрь","Декабрь")&amp;" "&amp;YEAR(branches[[#This Row],[Дата]])</f>
        <v>Сентябрь 2025</v>
      </c>
      <c r="E198" t="s">
        <v>11</v>
      </c>
      <c r="F198" t="s">
        <v>12</v>
      </c>
      <c r="G198">
        <v>2</v>
      </c>
      <c r="H198">
        <v>344</v>
      </c>
      <c r="I198" t="s">
        <v>21</v>
      </c>
      <c r="J198" t="str">
        <f>_xlfn.XLOOKUP(branches[[#This Row],[Филиал]], tbl_Filialy[Филиал], tbl_Filialy[Менеджер])</f>
        <v>Сергей Мельников</v>
      </c>
    </row>
    <row r="199" spans="1:10" x14ac:dyDescent="0.3">
      <c r="A199" t="str">
        <f>_xlfn.XLOOKUP(branches[[#This Row],[Филиал]], tbl_Filialy[Филиал], tbl_Filialy[Город])</f>
        <v>Екатеринбург</v>
      </c>
      <c r="B199" s="1" t="s">
        <v>7</v>
      </c>
      <c r="C199" s="2">
        <v>45680</v>
      </c>
      <c r="D199" s="2" t="str">
        <f>CHOOSE(MONTH(branches[[#This Row],[Дата]]),"Январь","Февраль","Март","Апрель","Май","Июнь","Июль","Август","Сентябрь","Октябрь","Ноябрь","Декабрь")&amp;" "&amp;YEAR(branches[[#This Row],[Дата]])</f>
        <v>Январь 2025</v>
      </c>
      <c r="E199" t="s">
        <v>11</v>
      </c>
      <c r="F199" t="s">
        <v>12</v>
      </c>
      <c r="G199">
        <v>1</v>
      </c>
      <c r="H199">
        <v>156</v>
      </c>
      <c r="I199" t="s">
        <v>21</v>
      </c>
      <c r="J199" t="str">
        <f>_xlfn.XLOOKUP(branches[[#This Row],[Филиал]], tbl_Filialy[Филиал], tbl_Filialy[Менеджер])</f>
        <v>Сергей Мельников</v>
      </c>
    </row>
    <row r="200" spans="1:10" x14ac:dyDescent="0.3">
      <c r="A200" t="str">
        <f>_xlfn.XLOOKUP(branches[[#This Row],[Филиал]], tbl_Filialy[Филиал], tbl_Filialy[Город])</f>
        <v>Екатеринбург</v>
      </c>
      <c r="B200" s="1" t="s">
        <v>7</v>
      </c>
      <c r="C200" s="2">
        <v>45813</v>
      </c>
      <c r="D200" s="2" t="str">
        <f>CHOOSE(MONTH(branches[[#This Row],[Дата]]),"Январь","Февраль","Март","Апрель","Май","Июнь","Июль","Август","Сентябрь","Октябрь","Ноябрь","Декабрь")&amp;" "&amp;YEAR(branches[[#This Row],[Дата]])</f>
        <v>Июнь 2025</v>
      </c>
      <c r="E200" t="s">
        <v>16</v>
      </c>
      <c r="F200" t="s">
        <v>17</v>
      </c>
      <c r="G200">
        <v>1</v>
      </c>
      <c r="H200">
        <v>320</v>
      </c>
      <c r="I200" t="s">
        <v>15</v>
      </c>
      <c r="J200" t="str">
        <f>_xlfn.XLOOKUP(branches[[#This Row],[Филиал]], tbl_Filialy[Филиал], tbl_Filialy[Менеджер])</f>
        <v>Сергей Мельников</v>
      </c>
    </row>
    <row r="201" spans="1:10" x14ac:dyDescent="0.3">
      <c r="A201" t="str">
        <f>_xlfn.XLOOKUP(branches[[#This Row],[Филиал]], tbl_Filialy[Филиал], tbl_Filialy[Город])</f>
        <v>Екатеринбург</v>
      </c>
      <c r="B201" s="1" t="s">
        <v>7</v>
      </c>
      <c r="C201" s="2">
        <v>46008</v>
      </c>
      <c r="D201" s="2" t="str">
        <f>CHOOSE(MONTH(branches[[#This Row],[Дата]]),"Январь","Февраль","Март","Апрель","Май","Июнь","Июль","Август","Сентябрь","Октябрь","Ноябрь","Декабрь")&amp;" "&amp;YEAR(branches[[#This Row],[Дата]])</f>
        <v>Декабрь 2025</v>
      </c>
      <c r="E201" t="s">
        <v>24</v>
      </c>
      <c r="F201" t="s">
        <v>17</v>
      </c>
      <c r="G201">
        <v>2</v>
      </c>
      <c r="H201">
        <v>838</v>
      </c>
      <c r="I201" t="s">
        <v>10</v>
      </c>
      <c r="J201" t="str">
        <f>_xlfn.XLOOKUP(branches[[#This Row],[Филиал]], tbl_Filialy[Филиал], tbl_Filialy[Менеджер])</f>
        <v>Сергей Мельников</v>
      </c>
    </row>
    <row r="202" spans="1:10" x14ac:dyDescent="0.3">
      <c r="A202" t="str">
        <f>_xlfn.XLOOKUP(branches[[#This Row],[Филиал]], tbl_Filialy[Филиал], tbl_Filialy[Город])</f>
        <v>Екатеринбург</v>
      </c>
      <c r="B202" s="1" t="s">
        <v>7</v>
      </c>
      <c r="C202" s="2">
        <v>46017</v>
      </c>
      <c r="D202" s="2" t="str">
        <f>CHOOSE(MONTH(branches[[#This Row],[Дата]]),"Январь","Февраль","Март","Апрель","Май","Июнь","Июль","Август","Сентябрь","Октябрь","Ноябрь","Декабрь")&amp;" "&amp;YEAR(branches[[#This Row],[Дата]])</f>
        <v>Декабрь 2025</v>
      </c>
      <c r="E202" t="s">
        <v>8</v>
      </c>
      <c r="F202" t="s">
        <v>9</v>
      </c>
      <c r="G202">
        <v>1</v>
      </c>
      <c r="H202">
        <v>244</v>
      </c>
      <c r="I202" t="s">
        <v>15</v>
      </c>
      <c r="J202" t="str">
        <f>_xlfn.XLOOKUP(branches[[#This Row],[Филиал]], tbl_Filialy[Филиал], tbl_Filialy[Менеджер])</f>
        <v>Сергей Мельников</v>
      </c>
    </row>
    <row r="203" spans="1:10" x14ac:dyDescent="0.3">
      <c r="A203" t="str">
        <f>_xlfn.XLOOKUP(branches[[#This Row],[Филиал]], tbl_Filialy[Филиал], tbl_Filialy[Город])</f>
        <v>Екатеринбург</v>
      </c>
      <c r="B203" s="1" t="s">
        <v>7</v>
      </c>
      <c r="C203" s="2">
        <v>46006</v>
      </c>
      <c r="D203" s="2" t="str">
        <f>CHOOSE(MONTH(branches[[#This Row],[Дата]]),"Январь","Февраль","Март","Апрель","Май","Июнь","Июль","Август","Сентябрь","Октябрь","Ноябрь","Декабрь")&amp;" "&amp;YEAR(branches[[#This Row],[Дата]])</f>
        <v>Декабрь 2025</v>
      </c>
      <c r="E203" t="s">
        <v>27</v>
      </c>
      <c r="F203" t="s">
        <v>12</v>
      </c>
      <c r="G203">
        <v>1</v>
      </c>
      <c r="H203">
        <v>188</v>
      </c>
      <c r="I203" t="s">
        <v>13</v>
      </c>
      <c r="J203" t="str">
        <f>_xlfn.XLOOKUP(branches[[#This Row],[Филиал]], tbl_Filialy[Филиал], tbl_Filialy[Менеджер])</f>
        <v>Сергей Мельников</v>
      </c>
    </row>
    <row r="204" spans="1:10" x14ac:dyDescent="0.3">
      <c r="A204" t="str">
        <f>_xlfn.XLOOKUP(branches[[#This Row],[Филиал]], tbl_Filialy[Филиал], tbl_Filialy[Город])</f>
        <v>Екатеринбург</v>
      </c>
      <c r="B204" s="1" t="s">
        <v>7</v>
      </c>
      <c r="C204" s="2">
        <v>45971</v>
      </c>
      <c r="D204" s="2" t="str">
        <f>CHOOSE(MONTH(branches[[#This Row],[Дата]]),"Январь","Февраль","Март","Апрель","Май","Июнь","Июль","Август","Сентябрь","Октябрь","Ноябрь","Декабрь")&amp;" "&amp;YEAR(branches[[#This Row],[Дата]])</f>
        <v>Ноябрь 2025</v>
      </c>
      <c r="E204" t="s">
        <v>26</v>
      </c>
      <c r="F204" t="s">
        <v>9</v>
      </c>
      <c r="G204">
        <v>2</v>
      </c>
      <c r="H204">
        <v>464</v>
      </c>
      <c r="I204" t="s">
        <v>13</v>
      </c>
      <c r="J204" t="str">
        <f>_xlfn.XLOOKUP(branches[[#This Row],[Филиал]], tbl_Filialy[Филиал], tbl_Filialy[Менеджер])</f>
        <v>Сергей Мельников</v>
      </c>
    </row>
    <row r="205" spans="1:10" x14ac:dyDescent="0.3">
      <c r="A205" t="str">
        <f>_xlfn.XLOOKUP(branches[[#This Row],[Филиал]], tbl_Filialy[Филиал], tbl_Filialy[Город])</f>
        <v>Екатеринбург</v>
      </c>
      <c r="B205" s="1" t="s">
        <v>7</v>
      </c>
      <c r="C205" s="2">
        <v>45783</v>
      </c>
      <c r="D205" s="2" t="str">
        <f>CHOOSE(MONTH(branches[[#This Row],[Дата]]),"Январь","Февраль","Март","Апрель","Май","Июнь","Июль","Август","Сентябрь","Октябрь","Ноябрь","Декабрь")&amp;" "&amp;YEAR(branches[[#This Row],[Дата]])</f>
        <v>Май 2025</v>
      </c>
      <c r="E205" t="s">
        <v>27</v>
      </c>
      <c r="F205" t="s">
        <v>12</v>
      </c>
      <c r="G205">
        <v>1</v>
      </c>
      <c r="H205">
        <v>190</v>
      </c>
      <c r="I205" t="s">
        <v>15</v>
      </c>
      <c r="J205" t="str">
        <f>_xlfn.XLOOKUP(branches[[#This Row],[Филиал]], tbl_Filialy[Филиал], tbl_Filialy[Менеджер])</f>
        <v>Сергей Мельников</v>
      </c>
    </row>
    <row r="206" spans="1:10" x14ac:dyDescent="0.3">
      <c r="A206" t="str">
        <f>_xlfn.XLOOKUP(branches[[#This Row],[Филиал]], tbl_Filialy[Филиал], tbl_Filialy[Город])</f>
        <v>Екатеринбург</v>
      </c>
      <c r="B206" s="1" t="s">
        <v>7</v>
      </c>
      <c r="C206" s="2">
        <v>45682</v>
      </c>
      <c r="D206" s="2" t="str">
        <f>CHOOSE(MONTH(branches[[#This Row],[Дата]]),"Январь","Февраль","Март","Апрель","Май","Июнь","Июль","Август","Сентябрь","Октябрь","Ноябрь","Декабрь")&amp;" "&amp;YEAR(branches[[#This Row],[Дата]])</f>
        <v>Январь 2025</v>
      </c>
      <c r="E206" t="s">
        <v>11</v>
      </c>
      <c r="F206" t="s">
        <v>12</v>
      </c>
      <c r="G206">
        <v>2</v>
      </c>
      <c r="H206">
        <v>292</v>
      </c>
      <c r="I206" t="s">
        <v>15</v>
      </c>
      <c r="J206" t="str">
        <f>_xlfn.XLOOKUP(branches[[#This Row],[Филиал]], tbl_Filialy[Филиал], tbl_Filialy[Менеджер])</f>
        <v>Сергей Мельников</v>
      </c>
    </row>
    <row r="207" spans="1:10" x14ac:dyDescent="0.3">
      <c r="A207" t="str">
        <f>_xlfn.XLOOKUP(branches[[#This Row],[Филиал]], tbl_Filialy[Филиал], tbl_Filialy[Город])</f>
        <v>Екатеринбург</v>
      </c>
      <c r="B207" s="1" t="s">
        <v>7</v>
      </c>
      <c r="C207" s="2">
        <v>46019</v>
      </c>
      <c r="D207" s="2" t="str">
        <f>CHOOSE(MONTH(branches[[#This Row],[Дата]]),"Январь","Февраль","Март","Апрель","Май","Июнь","Июль","Август","Сентябрь","Октябрь","Ноябрь","Декабрь")&amp;" "&amp;YEAR(branches[[#This Row],[Дата]])</f>
        <v>Декабрь 2025</v>
      </c>
      <c r="E207" t="s">
        <v>22</v>
      </c>
      <c r="F207" t="s">
        <v>9</v>
      </c>
      <c r="G207">
        <v>3</v>
      </c>
      <c r="H207">
        <v>543</v>
      </c>
      <c r="I207" t="s">
        <v>23</v>
      </c>
      <c r="J207" t="str">
        <f>_xlfn.XLOOKUP(branches[[#This Row],[Филиал]], tbl_Filialy[Филиал], tbl_Filialy[Менеджер])</f>
        <v>Сергей Мельников</v>
      </c>
    </row>
    <row r="208" spans="1:10" x14ac:dyDescent="0.3">
      <c r="A208" t="str">
        <f>_xlfn.XLOOKUP(branches[[#This Row],[Филиал]], tbl_Filialy[Филиал], tbl_Filialy[Город])</f>
        <v>Екатеринбург</v>
      </c>
      <c r="B208" s="1" t="s">
        <v>7</v>
      </c>
      <c r="C208" s="2">
        <v>45952</v>
      </c>
      <c r="D208" s="2" t="str">
        <f>CHOOSE(MONTH(branches[[#This Row],[Дата]]),"Январь","Февраль","Март","Апрель","Май","Июнь","Июль","Август","Сентябрь","Октябрь","Ноябрь","Декабрь")&amp;" "&amp;YEAR(branches[[#This Row],[Дата]])</f>
        <v>Октябрь 2025</v>
      </c>
      <c r="E208" t="s">
        <v>14</v>
      </c>
      <c r="F208" t="s">
        <v>12</v>
      </c>
      <c r="G208">
        <v>1</v>
      </c>
      <c r="H208">
        <v>242</v>
      </c>
      <c r="I208" t="s">
        <v>13</v>
      </c>
      <c r="J208" t="str">
        <f>_xlfn.XLOOKUP(branches[[#This Row],[Филиал]], tbl_Filialy[Филиал], tbl_Filialy[Менеджер])</f>
        <v>Сергей Мельников</v>
      </c>
    </row>
    <row r="209" spans="1:10" x14ac:dyDescent="0.3">
      <c r="A209" t="str">
        <f>_xlfn.XLOOKUP(branches[[#This Row],[Филиал]], tbl_Filialy[Филиал], tbl_Filialy[Город])</f>
        <v>Екатеринбург</v>
      </c>
      <c r="B209" s="1" t="s">
        <v>7</v>
      </c>
      <c r="C209" s="2">
        <v>45874</v>
      </c>
      <c r="D209" s="2" t="str">
        <f>CHOOSE(MONTH(branches[[#This Row],[Дата]]),"Январь","Февраль","Март","Апрель","Май","Июнь","Июль","Август","Сентябрь","Октябрь","Ноябрь","Декабрь")&amp;" "&amp;YEAR(branches[[#This Row],[Дата]])</f>
        <v>Август 2025</v>
      </c>
      <c r="E209" t="s">
        <v>25</v>
      </c>
      <c r="F209" t="s">
        <v>12</v>
      </c>
      <c r="G209">
        <v>2</v>
      </c>
      <c r="H209">
        <v>476</v>
      </c>
      <c r="I209" t="s">
        <v>15</v>
      </c>
      <c r="J209" t="str">
        <f>_xlfn.XLOOKUP(branches[[#This Row],[Филиал]], tbl_Filialy[Филиал], tbl_Filialy[Менеджер])</f>
        <v>Сергей Мельников</v>
      </c>
    </row>
    <row r="210" spans="1:10" x14ac:dyDescent="0.3">
      <c r="A210" t="str">
        <f>_xlfn.XLOOKUP(branches[[#This Row],[Филиал]], tbl_Filialy[Филиал], tbl_Filialy[Город])</f>
        <v>Екатеринбург</v>
      </c>
      <c r="B210" s="1" t="s">
        <v>7</v>
      </c>
      <c r="C210" s="2">
        <v>45828</v>
      </c>
      <c r="D210" s="2" t="str">
        <f>CHOOSE(MONTH(branches[[#This Row],[Дата]]),"Январь","Февраль","Март","Апрель","Май","Июнь","Июль","Август","Сентябрь","Октябрь","Ноябрь","Декабрь")&amp;" "&amp;YEAR(branches[[#This Row],[Дата]])</f>
        <v>Июнь 2025</v>
      </c>
      <c r="E210" t="s">
        <v>22</v>
      </c>
      <c r="F210" t="s">
        <v>9</v>
      </c>
      <c r="G210">
        <v>3</v>
      </c>
      <c r="H210">
        <v>558</v>
      </c>
      <c r="I210" t="s">
        <v>13</v>
      </c>
      <c r="J210" t="str">
        <f>_xlfn.XLOOKUP(branches[[#This Row],[Филиал]], tbl_Filialy[Филиал], tbl_Filialy[Менеджер])</f>
        <v>Сергей Мельников</v>
      </c>
    </row>
    <row r="211" spans="1:10" x14ac:dyDescent="0.3">
      <c r="A211" t="str">
        <f>_xlfn.XLOOKUP(branches[[#This Row],[Филиал]], tbl_Filialy[Филиал], tbl_Filialy[Город])</f>
        <v>Екатеринбург</v>
      </c>
      <c r="B211" s="1" t="s">
        <v>7</v>
      </c>
      <c r="C211" s="2">
        <v>45839</v>
      </c>
      <c r="D211" s="2" t="str">
        <f>CHOOSE(MONTH(branches[[#This Row],[Дата]]),"Январь","Февраль","Март","Апрель","Май","Июнь","Июль","Август","Сентябрь","Октябрь","Ноябрь","Декабрь")&amp;" "&amp;YEAR(branches[[#This Row],[Дата]])</f>
        <v>Июль 2025</v>
      </c>
      <c r="E211" t="s">
        <v>20</v>
      </c>
      <c r="F211" t="s">
        <v>12</v>
      </c>
      <c r="G211">
        <v>2</v>
      </c>
      <c r="H211">
        <v>574</v>
      </c>
      <c r="I211" t="s">
        <v>21</v>
      </c>
      <c r="J211" t="str">
        <f>_xlfn.XLOOKUP(branches[[#This Row],[Филиал]], tbl_Filialy[Филиал], tbl_Filialy[Менеджер])</f>
        <v>Сергей Мельников</v>
      </c>
    </row>
    <row r="212" spans="1:10" x14ac:dyDescent="0.3">
      <c r="A212" t="str">
        <f>_xlfn.XLOOKUP(branches[[#This Row],[Филиал]], tbl_Filialy[Филиал], tbl_Filialy[Город])</f>
        <v>Екатеринбург</v>
      </c>
      <c r="B212" s="1" t="s">
        <v>7</v>
      </c>
      <c r="C212" s="2">
        <v>45871</v>
      </c>
      <c r="D212" s="2" t="str">
        <f>CHOOSE(MONTH(branches[[#This Row],[Дата]]),"Январь","Февраль","Март","Апрель","Май","Июнь","Июль","Август","Сентябрь","Октябрь","Ноябрь","Декабрь")&amp;" "&amp;YEAR(branches[[#This Row],[Дата]])</f>
        <v>Август 2025</v>
      </c>
      <c r="E212" t="s">
        <v>28</v>
      </c>
      <c r="F212" t="s">
        <v>12</v>
      </c>
      <c r="G212">
        <v>1</v>
      </c>
      <c r="H212">
        <v>229</v>
      </c>
      <c r="I212" t="s">
        <v>19</v>
      </c>
      <c r="J212" t="str">
        <f>_xlfn.XLOOKUP(branches[[#This Row],[Филиал]], tbl_Filialy[Филиал], tbl_Filialy[Менеджер])</f>
        <v>Сергей Мельников</v>
      </c>
    </row>
    <row r="213" spans="1:10" x14ac:dyDescent="0.3">
      <c r="A213" t="str">
        <f>_xlfn.XLOOKUP(branches[[#This Row],[Филиал]], tbl_Filialy[Филиал], tbl_Filialy[Город])</f>
        <v>Екатеринбург</v>
      </c>
      <c r="B213" s="1" t="s">
        <v>7</v>
      </c>
      <c r="C213" s="2">
        <v>45721</v>
      </c>
      <c r="D213" s="2" t="str">
        <f>CHOOSE(MONTH(branches[[#This Row],[Дата]]),"Январь","Февраль","Март","Апрель","Май","Июнь","Июль","Август","Сентябрь","Октябрь","Ноябрь","Декабрь")&amp;" "&amp;YEAR(branches[[#This Row],[Дата]])</f>
        <v>Март 2025</v>
      </c>
      <c r="E213" t="s">
        <v>20</v>
      </c>
      <c r="F213" t="s">
        <v>12</v>
      </c>
      <c r="G213">
        <v>1</v>
      </c>
      <c r="H213">
        <v>250</v>
      </c>
      <c r="I213" t="s">
        <v>19</v>
      </c>
      <c r="J213" t="str">
        <f>_xlfn.XLOOKUP(branches[[#This Row],[Филиал]], tbl_Filialy[Филиал], tbl_Filialy[Менеджер])</f>
        <v>Сергей Мельников</v>
      </c>
    </row>
    <row r="214" spans="1:10" x14ac:dyDescent="0.3">
      <c r="A214" t="str">
        <f>_xlfn.XLOOKUP(branches[[#This Row],[Филиал]], tbl_Filialy[Филиал], tbl_Filialy[Город])</f>
        <v>Екатеринбург</v>
      </c>
      <c r="B214" s="1" t="s">
        <v>7</v>
      </c>
      <c r="C214" s="2">
        <v>45704</v>
      </c>
      <c r="D214" s="2" t="str">
        <f>CHOOSE(MONTH(branches[[#This Row],[Дата]]),"Январь","Февраль","Март","Апрель","Май","Июнь","Июль","Август","Сентябрь","Октябрь","Ноябрь","Декабрь")&amp;" "&amp;YEAR(branches[[#This Row],[Дата]])</f>
        <v>Февраль 2025</v>
      </c>
      <c r="E214" t="s">
        <v>14</v>
      </c>
      <c r="F214" t="s">
        <v>12</v>
      </c>
      <c r="G214">
        <v>3</v>
      </c>
      <c r="H214">
        <v>798</v>
      </c>
      <c r="I214" t="s">
        <v>13</v>
      </c>
      <c r="J214" t="str">
        <f>_xlfn.XLOOKUP(branches[[#This Row],[Филиал]], tbl_Filialy[Филиал], tbl_Filialy[Менеджер])</f>
        <v>Сергей Мельников</v>
      </c>
    </row>
    <row r="215" spans="1:10" x14ac:dyDescent="0.3">
      <c r="A215" t="str">
        <f>_xlfn.XLOOKUP(branches[[#This Row],[Филиал]], tbl_Filialy[Филиал], tbl_Filialy[Город])</f>
        <v>Екатеринбург</v>
      </c>
      <c r="B215" s="1" t="s">
        <v>7</v>
      </c>
      <c r="C215" s="2">
        <v>45812</v>
      </c>
      <c r="D215" s="2" t="str">
        <f>CHOOSE(MONTH(branches[[#This Row],[Дата]]),"Январь","Февраль","Март","Апрель","Май","Июнь","Июль","Август","Сентябрь","Октябрь","Ноябрь","Декабрь")&amp;" "&amp;YEAR(branches[[#This Row],[Дата]])</f>
        <v>Июнь 2025</v>
      </c>
      <c r="E215" t="s">
        <v>22</v>
      </c>
      <c r="F215" t="s">
        <v>9</v>
      </c>
      <c r="G215">
        <v>3</v>
      </c>
      <c r="H215">
        <v>555</v>
      </c>
      <c r="I215" t="s">
        <v>13</v>
      </c>
      <c r="J215" t="str">
        <f>_xlfn.XLOOKUP(branches[[#This Row],[Филиал]], tbl_Filialy[Филиал], tbl_Filialy[Менеджер])</f>
        <v>Сергей Мельников</v>
      </c>
    </row>
    <row r="216" spans="1:10" x14ac:dyDescent="0.3">
      <c r="A216" t="str">
        <f>_xlfn.XLOOKUP(branches[[#This Row],[Филиал]], tbl_Filialy[Филиал], tbl_Filialy[Город])</f>
        <v>Екатеринбург</v>
      </c>
      <c r="B216" s="1" t="s">
        <v>7</v>
      </c>
      <c r="C216" s="2">
        <v>45735</v>
      </c>
      <c r="D216" s="2" t="str">
        <f>CHOOSE(MONTH(branches[[#This Row],[Дата]]),"Январь","Февраль","Март","Апрель","Май","Июнь","Июль","Август","Сентябрь","Октябрь","Ноябрь","Декабрь")&amp;" "&amp;YEAR(branches[[#This Row],[Дата]])</f>
        <v>Март 2025</v>
      </c>
      <c r="E216" t="s">
        <v>28</v>
      </c>
      <c r="F216" t="s">
        <v>12</v>
      </c>
      <c r="G216">
        <v>2</v>
      </c>
      <c r="H216">
        <v>506</v>
      </c>
      <c r="I216" t="s">
        <v>19</v>
      </c>
      <c r="J216" t="str">
        <f>_xlfn.XLOOKUP(branches[[#This Row],[Филиал]], tbl_Filialy[Филиал], tbl_Filialy[Менеджер])</f>
        <v>Сергей Мельников</v>
      </c>
    </row>
    <row r="217" spans="1:10" x14ac:dyDescent="0.3">
      <c r="A217" t="str">
        <f>_xlfn.XLOOKUP(branches[[#This Row],[Филиал]], tbl_Filialy[Филиал], tbl_Filialy[Город])</f>
        <v>Екатеринбург</v>
      </c>
      <c r="B217" s="1" t="s">
        <v>7</v>
      </c>
      <c r="C217" s="2">
        <v>45661</v>
      </c>
      <c r="D217" s="2" t="str">
        <f>CHOOSE(MONTH(branches[[#This Row],[Дата]]),"Январь","Февраль","Март","Апрель","Май","Июнь","Июль","Август","Сентябрь","Октябрь","Ноябрь","Декабрь")&amp;" "&amp;YEAR(branches[[#This Row],[Дата]])</f>
        <v>Январь 2025</v>
      </c>
      <c r="E217" t="s">
        <v>27</v>
      </c>
      <c r="F217" t="s">
        <v>12</v>
      </c>
      <c r="G217">
        <v>2</v>
      </c>
      <c r="H217">
        <v>456</v>
      </c>
      <c r="I217" t="s">
        <v>10</v>
      </c>
      <c r="J217" t="str">
        <f>_xlfn.XLOOKUP(branches[[#This Row],[Филиал]], tbl_Filialy[Филиал], tbl_Filialy[Менеджер])</f>
        <v>Сергей Мельников</v>
      </c>
    </row>
    <row r="218" spans="1:10" x14ac:dyDescent="0.3">
      <c r="A218" t="str">
        <f>_xlfn.XLOOKUP(branches[[#This Row],[Филиал]], tbl_Filialy[Филиал], tbl_Filialy[Город])</f>
        <v>Екатеринбург</v>
      </c>
      <c r="B218" s="1" t="s">
        <v>7</v>
      </c>
      <c r="C218" s="2">
        <v>45981</v>
      </c>
      <c r="D218" s="2" t="str">
        <f>CHOOSE(MONTH(branches[[#This Row],[Дата]]),"Январь","Февраль","Март","Апрель","Май","Июнь","Июль","Август","Сентябрь","Октябрь","Ноябрь","Декабрь")&amp;" "&amp;YEAR(branches[[#This Row],[Дата]])</f>
        <v>Ноябрь 2025</v>
      </c>
      <c r="E218" t="s">
        <v>28</v>
      </c>
      <c r="F218" t="s">
        <v>12</v>
      </c>
      <c r="G218">
        <v>1</v>
      </c>
      <c r="H218">
        <v>214</v>
      </c>
      <c r="I218" t="s">
        <v>13</v>
      </c>
      <c r="J218" t="str">
        <f>_xlfn.XLOOKUP(branches[[#This Row],[Филиал]], tbl_Filialy[Филиал], tbl_Filialy[Менеджер])</f>
        <v>Сергей Мельников</v>
      </c>
    </row>
    <row r="219" spans="1:10" x14ac:dyDescent="0.3">
      <c r="A219" t="str">
        <f>_xlfn.XLOOKUP(branches[[#This Row],[Филиал]], tbl_Filialy[Филиал], tbl_Filialy[Город])</f>
        <v>Екатеринбург</v>
      </c>
      <c r="B219" s="1" t="s">
        <v>7</v>
      </c>
      <c r="C219" s="2">
        <v>45667</v>
      </c>
      <c r="D219" s="2" t="str">
        <f>CHOOSE(MONTH(branches[[#This Row],[Дата]]),"Январь","Февраль","Март","Апрель","Май","Июнь","Июль","Август","Сентябрь","Октябрь","Ноябрь","Декабрь")&amp;" "&amp;YEAR(branches[[#This Row],[Дата]])</f>
        <v>Январь 2025</v>
      </c>
      <c r="E219" t="s">
        <v>11</v>
      </c>
      <c r="F219" t="s">
        <v>12</v>
      </c>
      <c r="G219">
        <v>1</v>
      </c>
      <c r="H219">
        <v>176</v>
      </c>
      <c r="I219" t="s">
        <v>21</v>
      </c>
      <c r="J219" t="str">
        <f>_xlfn.XLOOKUP(branches[[#This Row],[Филиал]], tbl_Filialy[Филиал], tbl_Filialy[Менеджер])</f>
        <v>Сергей Мельников</v>
      </c>
    </row>
    <row r="220" spans="1:10" x14ac:dyDescent="0.3">
      <c r="A220" t="str">
        <f>_xlfn.XLOOKUP(branches[[#This Row],[Филиал]], tbl_Filialy[Филиал], tbl_Filialy[Город])</f>
        <v>Екатеринбург</v>
      </c>
      <c r="B220" s="1" t="s">
        <v>7</v>
      </c>
      <c r="C220" s="2">
        <v>46001</v>
      </c>
      <c r="D220" s="2" t="str">
        <f>CHOOSE(MONTH(branches[[#This Row],[Дата]]),"Январь","Февраль","Март","Апрель","Май","Июнь","Июль","Август","Сентябрь","Октябрь","Ноябрь","Декабрь")&amp;" "&amp;YEAR(branches[[#This Row],[Дата]])</f>
        <v>Декабрь 2025</v>
      </c>
      <c r="E220" t="s">
        <v>16</v>
      </c>
      <c r="F220" t="s">
        <v>17</v>
      </c>
      <c r="G220">
        <v>1</v>
      </c>
      <c r="H220">
        <v>346</v>
      </c>
      <c r="I220" t="s">
        <v>19</v>
      </c>
      <c r="J220" t="str">
        <f>_xlfn.XLOOKUP(branches[[#This Row],[Филиал]], tbl_Filialy[Филиал], tbl_Filialy[Менеджер])</f>
        <v>Сергей Мельников</v>
      </c>
    </row>
    <row r="221" spans="1:10" x14ac:dyDescent="0.3">
      <c r="A221" t="str">
        <f>_xlfn.XLOOKUP(branches[[#This Row],[Филиал]], tbl_Filialy[Филиал], tbl_Filialy[Город])</f>
        <v>Екатеринбург</v>
      </c>
      <c r="B221" s="1" t="s">
        <v>7</v>
      </c>
      <c r="C221" s="2">
        <v>45735</v>
      </c>
      <c r="D221" s="2" t="str">
        <f>CHOOSE(MONTH(branches[[#This Row],[Дата]]),"Январь","Февраль","Март","Апрель","Май","Июнь","Июль","Август","Сентябрь","Октябрь","Ноябрь","Декабрь")&amp;" "&amp;YEAR(branches[[#This Row],[Дата]])</f>
        <v>Март 2025</v>
      </c>
      <c r="E221" t="s">
        <v>27</v>
      </c>
      <c r="F221" t="s">
        <v>12</v>
      </c>
      <c r="G221">
        <v>2</v>
      </c>
      <c r="H221">
        <v>432</v>
      </c>
      <c r="I221" t="s">
        <v>15</v>
      </c>
      <c r="J221" t="str">
        <f>_xlfn.XLOOKUP(branches[[#This Row],[Филиал]], tbl_Filialy[Филиал], tbl_Filialy[Менеджер])</f>
        <v>Сергей Мельников</v>
      </c>
    </row>
    <row r="222" spans="1:10" x14ac:dyDescent="0.3">
      <c r="A222" t="str">
        <f>_xlfn.XLOOKUP(branches[[#This Row],[Филиал]], tbl_Filialy[Филиал], tbl_Filialy[Город])</f>
        <v>Екатеринбург</v>
      </c>
      <c r="B222" s="1" t="s">
        <v>7</v>
      </c>
      <c r="C222" s="2">
        <v>45681</v>
      </c>
      <c r="D222" s="2" t="str">
        <f>CHOOSE(MONTH(branches[[#This Row],[Дата]]),"Январь","Февраль","Март","Апрель","Май","Июнь","Июль","Август","Сентябрь","Октябрь","Ноябрь","Декабрь")&amp;" "&amp;YEAR(branches[[#This Row],[Дата]])</f>
        <v>Январь 2025</v>
      </c>
      <c r="E222" t="s">
        <v>25</v>
      </c>
      <c r="F222" t="s">
        <v>12</v>
      </c>
      <c r="G222">
        <v>3</v>
      </c>
      <c r="H222">
        <v>639</v>
      </c>
      <c r="I222" t="s">
        <v>15</v>
      </c>
      <c r="J222" t="str">
        <f>_xlfn.XLOOKUP(branches[[#This Row],[Филиал]], tbl_Filialy[Филиал], tbl_Filialy[Менеджер])</f>
        <v>Сергей Мельников</v>
      </c>
    </row>
    <row r="223" spans="1:10" x14ac:dyDescent="0.3">
      <c r="A223" t="str">
        <f>_xlfn.XLOOKUP(branches[[#This Row],[Филиал]], tbl_Filialy[Филиал], tbl_Filialy[Город])</f>
        <v>Екатеринбург</v>
      </c>
      <c r="B223" s="1" t="s">
        <v>7</v>
      </c>
      <c r="C223" s="2">
        <v>45782</v>
      </c>
      <c r="D223" s="2" t="str">
        <f>CHOOSE(MONTH(branches[[#This Row],[Дата]]),"Январь","Февраль","Март","Апрель","Май","Июнь","Июль","Август","Сентябрь","Октябрь","Ноябрь","Декабрь")&amp;" "&amp;YEAR(branches[[#This Row],[Дата]])</f>
        <v>Май 2025</v>
      </c>
      <c r="E223" t="s">
        <v>26</v>
      </c>
      <c r="F223" t="s">
        <v>9</v>
      </c>
      <c r="G223">
        <v>1</v>
      </c>
      <c r="H223">
        <v>229</v>
      </c>
      <c r="I223" t="s">
        <v>10</v>
      </c>
      <c r="J223" t="str">
        <f>_xlfn.XLOOKUP(branches[[#This Row],[Филиал]], tbl_Filialy[Филиал], tbl_Filialy[Менеджер])</f>
        <v>Сергей Мельников</v>
      </c>
    </row>
    <row r="224" spans="1:10" x14ac:dyDescent="0.3">
      <c r="A224" t="str">
        <f>_xlfn.XLOOKUP(branches[[#This Row],[Филиал]], tbl_Filialy[Филиал], tbl_Filialy[Город])</f>
        <v>Екатеринбург</v>
      </c>
      <c r="B224" s="1" t="s">
        <v>7</v>
      </c>
      <c r="C224" s="2">
        <v>45791</v>
      </c>
      <c r="D224" s="2" t="str">
        <f>CHOOSE(MONTH(branches[[#This Row],[Дата]]),"Январь","Февраль","Март","Апрель","Май","Июнь","Июль","Август","Сентябрь","Октябрь","Ноябрь","Декабрь")&amp;" "&amp;YEAR(branches[[#This Row],[Дата]])</f>
        <v>Май 2025</v>
      </c>
      <c r="E224" t="s">
        <v>20</v>
      </c>
      <c r="F224" t="s">
        <v>12</v>
      </c>
      <c r="G224">
        <v>2</v>
      </c>
      <c r="H224">
        <v>520</v>
      </c>
      <c r="I224" t="s">
        <v>23</v>
      </c>
      <c r="J224" t="str">
        <f>_xlfn.XLOOKUP(branches[[#This Row],[Филиал]], tbl_Filialy[Филиал], tbl_Filialy[Менеджер])</f>
        <v>Сергей Мельников</v>
      </c>
    </row>
    <row r="225" spans="1:10" x14ac:dyDescent="0.3">
      <c r="A225" t="str">
        <f>_xlfn.XLOOKUP(branches[[#This Row],[Филиал]], tbl_Filialy[Филиал], tbl_Filialy[Город])</f>
        <v>Екатеринбург</v>
      </c>
      <c r="B225" s="1" t="s">
        <v>7</v>
      </c>
      <c r="C225" s="2">
        <v>45693</v>
      </c>
      <c r="D225" s="2" t="str">
        <f>CHOOSE(MONTH(branches[[#This Row],[Дата]]),"Январь","Февраль","Март","Апрель","Май","Июнь","Июль","Август","Сентябрь","Октябрь","Ноябрь","Декабрь")&amp;" "&amp;YEAR(branches[[#This Row],[Дата]])</f>
        <v>Февраль 2025</v>
      </c>
      <c r="E225" t="s">
        <v>28</v>
      </c>
      <c r="F225" t="s">
        <v>12</v>
      </c>
      <c r="G225">
        <v>2</v>
      </c>
      <c r="H225">
        <v>446</v>
      </c>
      <c r="I225" t="s">
        <v>10</v>
      </c>
      <c r="J225" t="str">
        <f>_xlfn.XLOOKUP(branches[[#This Row],[Филиал]], tbl_Filialy[Филиал], tbl_Filialy[Менеджер])</f>
        <v>Сергей Мельников</v>
      </c>
    </row>
    <row r="226" spans="1:10" x14ac:dyDescent="0.3">
      <c r="A226" t="str">
        <f>_xlfn.XLOOKUP(branches[[#This Row],[Филиал]], tbl_Filialy[Филиал], tbl_Filialy[Город])</f>
        <v>Екатеринбург</v>
      </c>
      <c r="B226" s="1" t="s">
        <v>7</v>
      </c>
      <c r="C226" s="2">
        <v>45766</v>
      </c>
      <c r="D226" s="2" t="str">
        <f>CHOOSE(MONTH(branches[[#This Row],[Дата]]),"Январь","Февраль","Март","Апрель","Май","Июнь","Июль","Август","Сентябрь","Октябрь","Ноябрь","Декабрь")&amp;" "&amp;YEAR(branches[[#This Row],[Дата]])</f>
        <v>Апрель 2025</v>
      </c>
      <c r="E226" t="s">
        <v>18</v>
      </c>
      <c r="F226" t="s">
        <v>12</v>
      </c>
      <c r="G226">
        <v>1</v>
      </c>
      <c r="H226">
        <v>160</v>
      </c>
      <c r="I226" t="s">
        <v>15</v>
      </c>
      <c r="J226" t="str">
        <f>_xlfn.XLOOKUP(branches[[#This Row],[Филиал]], tbl_Filialy[Филиал], tbl_Filialy[Менеджер])</f>
        <v>Сергей Мельников</v>
      </c>
    </row>
    <row r="227" spans="1:10" x14ac:dyDescent="0.3">
      <c r="A227" t="str">
        <f>_xlfn.XLOOKUP(branches[[#This Row],[Филиал]], tbl_Filialy[Филиал], tbl_Filialy[Город])</f>
        <v>Екатеринбург</v>
      </c>
      <c r="B227" s="1" t="s">
        <v>7</v>
      </c>
      <c r="C227" s="2">
        <v>45735</v>
      </c>
      <c r="D227" s="2" t="str">
        <f>CHOOSE(MONTH(branches[[#This Row],[Дата]]),"Январь","Февраль","Март","Апрель","Май","Июнь","Июль","Август","Сентябрь","Октябрь","Ноябрь","Декабрь")&amp;" "&amp;YEAR(branches[[#This Row],[Дата]])</f>
        <v>Март 2025</v>
      </c>
      <c r="E227" t="s">
        <v>8</v>
      </c>
      <c r="F227" t="s">
        <v>9</v>
      </c>
      <c r="G227">
        <v>1</v>
      </c>
      <c r="H227">
        <v>264</v>
      </c>
      <c r="I227" t="s">
        <v>10</v>
      </c>
      <c r="J227" t="str">
        <f>_xlfn.XLOOKUP(branches[[#This Row],[Филиал]], tbl_Filialy[Филиал], tbl_Filialy[Менеджер])</f>
        <v>Сергей Мельников</v>
      </c>
    </row>
    <row r="228" spans="1:10" x14ac:dyDescent="0.3">
      <c r="A228" t="str">
        <f>_xlfn.XLOOKUP(branches[[#This Row],[Филиал]], tbl_Filialy[Филиал], tbl_Filialy[Город])</f>
        <v>Екатеринбург</v>
      </c>
      <c r="B228" s="1" t="s">
        <v>7</v>
      </c>
      <c r="C228" s="2">
        <v>45712</v>
      </c>
      <c r="D228" s="2" t="str">
        <f>CHOOSE(MONTH(branches[[#This Row],[Дата]]),"Январь","Февраль","Март","Апрель","Май","Июнь","Июль","Август","Сентябрь","Октябрь","Ноябрь","Декабрь")&amp;" "&amp;YEAR(branches[[#This Row],[Дата]])</f>
        <v>Февраль 2025</v>
      </c>
      <c r="E228" t="s">
        <v>25</v>
      </c>
      <c r="F228" t="s">
        <v>12</v>
      </c>
      <c r="G228">
        <v>3</v>
      </c>
      <c r="H228">
        <v>726</v>
      </c>
      <c r="I228" t="s">
        <v>13</v>
      </c>
      <c r="J228" t="str">
        <f>_xlfn.XLOOKUP(branches[[#This Row],[Филиал]], tbl_Filialy[Филиал], tbl_Filialy[Менеджер])</f>
        <v>Сергей Мельников</v>
      </c>
    </row>
    <row r="229" spans="1:10" x14ac:dyDescent="0.3">
      <c r="A229" t="str">
        <f>_xlfn.XLOOKUP(branches[[#This Row],[Филиал]], tbl_Filialy[Филиал], tbl_Filialy[Город])</f>
        <v>Екатеринбург</v>
      </c>
      <c r="B229" s="1" t="s">
        <v>7</v>
      </c>
      <c r="C229" s="2">
        <v>45969</v>
      </c>
      <c r="D229" s="2" t="str">
        <f>CHOOSE(MONTH(branches[[#This Row],[Дата]]),"Январь","Февраль","Март","Апрель","Май","Июнь","Июль","Август","Сентябрь","Октябрь","Ноябрь","Декабрь")&amp;" "&amp;YEAR(branches[[#This Row],[Дата]])</f>
        <v>Ноябрь 2025</v>
      </c>
      <c r="E229" t="s">
        <v>16</v>
      </c>
      <c r="F229" t="s">
        <v>17</v>
      </c>
      <c r="G229">
        <v>1</v>
      </c>
      <c r="H229">
        <v>294</v>
      </c>
      <c r="I229" t="s">
        <v>23</v>
      </c>
      <c r="J229" t="str">
        <f>_xlfn.XLOOKUP(branches[[#This Row],[Филиал]], tbl_Filialy[Филиал], tbl_Filialy[Менеджер])</f>
        <v>Сергей Мельников</v>
      </c>
    </row>
    <row r="230" spans="1:10" x14ac:dyDescent="0.3">
      <c r="A230" t="str">
        <f>_xlfn.XLOOKUP(branches[[#This Row],[Филиал]], tbl_Filialy[Филиал], tbl_Filialy[Город])</f>
        <v>Екатеринбург</v>
      </c>
      <c r="B230" s="1" t="s">
        <v>7</v>
      </c>
      <c r="C230" s="2">
        <v>45677</v>
      </c>
      <c r="D230" s="2" t="str">
        <f>CHOOSE(MONTH(branches[[#This Row],[Дата]]),"Январь","Февраль","Март","Апрель","Май","Июнь","Июль","Август","Сентябрь","Октябрь","Ноябрь","Декабрь")&amp;" "&amp;YEAR(branches[[#This Row],[Дата]])</f>
        <v>Январь 2025</v>
      </c>
      <c r="E230" t="s">
        <v>24</v>
      </c>
      <c r="F230" t="s">
        <v>17</v>
      </c>
      <c r="G230">
        <v>2</v>
      </c>
      <c r="H230">
        <v>732</v>
      </c>
      <c r="I230" t="s">
        <v>23</v>
      </c>
      <c r="J230" t="str">
        <f>_xlfn.XLOOKUP(branches[[#This Row],[Филиал]], tbl_Filialy[Филиал], tbl_Filialy[Менеджер])</f>
        <v>Сергей Мельников</v>
      </c>
    </row>
    <row r="231" spans="1:10" x14ac:dyDescent="0.3">
      <c r="A231" t="str">
        <f>_xlfn.XLOOKUP(branches[[#This Row],[Филиал]], tbl_Filialy[Филиал], tbl_Filialy[Город])</f>
        <v>Екатеринбург</v>
      </c>
      <c r="B231" s="1" t="s">
        <v>7</v>
      </c>
      <c r="C231" s="2">
        <v>45957</v>
      </c>
      <c r="D231" s="2" t="str">
        <f>CHOOSE(MONTH(branches[[#This Row],[Дата]]),"Январь","Февраль","Март","Апрель","Май","Июнь","Июль","Август","Сентябрь","Октябрь","Ноябрь","Декабрь")&amp;" "&amp;YEAR(branches[[#This Row],[Дата]])</f>
        <v>Октябрь 2025</v>
      </c>
      <c r="E231" t="s">
        <v>28</v>
      </c>
      <c r="F231" t="s">
        <v>12</v>
      </c>
      <c r="G231">
        <v>2</v>
      </c>
      <c r="H231">
        <v>412</v>
      </c>
      <c r="I231" t="s">
        <v>15</v>
      </c>
      <c r="J231" t="str">
        <f>_xlfn.XLOOKUP(branches[[#This Row],[Филиал]], tbl_Filialy[Филиал], tbl_Filialy[Менеджер])</f>
        <v>Сергей Мельников</v>
      </c>
    </row>
    <row r="232" spans="1:10" x14ac:dyDescent="0.3">
      <c r="A232" t="str">
        <f>_xlfn.XLOOKUP(branches[[#This Row],[Филиал]], tbl_Filialy[Филиал], tbl_Filialy[Город])</f>
        <v>Екатеринбург</v>
      </c>
      <c r="B232" s="1" t="s">
        <v>7</v>
      </c>
      <c r="C232" s="2">
        <v>45871</v>
      </c>
      <c r="D232" s="2" t="str">
        <f>CHOOSE(MONTH(branches[[#This Row],[Дата]]),"Январь","Февраль","Март","Апрель","Май","Июнь","Июль","Август","Сентябрь","Октябрь","Ноябрь","Декабрь")&amp;" "&amp;YEAR(branches[[#This Row],[Дата]])</f>
        <v>Август 2025</v>
      </c>
      <c r="E232" t="s">
        <v>27</v>
      </c>
      <c r="F232" t="s">
        <v>12</v>
      </c>
      <c r="G232">
        <v>2</v>
      </c>
      <c r="H232">
        <v>442</v>
      </c>
      <c r="I232" t="s">
        <v>13</v>
      </c>
      <c r="J232" t="str">
        <f>_xlfn.XLOOKUP(branches[[#This Row],[Филиал]], tbl_Filialy[Филиал], tbl_Filialy[Менеджер])</f>
        <v>Сергей Мельников</v>
      </c>
    </row>
    <row r="233" spans="1:10" x14ac:dyDescent="0.3">
      <c r="A233" t="str">
        <f>_xlfn.XLOOKUP(branches[[#This Row],[Филиал]], tbl_Filialy[Филиал], tbl_Filialy[Город])</f>
        <v>Екатеринбург</v>
      </c>
      <c r="B233" s="1" t="s">
        <v>7</v>
      </c>
      <c r="C233" s="2">
        <v>45798</v>
      </c>
      <c r="D233" s="2" t="str">
        <f>CHOOSE(MONTH(branches[[#This Row],[Дата]]),"Январь","Февраль","Март","Апрель","Май","Июнь","Июль","Август","Сентябрь","Октябрь","Ноябрь","Декабрь")&amp;" "&amp;YEAR(branches[[#This Row],[Дата]])</f>
        <v>Май 2025</v>
      </c>
      <c r="E233" t="s">
        <v>26</v>
      </c>
      <c r="F233" t="s">
        <v>9</v>
      </c>
      <c r="G233">
        <v>1</v>
      </c>
      <c r="H233">
        <v>200</v>
      </c>
      <c r="I233" t="s">
        <v>10</v>
      </c>
      <c r="J233" t="str">
        <f>_xlfn.XLOOKUP(branches[[#This Row],[Филиал]], tbl_Filialy[Филиал], tbl_Filialy[Менеджер])</f>
        <v>Сергей Мельников</v>
      </c>
    </row>
    <row r="234" spans="1:10" x14ac:dyDescent="0.3">
      <c r="A234" t="str">
        <f>_xlfn.XLOOKUP(branches[[#This Row],[Филиал]], tbl_Filialy[Филиал], tbl_Filialy[Город])</f>
        <v>Екатеринбург</v>
      </c>
      <c r="B234" s="1" t="s">
        <v>7</v>
      </c>
      <c r="C234" s="2">
        <v>45769</v>
      </c>
      <c r="D234" s="2" t="str">
        <f>CHOOSE(MONTH(branches[[#This Row],[Дата]]),"Январь","Февраль","Март","Апрель","Май","Июнь","Июль","Август","Сентябрь","Октябрь","Ноябрь","Декабрь")&amp;" "&amp;YEAR(branches[[#This Row],[Дата]])</f>
        <v>Апрель 2025</v>
      </c>
      <c r="E234" t="s">
        <v>20</v>
      </c>
      <c r="F234" t="s">
        <v>12</v>
      </c>
      <c r="G234">
        <v>1</v>
      </c>
      <c r="H234">
        <v>288</v>
      </c>
      <c r="I234" t="s">
        <v>21</v>
      </c>
      <c r="J234" t="str">
        <f>_xlfn.XLOOKUP(branches[[#This Row],[Филиал]], tbl_Filialy[Филиал], tbl_Filialy[Менеджер])</f>
        <v>Сергей Мельников</v>
      </c>
    </row>
    <row r="235" spans="1:10" x14ac:dyDescent="0.3">
      <c r="A235" t="str">
        <f>_xlfn.XLOOKUP(branches[[#This Row],[Филиал]], tbl_Filialy[Филиал], tbl_Filialy[Город])</f>
        <v>Екатеринбург</v>
      </c>
      <c r="B235" s="1" t="s">
        <v>7</v>
      </c>
      <c r="C235" s="2">
        <v>45800</v>
      </c>
      <c r="D235" s="2" t="str">
        <f>CHOOSE(MONTH(branches[[#This Row],[Дата]]),"Январь","Февраль","Март","Апрель","Май","Июнь","Июль","Август","Сентябрь","Октябрь","Ноябрь","Декабрь")&amp;" "&amp;YEAR(branches[[#This Row],[Дата]])</f>
        <v>Май 2025</v>
      </c>
      <c r="E235" t="s">
        <v>20</v>
      </c>
      <c r="F235" t="s">
        <v>12</v>
      </c>
      <c r="G235">
        <v>1</v>
      </c>
      <c r="H235">
        <v>289</v>
      </c>
      <c r="I235" t="s">
        <v>15</v>
      </c>
      <c r="J235" t="str">
        <f>_xlfn.XLOOKUP(branches[[#This Row],[Филиал]], tbl_Filialy[Филиал], tbl_Filialy[Менеджер])</f>
        <v>Сергей Мельников</v>
      </c>
    </row>
    <row r="236" spans="1:10" x14ac:dyDescent="0.3">
      <c r="A236" t="str">
        <f>_xlfn.XLOOKUP(branches[[#This Row],[Филиал]], tbl_Filialy[Филиал], tbl_Filialy[Город])</f>
        <v>Екатеринбург</v>
      </c>
      <c r="B236" s="1" t="s">
        <v>7</v>
      </c>
      <c r="C236" s="2">
        <v>45922</v>
      </c>
      <c r="D236" s="2" t="str">
        <f>CHOOSE(MONTH(branches[[#This Row],[Дата]]),"Январь","Февраль","Март","Апрель","Май","Июнь","Июль","Август","Сентябрь","Октябрь","Ноябрь","Декабрь")&amp;" "&amp;YEAR(branches[[#This Row],[Дата]])</f>
        <v>Сентябрь 2025</v>
      </c>
      <c r="E236" t="s">
        <v>14</v>
      </c>
      <c r="F236" t="s">
        <v>12</v>
      </c>
      <c r="G236">
        <v>1</v>
      </c>
      <c r="H236">
        <v>286</v>
      </c>
      <c r="I236" t="s">
        <v>10</v>
      </c>
      <c r="J236" t="str">
        <f>_xlfn.XLOOKUP(branches[[#This Row],[Филиал]], tbl_Filialy[Филиал], tbl_Filialy[Менеджер])</f>
        <v>Сергей Мельников</v>
      </c>
    </row>
    <row r="237" spans="1:10" x14ac:dyDescent="0.3">
      <c r="A237" t="str">
        <f>_xlfn.XLOOKUP(branches[[#This Row],[Филиал]], tbl_Filialy[Филиал], tbl_Filialy[Город])</f>
        <v>Екатеринбург</v>
      </c>
      <c r="B237" s="1" t="s">
        <v>7</v>
      </c>
      <c r="C237" s="2">
        <v>45968</v>
      </c>
      <c r="D237" s="2" t="str">
        <f>CHOOSE(MONTH(branches[[#This Row],[Дата]]),"Январь","Февраль","Март","Апрель","Май","Июнь","Июль","Август","Сентябрь","Октябрь","Ноябрь","Декабрь")&amp;" "&amp;YEAR(branches[[#This Row],[Дата]])</f>
        <v>Ноябрь 2025</v>
      </c>
      <c r="E237" t="s">
        <v>24</v>
      </c>
      <c r="F237" t="s">
        <v>17</v>
      </c>
      <c r="G237">
        <v>1</v>
      </c>
      <c r="H237">
        <v>398</v>
      </c>
      <c r="I237" t="s">
        <v>21</v>
      </c>
      <c r="J237" t="str">
        <f>_xlfn.XLOOKUP(branches[[#This Row],[Филиал]], tbl_Filialy[Филиал], tbl_Filialy[Менеджер])</f>
        <v>Сергей Мельников</v>
      </c>
    </row>
    <row r="238" spans="1:10" x14ac:dyDescent="0.3">
      <c r="A238" t="str">
        <f>_xlfn.XLOOKUP(branches[[#This Row],[Филиал]], tbl_Filialy[Филиал], tbl_Filialy[Город])</f>
        <v>Екатеринбург</v>
      </c>
      <c r="B238" s="1" t="s">
        <v>7</v>
      </c>
      <c r="C238" s="2">
        <v>46013</v>
      </c>
      <c r="D238" s="2" t="str">
        <f>CHOOSE(MONTH(branches[[#This Row],[Дата]]),"Январь","Февраль","Март","Апрель","Май","Июнь","Июль","Август","Сентябрь","Октябрь","Ноябрь","Декабрь")&amp;" "&amp;YEAR(branches[[#This Row],[Дата]])</f>
        <v>Декабрь 2025</v>
      </c>
      <c r="E238" t="s">
        <v>27</v>
      </c>
      <c r="F238" t="s">
        <v>12</v>
      </c>
      <c r="G238">
        <v>3</v>
      </c>
      <c r="H238">
        <v>663</v>
      </c>
      <c r="I238" t="s">
        <v>19</v>
      </c>
      <c r="J238" t="str">
        <f>_xlfn.XLOOKUP(branches[[#This Row],[Филиал]], tbl_Filialy[Филиал], tbl_Filialy[Менеджер])</f>
        <v>Сергей Мельников</v>
      </c>
    </row>
    <row r="239" spans="1:10" x14ac:dyDescent="0.3">
      <c r="A239" t="str">
        <f>_xlfn.XLOOKUP(branches[[#This Row],[Филиал]], tbl_Filialy[Филиал], tbl_Filialy[Город])</f>
        <v>Екатеринбург</v>
      </c>
      <c r="B239" s="1" t="s">
        <v>7</v>
      </c>
      <c r="C239" s="2">
        <v>45927</v>
      </c>
      <c r="D239" s="2" t="str">
        <f>CHOOSE(MONTH(branches[[#This Row],[Дата]]),"Январь","Февраль","Март","Апрель","Май","Июнь","Июль","Август","Сентябрь","Октябрь","Ноябрь","Декабрь")&amp;" "&amp;YEAR(branches[[#This Row],[Дата]])</f>
        <v>Сентябрь 2025</v>
      </c>
      <c r="E239" t="s">
        <v>20</v>
      </c>
      <c r="F239" t="s">
        <v>12</v>
      </c>
      <c r="G239">
        <v>2</v>
      </c>
      <c r="H239">
        <v>594</v>
      </c>
      <c r="I239" t="s">
        <v>13</v>
      </c>
      <c r="J239" t="str">
        <f>_xlfn.XLOOKUP(branches[[#This Row],[Филиал]], tbl_Filialy[Филиал], tbl_Filialy[Менеджер])</f>
        <v>Сергей Мельников</v>
      </c>
    </row>
    <row r="240" spans="1:10" x14ac:dyDescent="0.3">
      <c r="A240" t="str">
        <f>_xlfn.XLOOKUP(branches[[#This Row],[Филиал]], tbl_Filialy[Филиал], tbl_Filialy[Город])</f>
        <v>Екатеринбург</v>
      </c>
      <c r="B240" s="1" t="s">
        <v>7</v>
      </c>
      <c r="C240" s="2">
        <v>45810</v>
      </c>
      <c r="D240" s="2" t="str">
        <f>CHOOSE(MONTH(branches[[#This Row],[Дата]]),"Январь","Февраль","Март","Апрель","Май","Июнь","Июль","Август","Сентябрь","Октябрь","Ноябрь","Декабрь")&amp;" "&amp;YEAR(branches[[#This Row],[Дата]])</f>
        <v>Июнь 2025</v>
      </c>
      <c r="E240" t="s">
        <v>28</v>
      </c>
      <c r="F240" t="s">
        <v>12</v>
      </c>
      <c r="G240">
        <v>1</v>
      </c>
      <c r="H240">
        <v>252</v>
      </c>
      <c r="I240" t="s">
        <v>23</v>
      </c>
      <c r="J240" t="str">
        <f>_xlfn.XLOOKUP(branches[[#This Row],[Филиал]], tbl_Filialy[Филиал], tbl_Filialy[Менеджер])</f>
        <v>Сергей Мельников</v>
      </c>
    </row>
    <row r="241" spans="1:10" x14ac:dyDescent="0.3">
      <c r="A241" t="str">
        <f>_xlfn.XLOOKUP(branches[[#This Row],[Филиал]], tbl_Filialy[Филиал], tbl_Filialy[Город])</f>
        <v>Екатеринбург</v>
      </c>
      <c r="B241" s="1" t="s">
        <v>7</v>
      </c>
      <c r="C241" s="2">
        <v>45753</v>
      </c>
      <c r="D241" s="2" t="str">
        <f>CHOOSE(MONTH(branches[[#This Row],[Дата]]),"Январь","Февраль","Март","Апрель","Май","Июнь","Июль","Август","Сентябрь","Октябрь","Ноябрь","Декабрь")&amp;" "&amp;YEAR(branches[[#This Row],[Дата]])</f>
        <v>Апрель 2025</v>
      </c>
      <c r="E241" t="s">
        <v>24</v>
      </c>
      <c r="F241" t="s">
        <v>17</v>
      </c>
      <c r="G241">
        <v>1</v>
      </c>
      <c r="H241">
        <v>346</v>
      </c>
      <c r="I241" t="s">
        <v>19</v>
      </c>
      <c r="J241" t="str">
        <f>_xlfn.XLOOKUP(branches[[#This Row],[Филиал]], tbl_Filialy[Филиал], tbl_Filialy[Менеджер])</f>
        <v>Сергей Мельников</v>
      </c>
    </row>
    <row r="242" spans="1:10" x14ac:dyDescent="0.3">
      <c r="A242" t="str">
        <f>_xlfn.XLOOKUP(branches[[#This Row],[Филиал]], tbl_Filialy[Филиал], tbl_Filialy[Город])</f>
        <v>Екатеринбург</v>
      </c>
      <c r="B242" s="1" t="s">
        <v>7</v>
      </c>
      <c r="C242" s="2">
        <v>45859</v>
      </c>
      <c r="D242" s="2" t="str">
        <f>CHOOSE(MONTH(branches[[#This Row],[Дата]]),"Январь","Февраль","Март","Апрель","Май","Июнь","Июль","Август","Сентябрь","Октябрь","Ноябрь","Декабрь")&amp;" "&amp;YEAR(branches[[#This Row],[Дата]])</f>
        <v>Июль 2025</v>
      </c>
      <c r="E242" t="s">
        <v>22</v>
      </c>
      <c r="F242" t="s">
        <v>9</v>
      </c>
      <c r="G242">
        <v>2</v>
      </c>
      <c r="H242">
        <v>360</v>
      </c>
      <c r="I242" t="s">
        <v>29</v>
      </c>
      <c r="J242" t="str">
        <f>_xlfn.XLOOKUP(branches[[#This Row],[Филиал]], tbl_Filialy[Филиал], tbl_Filialy[Менеджер])</f>
        <v>Сергей Мельников</v>
      </c>
    </row>
    <row r="243" spans="1:10" x14ac:dyDescent="0.3">
      <c r="A243" t="str">
        <f>_xlfn.XLOOKUP(branches[[#This Row],[Филиал]], tbl_Filialy[Филиал], tbl_Filialy[Город])</f>
        <v>Екатеринбург</v>
      </c>
      <c r="B243" s="1" t="s">
        <v>7</v>
      </c>
      <c r="C243" s="2">
        <v>45693</v>
      </c>
      <c r="D243" s="2" t="str">
        <f>CHOOSE(MONTH(branches[[#This Row],[Дата]]),"Январь","Февраль","Март","Апрель","Май","Июнь","Июль","Август","Сентябрь","Октябрь","Ноябрь","Декабрь")&amp;" "&amp;YEAR(branches[[#This Row],[Дата]])</f>
        <v>Февраль 2025</v>
      </c>
      <c r="E243" t="s">
        <v>24</v>
      </c>
      <c r="F243" t="s">
        <v>17</v>
      </c>
      <c r="G243">
        <v>2</v>
      </c>
      <c r="H243">
        <v>744</v>
      </c>
      <c r="I243" t="s">
        <v>21</v>
      </c>
      <c r="J243" t="str">
        <f>_xlfn.XLOOKUP(branches[[#This Row],[Филиал]], tbl_Filialy[Филиал], tbl_Filialy[Менеджер])</f>
        <v>Сергей Мельников</v>
      </c>
    </row>
    <row r="244" spans="1:10" x14ac:dyDescent="0.3">
      <c r="A244" t="str">
        <f>_xlfn.XLOOKUP(branches[[#This Row],[Филиал]], tbl_Filialy[Филиал], tbl_Filialy[Город])</f>
        <v>Екатеринбург</v>
      </c>
      <c r="B244" s="1" t="s">
        <v>7</v>
      </c>
      <c r="C244" s="2">
        <v>45718</v>
      </c>
      <c r="D244" s="2" t="str">
        <f>CHOOSE(MONTH(branches[[#This Row],[Дата]]),"Январь","Февраль","Март","Апрель","Май","Июнь","Июль","Август","Сентябрь","Октябрь","Ноябрь","Декабрь")&amp;" "&amp;YEAR(branches[[#This Row],[Дата]])</f>
        <v>Март 2025</v>
      </c>
      <c r="E244" t="s">
        <v>14</v>
      </c>
      <c r="F244" t="s">
        <v>12</v>
      </c>
      <c r="G244">
        <v>2</v>
      </c>
      <c r="H244">
        <v>472</v>
      </c>
      <c r="I244" t="s">
        <v>21</v>
      </c>
      <c r="J244" t="str">
        <f>_xlfn.XLOOKUP(branches[[#This Row],[Филиал]], tbl_Filialy[Филиал], tbl_Filialy[Менеджер])</f>
        <v>Сергей Мельников</v>
      </c>
    </row>
    <row r="245" spans="1:10" x14ac:dyDescent="0.3">
      <c r="A245" t="str">
        <f>_xlfn.XLOOKUP(branches[[#This Row],[Филиал]], tbl_Filialy[Филиал], tbl_Filialy[Город])</f>
        <v>Екатеринбург</v>
      </c>
      <c r="B245" s="1" t="s">
        <v>7</v>
      </c>
      <c r="C245" s="2">
        <v>45701</v>
      </c>
      <c r="D245" s="2" t="str">
        <f>CHOOSE(MONTH(branches[[#This Row],[Дата]]),"Январь","Февраль","Март","Апрель","Май","Июнь","Июль","Август","Сентябрь","Октябрь","Ноябрь","Декабрь")&amp;" "&amp;YEAR(branches[[#This Row],[Дата]])</f>
        <v>Февраль 2025</v>
      </c>
      <c r="E245" t="s">
        <v>26</v>
      </c>
      <c r="F245" t="s">
        <v>9</v>
      </c>
      <c r="G245">
        <v>1</v>
      </c>
      <c r="H245">
        <v>191</v>
      </c>
      <c r="I245" t="s">
        <v>23</v>
      </c>
      <c r="J245" t="str">
        <f>_xlfn.XLOOKUP(branches[[#This Row],[Филиал]], tbl_Filialy[Филиал], tbl_Filialy[Менеджер])</f>
        <v>Сергей Мельников</v>
      </c>
    </row>
    <row r="246" spans="1:10" x14ac:dyDescent="0.3">
      <c r="A246" t="str">
        <f>_xlfn.XLOOKUP(branches[[#This Row],[Филиал]], tbl_Filialy[Филиал], tbl_Filialy[Город])</f>
        <v>Екатеринбург</v>
      </c>
      <c r="B246" s="1" t="s">
        <v>7</v>
      </c>
      <c r="C246" s="2">
        <v>45710</v>
      </c>
      <c r="D246" s="2" t="str">
        <f>CHOOSE(MONTH(branches[[#This Row],[Дата]]),"Январь","Февраль","Март","Апрель","Май","Июнь","Июль","Август","Сентябрь","Октябрь","Ноябрь","Декабрь")&amp;" "&amp;YEAR(branches[[#This Row],[Дата]])</f>
        <v>Февраль 2025</v>
      </c>
      <c r="E246" t="s">
        <v>16</v>
      </c>
      <c r="F246" t="s">
        <v>17</v>
      </c>
      <c r="G246">
        <v>2</v>
      </c>
      <c r="H246">
        <v>590</v>
      </c>
      <c r="I246" t="s">
        <v>21</v>
      </c>
      <c r="J246" t="str">
        <f>_xlfn.XLOOKUP(branches[[#This Row],[Филиал]], tbl_Filialy[Филиал], tbl_Filialy[Менеджер])</f>
        <v>Сергей Мельников</v>
      </c>
    </row>
    <row r="247" spans="1:10" x14ac:dyDescent="0.3">
      <c r="A247" t="str">
        <f>_xlfn.XLOOKUP(branches[[#This Row],[Филиал]], tbl_Filialy[Филиал], tbl_Filialy[Город])</f>
        <v>Екатеринбург</v>
      </c>
      <c r="B247" s="1" t="s">
        <v>7</v>
      </c>
      <c r="C247" s="2">
        <v>45956</v>
      </c>
      <c r="D247" s="2" t="str">
        <f>CHOOSE(MONTH(branches[[#This Row],[Дата]]),"Январь","Февраль","Март","Апрель","Май","Июнь","Июль","Август","Сентябрь","Октябрь","Ноябрь","Декабрь")&amp;" "&amp;YEAR(branches[[#This Row],[Дата]])</f>
        <v>Октябрь 2025</v>
      </c>
      <c r="E247" t="s">
        <v>11</v>
      </c>
      <c r="F247" t="s">
        <v>12</v>
      </c>
      <c r="G247">
        <v>1</v>
      </c>
      <c r="H247">
        <v>172</v>
      </c>
      <c r="I247" t="s">
        <v>21</v>
      </c>
      <c r="J247" t="str">
        <f>_xlfn.XLOOKUP(branches[[#This Row],[Филиал]], tbl_Filialy[Филиал], tbl_Filialy[Менеджер])</f>
        <v>Сергей Мельников</v>
      </c>
    </row>
    <row r="248" spans="1:10" x14ac:dyDescent="0.3">
      <c r="A248" t="str">
        <f>_xlfn.XLOOKUP(branches[[#This Row],[Филиал]], tbl_Filialy[Филиал], tbl_Filialy[Город])</f>
        <v>Екатеринбург</v>
      </c>
      <c r="B248" s="1" t="s">
        <v>7</v>
      </c>
      <c r="C248" s="2">
        <v>45800</v>
      </c>
      <c r="D248" s="2" t="str">
        <f>CHOOSE(MONTH(branches[[#This Row],[Дата]]),"Январь","Февраль","Март","Апрель","Май","Июнь","Июль","Август","Сентябрь","Октябрь","Ноябрь","Декабрь")&amp;" "&amp;YEAR(branches[[#This Row],[Дата]])</f>
        <v>Май 2025</v>
      </c>
      <c r="E248" t="s">
        <v>25</v>
      </c>
      <c r="F248" t="s">
        <v>12</v>
      </c>
      <c r="G248">
        <v>2</v>
      </c>
      <c r="H248">
        <v>428</v>
      </c>
      <c r="I248" t="s">
        <v>13</v>
      </c>
      <c r="J248" t="str">
        <f>_xlfn.XLOOKUP(branches[[#This Row],[Филиал]], tbl_Filialy[Филиал], tbl_Filialy[Менеджер])</f>
        <v>Сергей Мельников</v>
      </c>
    </row>
    <row r="249" spans="1:10" x14ac:dyDescent="0.3">
      <c r="A249" t="str">
        <f>_xlfn.XLOOKUP(branches[[#This Row],[Филиал]], tbl_Filialy[Филиал], tbl_Filialy[Город])</f>
        <v>Екатеринбург</v>
      </c>
      <c r="B249" s="1" t="s">
        <v>7</v>
      </c>
      <c r="C249" s="2">
        <v>45715</v>
      </c>
      <c r="D249" s="2" t="str">
        <f>CHOOSE(MONTH(branches[[#This Row],[Дата]]),"Январь","Февраль","Март","Апрель","Май","Июнь","Июль","Август","Сентябрь","Октябрь","Ноябрь","Декабрь")&amp;" "&amp;YEAR(branches[[#This Row],[Дата]])</f>
        <v>Февраль 2025</v>
      </c>
      <c r="E249" t="s">
        <v>27</v>
      </c>
      <c r="F249" t="s">
        <v>12</v>
      </c>
      <c r="G249">
        <v>3</v>
      </c>
      <c r="H249">
        <v>720</v>
      </c>
      <c r="I249" t="s">
        <v>10</v>
      </c>
      <c r="J249" t="str">
        <f>_xlfn.XLOOKUP(branches[[#This Row],[Филиал]], tbl_Filialy[Филиал], tbl_Filialy[Менеджер])</f>
        <v>Сергей Мельников</v>
      </c>
    </row>
    <row r="250" spans="1:10" x14ac:dyDescent="0.3">
      <c r="A250" t="str">
        <f>_xlfn.XLOOKUP(branches[[#This Row],[Филиал]], tbl_Filialy[Филиал], tbl_Filialy[Город])</f>
        <v>Екатеринбург</v>
      </c>
      <c r="B250" s="1" t="s">
        <v>7</v>
      </c>
      <c r="C250" s="2">
        <v>45953</v>
      </c>
      <c r="D250" s="2" t="str">
        <f>CHOOSE(MONTH(branches[[#This Row],[Дата]]),"Январь","Февраль","Март","Апрель","Май","Июнь","Июль","Август","Сентябрь","Октябрь","Ноябрь","Декабрь")&amp;" "&amp;YEAR(branches[[#This Row],[Дата]])</f>
        <v>Октябрь 2025</v>
      </c>
      <c r="E250" t="s">
        <v>26</v>
      </c>
      <c r="F250" t="s">
        <v>9</v>
      </c>
      <c r="G250">
        <v>2</v>
      </c>
      <c r="H250">
        <v>404</v>
      </c>
      <c r="I250" t="s">
        <v>21</v>
      </c>
      <c r="J250" t="str">
        <f>_xlfn.XLOOKUP(branches[[#This Row],[Филиал]], tbl_Filialy[Филиал], tbl_Filialy[Менеджер])</f>
        <v>Сергей Мельников</v>
      </c>
    </row>
    <row r="251" spans="1:10" x14ac:dyDescent="0.3">
      <c r="A251" t="str">
        <f>_xlfn.XLOOKUP(branches[[#This Row],[Филиал]], tbl_Filialy[Филиал], tbl_Filialy[Город])</f>
        <v>Екатеринбург</v>
      </c>
      <c r="B251" s="1" t="s">
        <v>7</v>
      </c>
      <c r="C251" s="2">
        <v>45874</v>
      </c>
      <c r="D251" s="2" t="str">
        <f>CHOOSE(MONTH(branches[[#This Row],[Дата]]),"Январь","Февраль","Март","Апрель","Май","Июнь","Июль","Август","Сентябрь","Октябрь","Ноябрь","Декабрь")&amp;" "&amp;YEAR(branches[[#This Row],[Дата]])</f>
        <v>Август 2025</v>
      </c>
      <c r="E251" t="s">
        <v>24</v>
      </c>
      <c r="F251" t="s">
        <v>17</v>
      </c>
      <c r="G251">
        <v>2</v>
      </c>
      <c r="H251">
        <v>672</v>
      </c>
      <c r="I251" t="s">
        <v>23</v>
      </c>
      <c r="J251" t="str">
        <f>_xlfn.XLOOKUP(branches[[#This Row],[Филиал]], tbl_Filialy[Филиал], tbl_Filialy[Менеджер])</f>
        <v>Сергей Мельников</v>
      </c>
    </row>
    <row r="252" spans="1:10" x14ac:dyDescent="0.3">
      <c r="A252" t="str">
        <f>_xlfn.XLOOKUP(branches[[#This Row],[Филиал]], tbl_Filialy[Филиал], tbl_Filialy[Город])</f>
        <v>Екатеринбург</v>
      </c>
      <c r="B252" s="1" t="s">
        <v>7</v>
      </c>
      <c r="C252" s="2">
        <v>45834</v>
      </c>
      <c r="D252" s="2" t="str">
        <f>CHOOSE(MONTH(branches[[#This Row],[Дата]]),"Январь","Февраль","Март","Апрель","Май","Июнь","Июль","Август","Сентябрь","Октябрь","Ноябрь","Декабрь")&amp;" "&amp;YEAR(branches[[#This Row],[Дата]])</f>
        <v>Июнь 2025</v>
      </c>
      <c r="E252" t="s">
        <v>11</v>
      </c>
      <c r="F252" t="s">
        <v>12</v>
      </c>
      <c r="G252">
        <v>3</v>
      </c>
      <c r="H252">
        <v>579</v>
      </c>
      <c r="I252" t="s">
        <v>23</v>
      </c>
      <c r="J252" t="str">
        <f>_xlfn.XLOOKUP(branches[[#This Row],[Филиал]], tbl_Filialy[Филиал], tbl_Filialy[Менеджер])</f>
        <v>Сергей Мельников</v>
      </c>
    </row>
    <row r="253" spans="1:10" x14ac:dyDescent="0.3">
      <c r="A253" t="str">
        <f>_xlfn.XLOOKUP(branches[[#This Row],[Филиал]], tbl_Filialy[Филиал], tbl_Filialy[Город])</f>
        <v>Екатеринбург</v>
      </c>
      <c r="B253" s="1" t="s">
        <v>7</v>
      </c>
      <c r="C253" s="2">
        <v>45831</v>
      </c>
      <c r="D253" s="2" t="str">
        <f>CHOOSE(MONTH(branches[[#This Row],[Дата]]),"Январь","Февраль","Март","Апрель","Май","Июнь","Июль","Август","Сентябрь","Октябрь","Ноябрь","Декабрь")&amp;" "&amp;YEAR(branches[[#This Row],[Дата]])</f>
        <v>Июнь 2025</v>
      </c>
      <c r="E253" t="s">
        <v>8</v>
      </c>
      <c r="F253" t="s">
        <v>9</v>
      </c>
      <c r="G253">
        <v>2</v>
      </c>
      <c r="H253">
        <v>538</v>
      </c>
      <c r="I253" t="s">
        <v>13</v>
      </c>
      <c r="J253" t="str">
        <f>_xlfn.XLOOKUP(branches[[#This Row],[Филиал]], tbl_Filialy[Филиал], tbl_Filialy[Менеджер])</f>
        <v>Сергей Мельников</v>
      </c>
    </row>
    <row r="254" spans="1:10" x14ac:dyDescent="0.3">
      <c r="A254" t="str">
        <f>_xlfn.XLOOKUP(branches[[#This Row],[Филиал]], tbl_Filialy[Филиал], tbl_Filialy[Город])</f>
        <v>Екатеринбург</v>
      </c>
      <c r="B254" s="1" t="s">
        <v>7</v>
      </c>
      <c r="C254" s="2">
        <v>46007</v>
      </c>
      <c r="D254" s="2" t="str">
        <f>CHOOSE(MONTH(branches[[#This Row],[Дата]]),"Январь","Февраль","Март","Апрель","Май","Июнь","Июль","Август","Сентябрь","Октябрь","Ноябрь","Декабрь")&amp;" "&amp;YEAR(branches[[#This Row],[Дата]])</f>
        <v>Декабрь 2025</v>
      </c>
      <c r="E254" t="s">
        <v>16</v>
      </c>
      <c r="F254" t="s">
        <v>17</v>
      </c>
      <c r="G254">
        <v>1</v>
      </c>
      <c r="H254">
        <v>318</v>
      </c>
      <c r="I254" t="s">
        <v>10</v>
      </c>
      <c r="J254" t="str">
        <f>_xlfn.XLOOKUP(branches[[#This Row],[Филиал]], tbl_Filialy[Филиал], tbl_Filialy[Менеджер])</f>
        <v>Сергей Мельников</v>
      </c>
    </row>
    <row r="255" spans="1:10" x14ac:dyDescent="0.3">
      <c r="A255" t="str">
        <f>_xlfn.XLOOKUP(branches[[#This Row],[Филиал]], tbl_Filialy[Филиал], tbl_Filialy[Город])</f>
        <v>Екатеринбург</v>
      </c>
      <c r="B255" s="1" t="s">
        <v>7</v>
      </c>
      <c r="C255" s="2">
        <v>45884</v>
      </c>
      <c r="D255" s="2" t="str">
        <f>CHOOSE(MONTH(branches[[#This Row],[Дата]]),"Январь","Февраль","Март","Апрель","Май","Июнь","Июль","Август","Сентябрь","Октябрь","Ноябрь","Декабрь")&amp;" "&amp;YEAR(branches[[#This Row],[Дата]])</f>
        <v>Август 2025</v>
      </c>
      <c r="E255" t="s">
        <v>16</v>
      </c>
      <c r="F255" t="s">
        <v>17</v>
      </c>
      <c r="G255">
        <v>2</v>
      </c>
      <c r="H255">
        <v>688</v>
      </c>
      <c r="I255" t="s">
        <v>10</v>
      </c>
      <c r="J255" t="str">
        <f>_xlfn.XLOOKUP(branches[[#This Row],[Филиал]], tbl_Filialy[Филиал], tbl_Filialy[Менеджер])</f>
        <v>Сергей Мельников</v>
      </c>
    </row>
    <row r="256" spans="1:10" x14ac:dyDescent="0.3">
      <c r="A256" t="str">
        <f>_xlfn.XLOOKUP(branches[[#This Row],[Филиал]], tbl_Filialy[Филиал], tbl_Filialy[Город])</f>
        <v>Екатеринбург</v>
      </c>
      <c r="B256" s="1" t="s">
        <v>7</v>
      </c>
      <c r="C256" s="2">
        <v>45935</v>
      </c>
      <c r="D256" s="2" t="str">
        <f>CHOOSE(MONTH(branches[[#This Row],[Дата]]),"Январь","Февраль","Март","Апрель","Май","Июнь","Июль","Август","Сентябрь","Октябрь","Ноябрь","Декабрь")&amp;" "&amp;YEAR(branches[[#This Row],[Дата]])</f>
        <v>Октябрь 2025</v>
      </c>
      <c r="E256" t="s">
        <v>26</v>
      </c>
      <c r="F256" t="s">
        <v>9</v>
      </c>
      <c r="G256">
        <v>2</v>
      </c>
      <c r="H256">
        <v>384</v>
      </c>
      <c r="I256" t="s">
        <v>10</v>
      </c>
      <c r="J256" t="str">
        <f>_xlfn.XLOOKUP(branches[[#This Row],[Филиал]], tbl_Filialy[Филиал], tbl_Filialy[Менеджер])</f>
        <v>Сергей Мельников</v>
      </c>
    </row>
    <row r="257" spans="1:10" x14ac:dyDescent="0.3">
      <c r="A257" t="str">
        <f>_xlfn.XLOOKUP(branches[[#This Row],[Филиал]], tbl_Filialy[Филиал], tbl_Filialy[Город])</f>
        <v>Екатеринбург</v>
      </c>
      <c r="B257" s="1" t="s">
        <v>7</v>
      </c>
      <c r="C257" s="2">
        <v>45712</v>
      </c>
      <c r="D257" s="2" t="str">
        <f>CHOOSE(MONTH(branches[[#This Row],[Дата]]),"Январь","Февраль","Март","Апрель","Май","Июнь","Июль","Август","Сентябрь","Октябрь","Ноябрь","Декабрь")&amp;" "&amp;YEAR(branches[[#This Row],[Дата]])</f>
        <v>Февраль 2025</v>
      </c>
      <c r="E257" t="s">
        <v>16</v>
      </c>
      <c r="F257" t="s">
        <v>17</v>
      </c>
      <c r="G257">
        <v>3</v>
      </c>
      <c r="H257">
        <v>876</v>
      </c>
      <c r="I257" t="s">
        <v>15</v>
      </c>
      <c r="J257" t="str">
        <f>_xlfn.XLOOKUP(branches[[#This Row],[Филиал]], tbl_Filialy[Филиал], tbl_Filialy[Менеджер])</f>
        <v>Сергей Мельников</v>
      </c>
    </row>
    <row r="258" spans="1:10" x14ac:dyDescent="0.3">
      <c r="A258" t="str">
        <f>_xlfn.XLOOKUP(branches[[#This Row],[Филиал]], tbl_Filialy[Филиал], tbl_Filialy[Город])</f>
        <v>Екатеринбург</v>
      </c>
      <c r="B258" s="1" t="s">
        <v>7</v>
      </c>
      <c r="C258" s="2">
        <v>45902</v>
      </c>
      <c r="D258" s="2" t="str">
        <f>CHOOSE(MONTH(branches[[#This Row],[Дата]]),"Январь","Февраль","Март","Апрель","Май","Июнь","Июль","Август","Сентябрь","Октябрь","Ноябрь","Декабрь")&amp;" "&amp;YEAR(branches[[#This Row],[Дата]])</f>
        <v>Сентябрь 2025</v>
      </c>
      <c r="E258" t="s">
        <v>25</v>
      </c>
      <c r="F258" t="s">
        <v>12</v>
      </c>
      <c r="G258">
        <v>1</v>
      </c>
      <c r="H258">
        <v>237</v>
      </c>
      <c r="I258" t="s">
        <v>10</v>
      </c>
      <c r="J258" t="str">
        <f>_xlfn.XLOOKUP(branches[[#This Row],[Филиал]], tbl_Filialy[Филиал], tbl_Filialy[Менеджер])</f>
        <v>Сергей Мельников</v>
      </c>
    </row>
    <row r="259" spans="1:10" x14ac:dyDescent="0.3">
      <c r="A259" t="str">
        <f>_xlfn.XLOOKUP(branches[[#This Row],[Филиал]], tbl_Filialy[Филиал], tbl_Filialy[Город])</f>
        <v>Екатеринбург</v>
      </c>
      <c r="B259" s="1" t="s">
        <v>7</v>
      </c>
      <c r="C259" s="2">
        <v>45783</v>
      </c>
      <c r="D259" s="2" t="str">
        <f>CHOOSE(MONTH(branches[[#This Row],[Дата]]),"Январь","Февраль","Март","Апрель","Май","Июнь","Июль","Август","Сентябрь","Октябрь","Ноябрь","Декабрь")&amp;" "&amp;YEAR(branches[[#This Row],[Дата]])</f>
        <v>Май 2025</v>
      </c>
      <c r="E259" t="s">
        <v>26</v>
      </c>
      <c r="F259" t="s">
        <v>9</v>
      </c>
      <c r="G259">
        <v>2</v>
      </c>
      <c r="H259">
        <v>462</v>
      </c>
      <c r="I259" t="s">
        <v>13</v>
      </c>
      <c r="J259" t="str">
        <f>_xlfn.XLOOKUP(branches[[#This Row],[Филиал]], tbl_Filialy[Филиал], tbl_Filialy[Менеджер])</f>
        <v>Сергей Мельников</v>
      </c>
    </row>
    <row r="260" spans="1:10" x14ac:dyDescent="0.3">
      <c r="A260" t="str">
        <f>_xlfn.XLOOKUP(branches[[#This Row],[Филиал]], tbl_Filialy[Филиал], tbl_Filialy[Город])</f>
        <v>Екатеринбург</v>
      </c>
      <c r="B260" s="1" t="s">
        <v>7</v>
      </c>
      <c r="C260" s="2">
        <v>45865</v>
      </c>
      <c r="D260" s="2" t="str">
        <f>CHOOSE(MONTH(branches[[#This Row],[Дата]]),"Январь","Февраль","Март","Апрель","Май","Июнь","Июль","Август","Сентябрь","Октябрь","Ноябрь","Декабрь")&amp;" "&amp;YEAR(branches[[#This Row],[Дата]])</f>
        <v>Июль 2025</v>
      </c>
      <c r="E260" t="s">
        <v>24</v>
      </c>
      <c r="F260" t="s">
        <v>17</v>
      </c>
      <c r="G260">
        <v>2</v>
      </c>
      <c r="H260">
        <v>824</v>
      </c>
      <c r="I260" t="s">
        <v>23</v>
      </c>
      <c r="J260" t="str">
        <f>_xlfn.XLOOKUP(branches[[#This Row],[Филиал]], tbl_Filialy[Филиал], tbl_Filialy[Менеджер])</f>
        <v>Сергей Мельников</v>
      </c>
    </row>
    <row r="261" spans="1:10" x14ac:dyDescent="0.3">
      <c r="A261" t="str">
        <f>_xlfn.XLOOKUP(branches[[#This Row],[Филиал]], tbl_Filialy[Филиал], tbl_Filialy[Город])</f>
        <v>Екатеринбург</v>
      </c>
      <c r="B261" s="1" t="s">
        <v>7</v>
      </c>
      <c r="C261" s="2">
        <v>45698</v>
      </c>
      <c r="D261" s="2" t="str">
        <f>CHOOSE(MONTH(branches[[#This Row],[Дата]]),"Январь","Февраль","Март","Апрель","Май","Июнь","Июль","Август","Сентябрь","Октябрь","Ноябрь","Декабрь")&amp;" "&amp;YEAR(branches[[#This Row],[Дата]])</f>
        <v>Февраль 2025</v>
      </c>
      <c r="E261" t="s">
        <v>26</v>
      </c>
      <c r="F261" t="s">
        <v>9</v>
      </c>
      <c r="G261">
        <v>3</v>
      </c>
      <c r="H261">
        <v>555</v>
      </c>
      <c r="I261" t="s">
        <v>23</v>
      </c>
      <c r="J261" t="str">
        <f>_xlfn.XLOOKUP(branches[[#This Row],[Филиал]], tbl_Filialy[Филиал], tbl_Filialy[Менеджер])</f>
        <v>Сергей Мельников</v>
      </c>
    </row>
    <row r="262" spans="1:10" x14ac:dyDescent="0.3">
      <c r="A262" t="str">
        <f>_xlfn.XLOOKUP(branches[[#This Row],[Филиал]], tbl_Filialy[Филиал], tbl_Filialy[Город])</f>
        <v>Екатеринбург</v>
      </c>
      <c r="B262" s="1" t="s">
        <v>7</v>
      </c>
      <c r="C262" s="2">
        <v>45987</v>
      </c>
      <c r="D262" s="2" t="str">
        <f>CHOOSE(MONTH(branches[[#This Row],[Дата]]),"Январь","Февраль","Март","Апрель","Май","Июнь","Июль","Август","Сентябрь","Октябрь","Ноябрь","Декабрь")&amp;" "&amp;YEAR(branches[[#This Row],[Дата]])</f>
        <v>Ноябрь 2025</v>
      </c>
      <c r="E262" t="s">
        <v>28</v>
      </c>
      <c r="F262" t="s">
        <v>12</v>
      </c>
      <c r="G262">
        <v>1</v>
      </c>
      <c r="H262">
        <v>219</v>
      </c>
      <c r="I262" t="s">
        <v>13</v>
      </c>
      <c r="J262" t="str">
        <f>_xlfn.XLOOKUP(branches[[#This Row],[Филиал]], tbl_Filialy[Филиал], tbl_Filialy[Менеджер])</f>
        <v>Сергей Мельников</v>
      </c>
    </row>
    <row r="263" spans="1:10" x14ac:dyDescent="0.3">
      <c r="A263" t="str">
        <f>_xlfn.XLOOKUP(branches[[#This Row],[Филиал]], tbl_Filialy[Филиал], tbl_Filialy[Город])</f>
        <v>Екатеринбург</v>
      </c>
      <c r="B263" s="1" t="s">
        <v>7</v>
      </c>
      <c r="C263" s="2">
        <v>45800</v>
      </c>
      <c r="D263" s="2" t="str">
        <f>CHOOSE(MONTH(branches[[#This Row],[Дата]]),"Январь","Февраль","Март","Апрель","Май","Июнь","Июль","Август","Сентябрь","Октябрь","Ноябрь","Декабрь")&amp;" "&amp;YEAR(branches[[#This Row],[Дата]])</f>
        <v>Май 2025</v>
      </c>
      <c r="E263" t="s">
        <v>26</v>
      </c>
      <c r="F263" t="s">
        <v>9</v>
      </c>
      <c r="G263">
        <v>1</v>
      </c>
      <c r="H263">
        <v>235</v>
      </c>
      <c r="I263" t="s">
        <v>21</v>
      </c>
      <c r="J263" t="str">
        <f>_xlfn.XLOOKUP(branches[[#This Row],[Филиал]], tbl_Filialy[Филиал], tbl_Filialy[Менеджер])</f>
        <v>Сергей Мельников</v>
      </c>
    </row>
    <row r="264" spans="1:10" x14ac:dyDescent="0.3">
      <c r="A264" t="str">
        <f>_xlfn.XLOOKUP(branches[[#This Row],[Филиал]], tbl_Filialy[Филиал], tbl_Filialy[Город])</f>
        <v>Екатеринбург</v>
      </c>
      <c r="B264" s="1" t="s">
        <v>7</v>
      </c>
      <c r="C264" s="2">
        <v>45793</v>
      </c>
      <c r="D264" s="2" t="str">
        <f>CHOOSE(MONTH(branches[[#This Row],[Дата]]),"Январь","Февраль","Март","Апрель","Май","Июнь","Июль","Август","Сентябрь","Октябрь","Ноябрь","Декабрь")&amp;" "&amp;YEAR(branches[[#This Row],[Дата]])</f>
        <v>Май 2025</v>
      </c>
      <c r="E264" t="s">
        <v>25</v>
      </c>
      <c r="F264" t="s">
        <v>12</v>
      </c>
      <c r="G264">
        <v>1</v>
      </c>
      <c r="H264">
        <v>204</v>
      </c>
      <c r="I264" t="s">
        <v>23</v>
      </c>
      <c r="J264" t="str">
        <f>_xlfn.XLOOKUP(branches[[#This Row],[Филиал]], tbl_Filialy[Филиал], tbl_Filialy[Менеджер])</f>
        <v>Сергей Мельников</v>
      </c>
    </row>
    <row r="265" spans="1:10" x14ac:dyDescent="0.3">
      <c r="A265" t="str">
        <f>_xlfn.XLOOKUP(branches[[#This Row],[Филиал]], tbl_Filialy[Филиал], tbl_Filialy[Город])</f>
        <v>Екатеринбург</v>
      </c>
      <c r="B265" s="1" t="s">
        <v>7</v>
      </c>
      <c r="C265" s="2">
        <v>46010</v>
      </c>
      <c r="D265" s="2" t="str">
        <f>CHOOSE(MONTH(branches[[#This Row],[Дата]]),"Январь","Февраль","Март","Апрель","Май","Июнь","Июль","Август","Сентябрь","Октябрь","Ноябрь","Декабрь")&amp;" "&amp;YEAR(branches[[#This Row],[Дата]])</f>
        <v>Декабрь 2025</v>
      </c>
      <c r="E265" t="s">
        <v>14</v>
      </c>
      <c r="F265" t="s">
        <v>12</v>
      </c>
      <c r="G265">
        <v>1</v>
      </c>
      <c r="H265">
        <v>249</v>
      </c>
      <c r="I265" t="s">
        <v>13</v>
      </c>
      <c r="J265" t="str">
        <f>_xlfn.XLOOKUP(branches[[#This Row],[Филиал]], tbl_Filialy[Филиал], tbl_Filialy[Менеджер])</f>
        <v>Сергей Мельников</v>
      </c>
    </row>
    <row r="266" spans="1:10" x14ac:dyDescent="0.3">
      <c r="A266" t="str">
        <f>_xlfn.XLOOKUP(branches[[#This Row],[Филиал]], tbl_Filialy[Филиал], tbl_Filialy[Город])</f>
        <v>Екатеринбург</v>
      </c>
      <c r="B266" s="1" t="s">
        <v>7</v>
      </c>
      <c r="C266" s="2">
        <v>45977</v>
      </c>
      <c r="D266" s="2" t="str">
        <f>CHOOSE(MONTH(branches[[#This Row],[Дата]]),"Январь","Февраль","Март","Апрель","Май","Июнь","Июль","Август","Сентябрь","Октябрь","Ноябрь","Декабрь")&amp;" "&amp;YEAR(branches[[#This Row],[Дата]])</f>
        <v>Ноябрь 2025</v>
      </c>
      <c r="E266" t="s">
        <v>20</v>
      </c>
      <c r="F266" t="s">
        <v>12</v>
      </c>
      <c r="G266">
        <v>2</v>
      </c>
      <c r="H266">
        <v>490</v>
      </c>
      <c r="I266" t="s">
        <v>21</v>
      </c>
      <c r="J266" t="str">
        <f>_xlfn.XLOOKUP(branches[[#This Row],[Филиал]], tbl_Filialy[Филиал], tbl_Filialy[Менеджер])</f>
        <v>Сергей Мельников</v>
      </c>
    </row>
    <row r="267" spans="1:10" x14ac:dyDescent="0.3">
      <c r="A267" t="str">
        <f>_xlfn.XLOOKUP(branches[[#This Row],[Филиал]], tbl_Filialy[Филиал], tbl_Filialy[Город])</f>
        <v>Екатеринбург</v>
      </c>
      <c r="B267" s="1" t="s">
        <v>7</v>
      </c>
      <c r="C267" s="2">
        <v>45682</v>
      </c>
      <c r="D267" s="2" t="str">
        <f>CHOOSE(MONTH(branches[[#This Row],[Дата]]),"Январь","Февраль","Март","Апрель","Май","Июнь","Июль","Август","Сентябрь","Октябрь","Ноябрь","Декабрь")&amp;" "&amp;YEAR(branches[[#This Row],[Дата]])</f>
        <v>Январь 2025</v>
      </c>
      <c r="E267" t="s">
        <v>25</v>
      </c>
      <c r="F267" t="s">
        <v>12</v>
      </c>
      <c r="G267">
        <v>2</v>
      </c>
      <c r="H267">
        <v>456</v>
      </c>
      <c r="I267" t="s">
        <v>10</v>
      </c>
      <c r="J267" t="str">
        <f>_xlfn.XLOOKUP(branches[[#This Row],[Филиал]], tbl_Filialy[Филиал], tbl_Filialy[Менеджер])</f>
        <v>Сергей Мельников</v>
      </c>
    </row>
    <row r="268" spans="1:10" x14ac:dyDescent="0.3">
      <c r="A268" t="str">
        <f>_xlfn.XLOOKUP(branches[[#This Row],[Филиал]], tbl_Filialy[Филиал], tbl_Filialy[Город])</f>
        <v>Екатеринбург</v>
      </c>
      <c r="B268" s="1" t="s">
        <v>7</v>
      </c>
      <c r="C268" s="2">
        <v>46003</v>
      </c>
      <c r="D268" s="2" t="str">
        <f>CHOOSE(MONTH(branches[[#This Row],[Дата]]),"Январь","Февраль","Март","Апрель","Май","Июнь","Июль","Август","Сентябрь","Октябрь","Ноябрь","Декабрь")&amp;" "&amp;YEAR(branches[[#This Row],[Дата]])</f>
        <v>Декабрь 2025</v>
      </c>
      <c r="E268" t="s">
        <v>14</v>
      </c>
      <c r="F268" t="s">
        <v>12</v>
      </c>
      <c r="G268">
        <v>1</v>
      </c>
      <c r="H268">
        <v>240</v>
      </c>
      <c r="I268" t="s">
        <v>19</v>
      </c>
      <c r="J268" t="str">
        <f>_xlfn.XLOOKUP(branches[[#This Row],[Филиал]], tbl_Filialy[Филиал], tbl_Filialy[Менеджер])</f>
        <v>Сергей Мельников</v>
      </c>
    </row>
    <row r="269" spans="1:10" x14ac:dyDescent="0.3">
      <c r="A269" t="str">
        <f>_xlfn.XLOOKUP(branches[[#This Row],[Филиал]], tbl_Filialy[Филиал], tbl_Filialy[Город])</f>
        <v>Екатеринбург</v>
      </c>
      <c r="B269" s="1" t="s">
        <v>7</v>
      </c>
      <c r="C269" s="2">
        <v>45933</v>
      </c>
      <c r="D269" s="2" t="str">
        <f>CHOOSE(MONTH(branches[[#This Row],[Дата]]),"Январь","Февраль","Март","Апрель","Май","Июнь","Июль","Август","Сентябрь","Октябрь","Ноябрь","Декабрь")&amp;" "&amp;YEAR(branches[[#This Row],[Дата]])</f>
        <v>Октябрь 2025</v>
      </c>
      <c r="E269" t="s">
        <v>20</v>
      </c>
      <c r="F269" t="s">
        <v>12</v>
      </c>
      <c r="G269">
        <v>1</v>
      </c>
      <c r="H269">
        <v>273</v>
      </c>
      <c r="I269" t="s">
        <v>13</v>
      </c>
      <c r="J269" t="str">
        <f>_xlfn.XLOOKUP(branches[[#This Row],[Филиал]], tbl_Filialy[Филиал], tbl_Filialy[Менеджер])</f>
        <v>Сергей Мельников</v>
      </c>
    </row>
    <row r="270" spans="1:10" x14ac:dyDescent="0.3">
      <c r="A270" t="str">
        <f>_xlfn.XLOOKUP(branches[[#This Row],[Филиал]], tbl_Filialy[Филиал], tbl_Filialy[Город])</f>
        <v>Екатеринбург</v>
      </c>
      <c r="B270" s="1" t="s">
        <v>7</v>
      </c>
      <c r="C270" s="2">
        <v>45794</v>
      </c>
      <c r="D270" s="2" t="str">
        <f>CHOOSE(MONTH(branches[[#This Row],[Дата]]),"Январь","Февраль","Март","Апрель","Май","Июнь","Июль","Август","Сентябрь","Октябрь","Ноябрь","Декабрь")&amp;" "&amp;YEAR(branches[[#This Row],[Дата]])</f>
        <v>Май 2025</v>
      </c>
      <c r="E270" t="s">
        <v>27</v>
      </c>
      <c r="F270" t="s">
        <v>12</v>
      </c>
      <c r="G270">
        <v>2</v>
      </c>
      <c r="H270">
        <v>418</v>
      </c>
      <c r="I270" t="s">
        <v>13</v>
      </c>
      <c r="J270" t="str">
        <f>_xlfn.XLOOKUP(branches[[#This Row],[Филиал]], tbl_Filialy[Филиал], tbl_Filialy[Менеджер])</f>
        <v>Сергей Мельников</v>
      </c>
    </row>
    <row r="271" spans="1:10" x14ac:dyDescent="0.3">
      <c r="A271" t="str">
        <f>_xlfn.XLOOKUP(branches[[#This Row],[Филиал]], tbl_Filialy[Филиал], tbl_Filialy[Город])</f>
        <v>Екатеринбург</v>
      </c>
      <c r="B271" s="1" t="s">
        <v>7</v>
      </c>
      <c r="C271" s="2">
        <v>45754</v>
      </c>
      <c r="D271" s="2" t="str">
        <f>CHOOSE(MONTH(branches[[#This Row],[Дата]]),"Январь","Февраль","Март","Апрель","Май","Июнь","Июль","Август","Сентябрь","Октябрь","Ноябрь","Декабрь")&amp;" "&amp;YEAR(branches[[#This Row],[Дата]])</f>
        <v>Апрель 2025</v>
      </c>
      <c r="E271" t="s">
        <v>28</v>
      </c>
      <c r="F271" t="s">
        <v>12</v>
      </c>
      <c r="G271">
        <v>2</v>
      </c>
      <c r="H271">
        <v>462</v>
      </c>
      <c r="I271" t="s">
        <v>23</v>
      </c>
      <c r="J271" t="str">
        <f>_xlfn.XLOOKUP(branches[[#This Row],[Филиал]], tbl_Filialy[Филиал], tbl_Filialy[Менеджер])</f>
        <v>Сергей Мельников</v>
      </c>
    </row>
    <row r="272" spans="1:10" x14ac:dyDescent="0.3">
      <c r="A272" t="str">
        <f>_xlfn.XLOOKUP(branches[[#This Row],[Филиал]], tbl_Filialy[Филиал], tbl_Filialy[Город])</f>
        <v>Екатеринбург</v>
      </c>
      <c r="B272" s="1" t="s">
        <v>7</v>
      </c>
      <c r="C272" s="2">
        <v>45660</v>
      </c>
      <c r="D272" s="2" t="str">
        <f>CHOOSE(MONTH(branches[[#This Row],[Дата]]),"Январь","Февраль","Март","Апрель","Май","Июнь","Июль","Август","Сентябрь","Октябрь","Ноябрь","Декабрь")&amp;" "&amp;YEAR(branches[[#This Row],[Дата]])</f>
        <v>Январь 2025</v>
      </c>
      <c r="E272" t="s">
        <v>18</v>
      </c>
      <c r="F272" t="s">
        <v>12</v>
      </c>
      <c r="G272">
        <v>1</v>
      </c>
      <c r="H272">
        <v>152</v>
      </c>
      <c r="I272" t="s">
        <v>15</v>
      </c>
      <c r="J272" t="str">
        <f>_xlfn.XLOOKUP(branches[[#This Row],[Филиал]], tbl_Filialy[Филиал], tbl_Filialy[Менеджер])</f>
        <v>Сергей Мельников</v>
      </c>
    </row>
    <row r="273" spans="1:10" x14ac:dyDescent="0.3">
      <c r="A273" t="str">
        <f>_xlfn.XLOOKUP(branches[[#This Row],[Филиал]], tbl_Filialy[Филиал], tbl_Filialy[Город])</f>
        <v>Екатеринбург</v>
      </c>
      <c r="B273" s="1" t="s">
        <v>7</v>
      </c>
      <c r="C273" s="2">
        <v>45725</v>
      </c>
      <c r="D273" s="2" t="str">
        <f>CHOOSE(MONTH(branches[[#This Row],[Дата]]),"Январь","Февраль","Март","Апрель","Май","Июнь","Июль","Август","Сентябрь","Октябрь","Ноябрь","Декабрь")&amp;" "&amp;YEAR(branches[[#This Row],[Дата]])</f>
        <v>Март 2025</v>
      </c>
      <c r="E273" t="s">
        <v>22</v>
      </c>
      <c r="F273" t="s">
        <v>9</v>
      </c>
      <c r="G273">
        <v>3</v>
      </c>
      <c r="H273">
        <v>552</v>
      </c>
      <c r="I273" t="s">
        <v>13</v>
      </c>
      <c r="J273" t="str">
        <f>_xlfn.XLOOKUP(branches[[#This Row],[Филиал]], tbl_Filialy[Филиал], tbl_Filialy[Менеджер])</f>
        <v>Сергей Мельников</v>
      </c>
    </row>
    <row r="274" spans="1:10" x14ac:dyDescent="0.3">
      <c r="A274" t="str">
        <f>_xlfn.XLOOKUP(branches[[#This Row],[Филиал]], tbl_Filialy[Филиал], tbl_Filialy[Город])</f>
        <v>Екатеринбург</v>
      </c>
      <c r="B274" s="1" t="s">
        <v>7</v>
      </c>
      <c r="C274" s="2">
        <v>45962</v>
      </c>
      <c r="D274" s="2" t="str">
        <f>CHOOSE(MONTH(branches[[#This Row],[Дата]]),"Январь","Февраль","Март","Апрель","Май","Июнь","Июль","Август","Сентябрь","Октябрь","Ноябрь","Декабрь")&amp;" "&amp;YEAR(branches[[#This Row],[Дата]])</f>
        <v>Ноябрь 2025</v>
      </c>
      <c r="E274" t="s">
        <v>11</v>
      </c>
      <c r="F274" t="s">
        <v>12</v>
      </c>
      <c r="G274">
        <v>1</v>
      </c>
      <c r="H274">
        <v>176</v>
      </c>
      <c r="I274" t="s">
        <v>21</v>
      </c>
      <c r="J274" t="str">
        <f>_xlfn.XLOOKUP(branches[[#This Row],[Филиал]], tbl_Filialy[Филиал], tbl_Filialy[Менеджер])</f>
        <v>Сергей Мельников</v>
      </c>
    </row>
    <row r="275" spans="1:10" x14ac:dyDescent="0.3">
      <c r="A275" t="str">
        <f>_xlfn.XLOOKUP(branches[[#This Row],[Филиал]], tbl_Filialy[Филиал], tbl_Filialy[Город])</f>
        <v>Екатеринбург</v>
      </c>
      <c r="B275" s="1" t="s">
        <v>7</v>
      </c>
      <c r="C275" s="2">
        <v>45759</v>
      </c>
      <c r="D275" s="2" t="str">
        <f>CHOOSE(MONTH(branches[[#This Row],[Дата]]),"Январь","Февраль","Март","Апрель","Май","Июнь","Июль","Август","Сентябрь","Октябрь","Ноябрь","Декабрь")&amp;" "&amp;YEAR(branches[[#This Row],[Дата]])</f>
        <v>Апрель 2025</v>
      </c>
      <c r="E275" t="s">
        <v>22</v>
      </c>
      <c r="F275" t="s">
        <v>9</v>
      </c>
      <c r="G275">
        <v>1</v>
      </c>
      <c r="H275">
        <v>179</v>
      </c>
      <c r="I275" t="s">
        <v>23</v>
      </c>
      <c r="J275" t="str">
        <f>_xlfn.XLOOKUP(branches[[#This Row],[Филиал]], tbl_Filialy[Филиал], tbl_Filialy[Менеджер])</f>
        <v>Сергей Мельников</v>
      </c>
    </row>
    <row r="276" spans="1:10" x14ac:dyDescent="0.3">
      <c r="A276" t="str">
        <f>_xlfn.XLOOKUP(branches[[#This Row],[Филиал]], tbl_Filialy[Филиал], tbl_Filialy[Город])</f>
        <v>Екатеринбург</v>
      </c>
      <c r="B276" s="1" t="s">
        <v>7</v>
      </c>
      <c r="C276" s="2">
        <v>45934</v>
      </c>
      <c r="D276" s="2" t="str">
        <f>CHOOSE(MONTH(branches[[#This Row],[Дата]]),"Январь","Февраль","Март","Апрель","Май","Июнь","Июль","Август","Сентябрь","Октябрь","Ноябрь","Декабрь")&amp;" "&amp;YEAR(branches[[#This Row],[Дата]])</f>
        <v>Октябрь 2025</v>
      </c>
      <c r="E276" t="s">
        <v>27</v>
      </c>
      <c r="F276" t="s">
        <v>12</v>
      </c>
      <c r="G276">
        <v>1</v>
      </c>
      <c r="H276">
        <v>206</v>
      </c>
      <c r="I276" t="s">
        <v>23</v>
      </c>
      <c r="J276" t="str">
        <f>_xlfn.XLOOKUP(branches[[#This Row],[Филиал]], tbl_Filialy[Филиал], tbl_Filialy[Менеджер])</f>
        <v>Сергей Мельников</v>
      </c>
    </row>
    <row r="277" spans="1:10" x14ac:dyDescent="0.3">
      <c r="A277" t="str">
        <f>_xlfn.XLOOKUP(branches[[#This Row],[Филиал]], tbl_Filialy[Филиал], tbl_Filialy[Город])</f>
        <v>Екатеринбург</v>
      </c>
      <c r="B277" s="1" t="s">
        <v>7</v>
      </c>
      <c r="C277" s="2">
        <v>45892</v>
      </c>
      <c r="D277" s="2" t="str">
        <f>CHOOSE(MONTH(branches[[#This Row],[Дата]]),"Январь","Февраль","Март","Апрель","Май","Июнь","Июль","Август","Сентябрь","Октябрь","Ноябрь","Декабрь")&amp;" "&amp;YEAR(branches[[#This Row],[Дата]])</f>
        <v>Август 2025</v>
      </c>
      <c r="E277" t="s">
        <v>26</v>
      </c>
      <c r="F277" t="s">
        <v>9</v>
      </c>
      <c r="G277">
        <v>2</v>
      </c>
      <c r="H277">
        <v>396</v>
      </c>
      <c r="I277" t="s">
        <v>13</v>
      </c>
      <c r="J277" t="str">
        <f>_xlfn.XLOOKUP(branches[[#This Row],[Филиал]], tbl_Filialy[Филиал], tbl_Filialy[Менеджер])</f>
        <v>Сергей Мельников</v>
      </c>
    </row>
    <row r="278" spans="1:10" x14ac:dyDescent="0.3">
      <c r="A278" t="str">
        <f>_xlfn.XLOOKUP(branches[[#This Row],[Филиал]], tbl_Filialy[Филиал], tbl_Filialy[Город])</f>
        <v>Екатеринбург</v>
      </c>
      <c r="B278" s="1" t="s">
        <v>7</v>
      </c>
      <c r="C278" s="2">
        <v>45978</v>
      </c>
      <c r="D278" s="2" t="str">
        <f>CHOOSE(MONTH(branches[[#This Row],[Дата]]),"Январь","Февраль","Март","Апрель","Май","Июнь","Июль","Август","Сентябрь","Октябрь","Ноябрь","Декабрь")&amp;" "&amp;YEAR(branches[[#This Row],[Дата]])</f>
        <v>Ноябрь 2025</v>
      </c>
      <c r="E278" t="s">
        <v>14</v>
      </c>
      <c r="F278" t="s">
        <v>12</v>
      </c>
      <c r="G278">
        <v>3</v>
      </c>
      <c r="H278">
        <v>753</v>
      </c>
      <c r="I278" t="s">
        <v>13</v>
      </c>
      <c r="J278" t="str">
        <f>_xlfn.XLOOKUP(branches[[#This Row],[Филиал]], tbl_Filialy[Филиал], tbl_Filialy[Менеджер])</f>
        <v>Сергей Мельников</v>
      </c>
    </row>
    <row r="279" spans="1:10" x14ac:dyDescent="0.3">
      <c r="A279" t="str">
        <f>_xlfn.XLOOKUP(branches[[#This Row],[Филиал]], tbl_Filialy[Филиал], tbl_Filialy[Город])</f>
        <v>Екатеринбург</v>
      </c>
      <c r="B279" s="1" t="s">
        <v>7</v>
      </c>
      <c r="C279" s="2">
        <v>45998</v>
      </c>
      <c r="D279" s="2" t="str">
        <f>CHOOSE(MONTH(branches[[#This Row],[Дата]]),"Январь","Февраль","Март","Апрель","Май","Июнь","Июль","Август","Сентябрь","Октябрь","Ноябрь","Декабрь")&amp;" "&amp;YEAR(branches[[#This Row],[Дата]])</f>
        <v>Декабрь 2025</v>
      </c>
      <c r="E279" t="s">
        <v>25</v>
      </c>
      <c r="F279" t="s">
        <v>12</v>
      </c>
      <c r="G279">
        <v>1</v>
      </c>
      <c r="H279">
        <v>214</v>
      </c>
      <c r="I279" t="s">
        <v>23</v>
      </c>
      <c r="J279" t="str">
        <f>_xlfn.XLOOKUP(branches[[#This Row],[Филиал]], tbl_Filialy[Филиал], tbl_Filialy[Менеджер])</f>
        <v>Сергей Мельников</v>
      </c>
    </row>
    <row r="280" spans="1:10" x14ac:dyDescent="0.3">
      <c r="A280" t="str">
        <f>_xlfn.XLOOKUP(branches[[#This Row],[Филиал]], tbl_Filialy[Филиал], tbl_Filialy[Город])</f>
        <v>Екатеринбург</v>
      </c>
      <c r="B280" s="1" t="s">
        <v>7</v>
      </c>
      <c r="C280" s="2">
        <v>45944</v>
      </c>
      <c r="D280" s="2" t="str">
        <f>CHOOSE(MONTH(branches[[#This Row],[Дата]]),"Январь","Февраль","Март","Апрель","Май","Июнь","Июль","Август","Сентябрь","Октябрь","Ноябрь","Декабрь")&amp;" "&amp;YEAR(branches[[#This Row],[Дата]])</f>
        <v>Октябрь 2025</v>
      </c>
      <c r="E280" t="s">
        <v>28</v>
      </c>
      <c r="F280" t="s">
        <v>12</v>
      </c>
      <c r="G280">
        <v>2</v>
      </c>
      <c r="H280">
        <v>448</v>
      </c>
      <c r="I280" t="s">
        <v>21</v>
      </c>
      <c r="J280" t="str">
        <f>_xlfn.XLOOKUP(branches[[#This Row],[Филиал]], tbl_Filialy[Филиал], tbl_Filialy[Менеджер])</f>
        <v>Сергей Мельников</v>
      </c>
    </row>
    <row r="281" spans="1:10" x14ac:dyDescent="0.3">
      <c r="A281" t="str">
        <f>_xlfn.XLOOKUP(branches[[#This Row],[Филиал]], tbl_Filialy[Филиал], tbl_Filialy[Город])</f>
        <v>Екатеринбург</v>
      </c>
      <c r="B281" s="1" t="s">
        <v>7</v>
      </c>
      <c r="C281" s="2">
        <v>45820</v>
      </c>
      <c r="D281" s="2" t="str">
        <f>CHOOSE(MONTH(branches[[#This Row],[Дата]]),"Январь","Февраль","Март","Апрель","Май","Июнь","Июль","Август","Сентябрь","Октябрь","Ноябрь","Декабрь")&amp;" "&amp;YEAR(branches[[#This Row],[Дата]])</f>
        <v>Июнь 2025</v>
      </c>
      <c r="E281" t="s">
        <v>24</v>
      </c>
      <c r="F281" t="s">
        <v>17</v>
      </c>
      <c r="G281">
        <v>1</v>
      </c>
      <c r="H281">
        <v>365</v>
      </c>
      <c r="I281" t="s">
        <v>23</v>
      </c>
      <c r="J281" t="str">
        <f>_xlfn.XLOOKUP(branches[[#This Row],[Филиал]], tbl_Filialy[Филиал], tbl_Filialy[Менеджер])</f>
        <v>Сергей Мельников</v>
      </c>
    </row>
    <row r="282" spans="1:10" x14ac:dyDescent="0.3">
      <c r="A282" t="str">
        <f>_xlfn.XLOOKUP(branches[[#This Row],[Филиал]], tbl_Filialy[Филиал], tbl_Filialy[Город])</f>
        <v>Екатеринбург</v>
      </c>
      <c r="B282" s="1" t="s">
        <v>7</v>
      </c>
      <c r="C282" s="2">
        <v>45951</v>
      </c>
      <c r="D282" s="2" t="str">
        <f>CHOOSE(MONTH(branches[[#This Row],[Дата]]),"Январь","Февраль","Март","Апрель","Май","Июнь","Июль","Август","Сентябрь","Октябрь","Ноябрь","Декабрь")&amp;" "&amp;YEAR(branches[[#This Row],[Дата]])</f>
        <v>Октябрь 2025</v>
      </c>
      <c r="E282" t="s">
        <v>20</v>
      </c>
      <c r="F282" t="s">
        <v>12</v>
      </c>
      <c r="G282">
        <v>3</v>
      </c>
      <c r="H282">
        <v>945</v>
      </c>
      <c r="I282" t="s">
        <v>10</v>
      </c>
      <c r="J282" t="str">
        <f>_xlfn.XLOOKUP(branches[[#This Row],[Филиал]], tbl_Filialy[Филиал], tbl_Filialy[Менеджер])</f>
        <v>Сергей Мельников</v>
      </c>
    </row>
    <row r="283" spans="1:10" x14ac:dyDescent="0.3">
      <c r="A283" t="str">
        <f>_xlfn.XLOOKUP(branches[[#This Row],[Филиал]], tbl_Filialy[Филиал], tbl_Filialy[Город])</f>
        <v>Екатеринбург</v>
      </c>
      <c r="B283" s="1" t="s">
        <v>7</v>
      </c>
      <c r="C283" s="2">
        <v>45701</v>
      </c>
      <c r="D283" s="2" t="str">
        <f>CHOOSE(MONTH(branches[[#This Row],[Дата]]),"Январь","Февраль","Март","Апрель","Май","Июнь","Июль","Август","Сентябрь","Октябрь","Ноябрь","Декабрь")&amp;" "&amp;YEAR(branches[[#This Row],[Дата]])</f>
        <v>Февраль 2025</v>
      </c>
      <c r="E283" t="s">
        <v>11</v>
      </c>
      <c r="F283" t="s">
        <v>12</v>
      </c>
      <c r="G283">
        <v>2</v>
      </c>
      <c r="H283">
        <v>382</v>
      </c>
      <c r="I283" t="s">
        <v>10</v>
      </c>
      <c r="J283" t="str">
        <f>_xlfn.XLOOKUP(branches[[#This Row],[Филиал]], tbl_Filialy[Филиал], tbl_Filialy[Менеджер])</f>
        <v>Сергей Мельников</v>
      </c>
    </row>
    <row r="284" spans="1:10" x14ac:dyDescent="0.3">
      <c r="A284" t="str">
        <f>_xlfn.XLOOKUP(branches[[#This Row],[Филиал]], tbl_Filialy[Филиал], tbl_Filialy[Город])</f>
        <v>Екатеринбург</v>
      </c>
      <c r="B284" s="1" t="s">
        <v>7</v>
      </c>
      <c r="C284" s="2">
        <v>45937</v>
      </c>
      <c r="D284" s="2" t="str">
        <f>CHOOSE(MONTH(branches[[#This Row],[Дата]]),"Январь","Февраль","Март","Апрель","Май","Июнь","Июль","Август","Сентябрь","Октябрь","Ноябрь","Декабрь")&amp;" "&amp;YEAR(branches[[#This Row],[Дата]])</f>
        <v>Октябрь 2025</v>
      </c>
      <c r="E284" t="s">
        <v>27</v>
      </c>
      <c r="F284" t="s">
        <v>12</v>
      </c>
      <c r="G284">
        <v>3</v>
      </c>
      <c r="H284">
        <v>603</v>
      </c>
      <c r="I284" t="s">
        <v>15</v>
      </c>
      <c r="J284" t="str">
        <f>_xlfn.XLOOKUP(branches[[#This Row],[Филиал]], tbl_Filialy[Филиал], tbl_Filialy[Менеджер])</f>
        <v>Сергей Мельников</v>
      </c>
    </row>
    <row r="285" spans="1:10" x14ac:dyDescent="0.3">
      <c r="A285" t="str">
        <f>_xlfn.XLOOKUP(branches[[#This Row],[Филиал]], tbl_Filialy[Филиал], tbl_Filialy[Город])</f>
        <v>Екатеринбург</v>
      </c>
      <c r="B285" s="1" t="s">
        <v>7</v>
      </c>
      <c r="C285" s="2">
        <v>45919</v>
      </c>
      <c r="D285" s="2" t="str">
        <f>CHOOSE(MONTH(branches[[#This Row],[Дата]]),"Январь","Февраль","Март","Апрель","Май","Июнь","Июль","Август","Сентябрь","Октябрь","Ноябрь","Декабрь")&amp;" "&amp;YEAR(branches[[#This Row],[Дата]])</f>
        <v>Сентябрь 2025</v>
      </c>
      <c r="E285" t="s">
        <v>28</v>
      </c>
      <c r="F285" t="s">
        <v>12</v>
      </c>
      <c r="G285">
        <v>3</v>
      </c>
      <c r="H285">
        <v>726</v>
      </c>
      <c r="I285" t="s">
        <v>19</v>
      </c>
      <c r="J285" t="str">
        <f>_xlfn.XLOOKUP(branches[[#This Row],[Филиал]], tbl_Filialy[Филиал], tbl_Filialy[Менеджер])</f>
        <v>Сергей Мельников</v>
      </c>
    </row>
    <row r="286" spans="1:10" x14ac:dyDescent="0.3">
      <c r="A286" t="str">
        <f>_xlfn.XLOOKUP(branches[[#This Row],[Филиал]], tbl_Filialy[Филиал], tbl_Filialy[Город])</f>
        <v>Екатеринбург</v>
      </c>
      <c r="B286" s="1" t="s">
        <v>7</v>
      </c>
      <c r="C286" s="2">
        <v>46001</v>
      </c>
      <c r="D286" s="2" t="str">
        <f>CHOOSE(MONTH(branches[[#This Row],[Дата]]),"Январь","Февраль","Март","Апрель","Май","Июнь","Июль","Август","Сентябрь","Октябрь","Ноябрь","Декабрь")&amp;" "&amp;YEAR(branches[[#This Row],[Дата]])</f>
        <v>Декабрь 2025</v>
      </c>
      <c r="E286" t="s">
        <v>25</v>
      </c>
      <c r="F286" t="s">
        <v>12</v>
      </c>
      <c r="G286">
        <v>1</v>
      </c>
      <c r="H286">
        <v>202</v>
      </c>
      <c r="I286" t="s">
        <v>15</v>
      </c>
      <c r="J286" t="str">
        <f>_xlfn.XLOOKUP(branches[[#This Row],[Филиал]], tbl_Filialy[Филиал], tbl_Filialy[Менеджер])</f>
        <v>Сергей Мельников</v>
      </c>
    </row>
    <row r="287" spans="1:10" x14ac:dyDescent="0.3">
      <c r="A287" t="str">
        <f>_xlfn.XLOOKUP(branches[[#This Row],[Филиал]], tbl_Filialy[Филиал], tbl_Filialy[Город])</f>
        <v>Екатеринбург</v>
      </c>
      <c r="B287" s="1" t="s">
        <v>7</v>
      </c>
      <c r="C287" s="2">
        <v>46008</v>
      </c>
      <c r="D287" s="2" t="str">
        <f>CHOOSE(MONTH(branches[[#This Row],[Дата]]),"Январь","Февраль","Март","Апрель","Май","Июнь","Июль","Август","Сентябрь","Октябрь","Ноябрь","Декабрь")&amp;" "&amp;YEAR(branches[[#This Row],[Дата]])</f>
        <v>Декабрь 2025</v>
      </c>
      <c r="E287" t="s">
        <v>14</v>
      </c>
      <c r="F287" t="s">
        <v>12</v>
      </c>
      <c r="G287">
        <v>1</v>
      </c>
      <c r="H287">
        <v>267</v>
      </c>
      <c r="I287" t="s">
        <v>29</v>
      </c>
      <c r="J287" t="str">
        <f>_xlfn.XLOOKUP(branches[[#This Row],[Филиал]], tbl_Filialy[Филиал], tbl_Filialy[Менеджер])</f>
        <v>Сергей Мельников</v>
      </c>
    </row>
    <row r="288" spans="1:10" x14ac:dyDescent="0.3">
      <c r="A288" t="str">
        <f>_xlfn.XLOOKUP(branches[[#This Row],[Филиал]], tbl_Filialy[Филиал], tbl_Filialy[Город])</f>
        <v>Екатеринбург</v>
      </c>
      <c r="B288" s="1" t="s">
        <v>7</v>
      </c>
      <c r="C288" s="2">
        <v>46003</v>
      </c>
      <c r="D288" s="2" t="str">
        <f>CHOOSE(MONTH(branches[[#This Row],[Дата]]),"Январь","Февраль","Март","Апрель","Май","Июнь","Июль","Август","Сентябрь","Октябрь","Ноябрь","Декабрь")&amp;" "&amp;YEAR(branches[[#This Row],[Дата]])</f>
        <v>Декабрь 2025</v>
      </c>
      <c r="E288" t="s">
        <v>11</v>
      </c>
      <c r="F288" t="s">
        <v>12</v>
      </c>
      <c r="G288">
        <v>3</v>
      </c>
      <c r="H288">
        <v>462</v>
      </c>
      <c r="I288" t="s">
        <v>13</v>
      </c>
      <c r="J288" t="str">
        <f>_xlfn.XLOOKUP(branches[[#This Row],[Филиал]], tbl_Filialy[Филиал], tbl_Filialy[Менеджер])</f>
        <v>Сергей Мельников</v>
      </c>
    </row>
    <row r="289" spans="1:10" x14ac:dyDescent="0.3">
      <c r="A289" t="str">
        <f>_xlfn.XLOOKUP(branches[[#This Row],[Филиал]], tbl_Filialy[Филиал], tbl_Filialy[Город])</f>
        <v>Екатеринбург</v>
      </c>
      <c r="B289" s="1" t="s">
        <v>7</v>
      </c>
      <c r="C289" s="2">
        <v>46004</v>
      </c>
      <c r="D289" s="2" t="str">
        <f>CHOOSE(MONTH(branches[[#This Row],[Дата]]),"Январь","Февраль","Март","Апрель","Май","Июнь","Июль","Август","Сентябрь","Октябрь","Ноябрь","Декабрь")&amp;" "&amp;YEAR(branches[[#This Row],[Дата]])</f>
        <v>Декабрь 2025</v>
      </c>
      <c r="E289" t="s">
        <v>16</v>
      </c>
      <c r="F289" t="s">
        <v>17</v>
      </c>
      <c r="G289">
        <v>2</v>
      </c>
      <c r="H289">
        <v>668</v>
      </c>
      <c r="I289" t="s">
        <v>23</v>
      </c>
      <c r="J289" t="str">
        <f>_xlfn.XLOOKUP(branches[[#This Row],[Филиал]], tbl_Filialy[Филиал], tbl_Filialy[Менеджер])</f>
        <v>Сергей Мельников</v>
      </c>
    </row>
    <row r="290" spans="1:10" x14ac:dyDescent="0.3">
      <c r="A290" t="str">
        <f>_xlfn.XLOOKUP(branches[[#This Row],[Филиал]], tbl_Filialy[Филиал], tbl_Filialy[Город])</f>
        <v>Екатеринбург</v>
      </c>
      <c r="B290" s="1" t="s">
        <v>7</v>
      </c>
      <c r="C290" s="2">
        <v>45756</v>
      </c>
      <c r="D290" s="2" t="str">
        <f>CHOOSE(MONTH(branches[[#This Row],[Дата]]),"Январь","Февраль","Март","Апрель","Май","Июнь","Июль","Август","Сентябрь","Октябрь","Ноябрь","Декабрь")&amp;" "&amp;YEAR(branches[[#This Row],[Дата]])</f>
        <v>Апрель 2025</v>
      </c>
      <c r="E290" t="s">
        <v>11</v>
      </c>
      <c r="F290" t="s">
        <v>12</v>
      </c>
      <c r="G290">
        <v>2</v>
      </c>
      <c r="H290">
        <v>294</v>
      </c>
      <c r="I290" t="s">
        <v>21</v>
      </c>
      <c r="J290" t="str">
        <f>_xlfn.XLOOKUP(branches[[#This Row],[Филиал]], tbl_Filialy[Филиал], tbl_Filialy[Менеджер])</f>
        <v>Сергей Мельников</v>
      </c>
    </row>
    <row r="291" spans="1:10" x14ac:dyDescent="0.3">
      <c r="A291" t="str">
        <f>_xlfn.XLOOKUP(branches[[#This Row],[Филиал]], tbl_Filialy[Филиал], tbl_Filialy[Город])</f>
        <v>Екатеринбург</v>
      </c>
      <c r="B291" s="1" t="s">
        <v>7</v>
      </c>
      <c r="C291" s="2">
        <v>45943</v>
      </c>
      <c r="D291" s="2" t="str">
        <f>CHOOSE(MONTH(branches[[#This Row],[Дата]]),"Январь","Февраль","Март","Апрель","Май","Июнь","Июль","Август","Сентябрь","Октябрь","Ноябрь","Декабрь")&amp;" "&amp;YEAR(branches[[#This Row],[Дата]])</f>
        <v>Октябрь 2025</v>
      </c>
      <c r="E291" t="s">
        <v>16</v>
      </c>
      <c r="F291" t="s">
        <v>17</v>
      </c>
      <c r="G291">
        <v>2</v>
      </c>
      <c r="H291">
        <v>650</v>
      </c>
      <c r="I291" t="s">
        <v>23</v>
      </c>
      <c r="J291" t="str">
        <f>_xlfn.XLOOKUP(branches[[#This Row],[Филиал]], tbl_Filialy[Филиал], tbl_Filialy[Менеджер])</f>
        <v>Сергей Мельников</v>
      </c>
    </row>
    <row r="292" spans="1:10" x14ac:dyDescent="0.3">
      <c r="A292" t="str">
        <f>_xlfn.XLOOKUP(branches[[#This Row],[Филиал]], tbl_Filialy[Филиал], tbl_Filialy[Город])</f>
        <v>Екатеринбург</v>
      </c>
      <c r="B292" s="1" t="s">
        <v>7</v>
      </c>
      <c r="C292" s="2">
        <v>45926</v>
      </c>
      <c r="D292" s="2" t="str">
        <f>CHOOSE(MONTH(branches[[#This Row],[Дата]]),"Январь","Февраль","Март","Апрель","Май","Июнь","Июль","Август","Сентябрь","Октябрь","Ноябрь","Декабрь")&amp;" "&amp;YEAR(branches[[#This Row],[Дата]])</f>
        <v>Сентябрь 2025</v>
      </c>
      <c r="E292" t="s">
        <v>25</v>
      </c>
      <c r="F292" t="s">
        <v>12</v>
      </c>
      <c r="G292">
        <v>1</v>
      </c>
      <c r="H292">
        <v>230</v>
      </c>
      <c r="I292" t="s">
        <v>19</v>
      </c>
      <c r="J292" t="str">
        <f>_xlfn.XLOOKUP(branches[[#This Row],[Филиал]], tbl_Filialy[Филиал], tbl_Filialy[Менеджер])</f>
        <v>Сергей Мельников</v>
      </c>
    </row>
    <row r="293" spans="1:10" x14ac:dyDescent="0.3">
      <c r="A293" t="str">
        <f>_xlfn.XLOOKUP(branches[[#This Row],[Филиал]], tbl_Filialy[Филиал], tbl_Filialy[Город])</f>
        <v>Екатеринбург</v>
      </c>
      <c r="B293" s="1" t="s">
        <v>7</v>
      </c>
      <c r="C293" s="2">
        <v>45854</v>
      </c>
      <c r="D293" s="2" t="str">
        <f>CHOOSE(MONTH(branches[[#This Row],[Дата]]),"Январь","Февраль","Март","Апрель","Май","Июнь","Июль","Август","Сентябрь","Октябрь","Ноябрь","Декабрь")&amp;" "&amp;YEAR(branches[[#This Row],[Дата]])</f>
        <v>Июль 2025</v>
      </c>
      <c r="E293" t="s">
        <v>27</v>
      </c>
      <c r="F293" t="s">
        <v>12</v>
      </c>
      <c r="G293">
        <v>2</v>
      </c>
      <c r="H293">
        <v>460</v>
      </c>
      <c r="I293" t="s">
        <v>23</v>
      </c>
      <c r="J293" t="str">
        <f>_xlfn.XLOOKUP(branches[[#This Row],[Филиал]], tbl_Filialy[Филиал], tbl_Filialy[Менеджер])</f>
        <v>Сергей Мельников</v>
      </c>
    </row>
    <row r="294" spans="1:10" x14ac:dyDescent="0.3">
      <c r="A294" t="str">
        <f>_xlfn.XLOOKUP(branches[[#This Row],[Филиал]], tbl_Filialy[Филиал], tbl_Filialy[Город])</f>
        <v>Екатеринбург</v>
      </c>
      <c r="B294" s="1" t="s">
        <v>7</v>
      </c>
      <c r="C294" s="2">
        <v>45839</v>
      </c>
      <c r="D294" s="2" t="str">
        <f>CHOOSE(MONTH(branches[[#This Row],[Дата]]),"Январь","Февраль","Март","Апрель","Май","Июнь","Июль","Август","Сентябрь","Октябрь","Ноябрь","Декабрь")&amp;" "&amp;YEAR(branches[[#This Row],[Дата]])</f>
        <v>Июль 2025</v>
      </c>
      <c r="E294" t="s">
        <v>20</v>
      </c>
      <c r="F294" t="s">
        <v>12</v>
      </c>
      <c r="G294">
        <v>1</v>
      </c>
      <c r="H294">
        <v>284</v>
      </c>
      <c r="I294" t="s">
        <v>10</v>
      </c>
      <c r="J294" t="str">
        <f>_xlfn.XLOOKUP(branches[[#This Row],[Филиал]], tbl_Filialy[Филиал], tbl_Filialy[Менеджер])</f>
        <v>Сергей Мельников</v>
      </c>
    </row>
    <row r="295" spans="1:10" x14ac:dyDescent="0.3">
      <c r="A295" t="str">
        <f>_xlfn.XLOOKUP(branches[[#This Row],[Филиал]], tbl_Filialy[Филиал], tbl_Filialy[Город])</f>
        <v>Екатеринбург</v>
      </c>
      <c r="B295" s="1" t="s">
        <v>7</v>
      </c>
      <c r="C295" s="2">
        <v>45967</v>
      </c>
      <c r="D295" s="2" t="str">
        <f>CHOOSE(MONTH(branches[[#This Row],[Дата]]),"Январь","Февраль","Март","Апрель","Май","Июнь","Июль","Август","Сентябрь","Октябрь","Ноябрь","Декабрь")&amp;" "&amp;YEAR(branches[[#This Row],[Дата]])</f>
        <v>Ноябрь 2025</v>
      </c>
      <c r="E295" t="s">
        <v>25</v>
      </c>
      <c r="F295" t="s">
        <v>12</v>
      </c>
      <c r="G295">
        <v>1</v>
      </c>
      <c r="H295">
        <v>196</v>
      </c>
      <c r="I295" t="s">
        <v>10</v>
      </c>
      <c r="J295" t="str">
        <f>_xlfn.XLOOKUP(branches[[#This Row],[Филиал]], tbl_Filialy[Филиал], tbl_Filialy[Менеджер])</f>
        <v>Сергей Мельников</v>
      </c>
    </row>
    <row r="296" spans="1:10" x14ac:dyDescent="0.3">
      <c r="A296" t="str">
        <f>_xlfn.XLOOKUP(branches[[#This Row],[Филиал]], tbl_Filialy[Филиал], tbl_Filialy[Город])</f>
        <v>Екатеринбург</v>
      </c>
      <c r="B296" s="1" t="s">
        <v>7</v>
      </c>
      <c r="C296" s="2">
        <v>45684</v>
      </c>
      <c r="D296" s="2" t="str">
        <f>CHOOSE(MONTH(branches[[#This Row],[Дата]]),"Январь","Февраль","Март","Апрель","Май","Июнь","Июль","Август","Сентябрь","Октябрь","Ноябрь","Декабрь")&amp;" "&amp;YEAR(branches[[#This Row],[Дата]])</f>
        <v>Январь 2025</v>
      </c>
      <c r="E296" t="s">
        <v>14</v>
      </c>
      <c r="F296" t="s">
        <v>12</v>
      </c>
      <c r="G296">
        <v>1</v>
      </c>
      <c r="H296">
        <v>240</v>
      </c>
      <c r="I296" t="s">
        <v>15</v>
      </c>
      <c r="J296" t="str">
        <f>_xlfn.XLOOKUP(branches[[#This Row],[Филиал]], tbl_Filialy[Филиал], tbl_Filialy[Менеджер])</f>
        <v>Сергей Мельников</v>
      </c>
    </row>
    <row r="297" spans="1:10" x14ac:dyDescent="0.3">
      <c r="A297" t="str">
        <f>_xlfn.XLOOKUP(branches[[#This Row],[Филиал]], tbl_Filialy[Филиал], tbl_Filialy[Город])</f>
        <v>Екатеринбург</v>
      </c>
      <c r="B297" s="1" t="s">
        <v>7</v>
      </c>
      <c r="C297" s="2">
        <v>45759</v>
      </c>
      <c r="D297" s="2" t="str">
        <f>CHOOSE(MONTH(branches[[#This Row],[Дата]]),"Январь","Февраль","Март","Апрель","Май","Июнь","Июль","Август","Сентябрь","Октябрь","Ноябрь","Декабрь")&amp;" "&amp;YEAR(branches[[#This Row],[Дата]])</f>
        <v>Апрель 2025</v>
      </c>
      <c r="E297" t="s">
        <v>22</v>
      </c>
      <c r="F297" t="s">
        <v>9</v>
      </c>
      <c r="G297">
        <v>1</v>
      </c>
      <c r="H297">
        <v>188</v>
      </c>
      <c r="I297" t="s">
        <v>15</v>
      </c>
      <c r="J297" t="str">
        <f>_xlfn.XLOOKUP(branches[[#This Row],[Филиал]], tbl_Filialy[Филиал], tbl_Filialy[Менеджер])</f>
        <v>Сергей Мельников</v>
      </c>
    </row>
    <row r="298" spans="1:10" x14ac:dyDescent="0.3">
      <c r="A298" t="str">
        <f>_xlfn.XLOOKUP(branches[[#This Row],[Филиал]], tbl_Filialy[Филиал], tbl_Filialy[Город])</f>
        <v>Екатеринбург</v>
      </c>
      <c r="B298" s="1" t="s">
        <v>7</v>
      </c>
      <c r="C298" s="2">
        <v>45720</v>
      </c>
      <c r="D298" s="2" t="str">
        <f>CHOOSE(MONTH(branches[[#This Row],[Дата]]),"Январь","Февраль","Март","Апрель","Май","Июнь","Июль","Август","Сентябрь","Октябрь","Ноябрь","Декабрь")&amp;" "&amp;YEAR(branches[[#This Row],[Дата]])</f>
        <v>Март 2025</v>
      </c>
      <c r="E298" t="s">
        <v>18</v>
      </c>
      <c r="F298" t="s">
        <v>12</v>
      </c>
      <c r="G298">
        <v>1</v>
      </c>
      <c r="H298">
        <v>120</v>
      </c>
      <c r="I298" t="s">
        <v>15</v>
      </c>
      <c r="J298" t="str">
        <f>_xlfn.XLOOKUP(branches[[#This Row],[Филиал]], tbl_Filialy[Филиал], tbl_Filialy[Менеджер])</f>
        <v>Сергей Мельников</v>
      </c>
    </row>
    <row r="299" spans="1:10" x14ac:dyDescent="0.3">
      <c r="A299" t="str">
        <f>_xlfn.XLOOKUP(branches[[#This Row],[Филиал]], tbl_Filialy[Филиал], tbl_Filialy[Город])</f>
        <v>Екатеринбург</v>
      </c>
      <c r="B299" s="1" t="s">
        <v>7</v>
      </c>
      <c r="C299" s="2">
        <v>45945</v>
      </c>
      <c r="D299" s="2" t="str">
        <f>CHOOSE(MONTH(branches[[#This Row],[Дата]]),"Январь","Февраль","Март","Апрель","Май","Июнь","Июль","Август","Сентябрь","Октябрь","Ноябрь","Декабрь")&amp;" "&amp;YEAR(branches[[#This Row],[Дата]])</f>
        <v>Октябрь 2025</v>
      </c>
      <c r="E299" t="s">
        <v>26</v>
      </c>
      <c r="F299" t="s">
        <v>9</v>
      </c>
      <c r="G299">
        <v>2</v>
      </c>
      <c r="H299">
        <v>450</v>
      </c>
      <c r="I299" t="s">
        <v>13</v>
      </c>
      <c r="J299" t="str">
        <f>_xlfn.XLOOKUP(branches[[#This Row],[Филиал]], tbl_Filialy[Филиал], tbl_Filialy[Менеджер])</f>
        <v>Сергей Мельников</v>
      </c>
    </row>
    <row r="300" spans="1:10" x14ac:dyDescent="0.3">
      <c r="A300" t="str">
        <f>_xlfn.XLOOKUP(branches[[#This Row],[Филиал]], tbl_Filialy[Филиал], tbl_Filialy[Город])</f>
        <v>Екатеринбург</v>
      </c>
      <c r="B300" s="1" t="s">
        <v>7</v>
      </c>
      <c r="C300" s="2">
        <v>45664</v>
      </c>
      <c r="D300" s="2" t="str">
        <f>CHOOSE(MONTH(branches[[#This Row],[Дата]]),"Январь","Февраль","Март","Апрель","Май","Июнь","Июль","Август","Сентябрь","Октябрь","Ноябрь","Декабрь")&amp;" "&amp;YEAR(branches[[#This Row],[Дата]])</f>
        <v>Январь 2025</v>
      </c>
      <c r="E300" t="s">
        <v>26</v>
      </c>
      <c r="F300" t="s">
        <v>9</v>
      </c>
      <c r="G300">
        <v>2</v>
      </c>
      <c r="H300">
        <v>450</v>
      </c>
      <c r="I300" t="s">
        <v>10</v>
      </c>
      <c r="J300" t="str">
        <f>_xlfn.XLOOKUP(branches[[#This Row],[Филиал]], tbl_Filialy[Филиал], tbl_Filialy[Менеджер])</f>
        <v>Сергей Мельников</v>
      </c>
    </row>
    <row r="301" spans="1:10" x14ac:dyDescent="0.3">
      <c r="A301" t="str">
        <f>_xlfn.XLOOKUP(branches[[#This Row],[Филиал]], tbl_Filialy[Филиал], tbl_Filialy[Город])</f>
        <v>Екатеринбург</v>
      </c>
      <c r="B301" s="1" t="s">
        <v>7</v>
      </c>
      <c r="C301" s="2">
        <v>45835</v>
      </c>
      <c r="D301" s="2" t="str">
        <f>CHOOSE(MONTH(branches[[#This Row],[Дата]]),"Январь","Февраль","Март","Апрель","Май","Июнь","Июль","Август","Сентябрь","Октябрь","Ноябрь","Декабрь")&amp;" "&amp;YEAR(branches[[#This Row],[Дата]])</f>
        <v>Июнь 2025</v>
      </c>
      <c r="E301" t="s">
        <v>25</v>
      </c>
      <c r="F301" t="s">
        <v>12</v>
      </c>
      <c r="G301">
        <v>3</v>
      </c>
      <c r="H301">
        <v>720</v>
      </c>
      <c r="I301" t="s">
        <v>23</v>
      </c>
      <c r="J301" t="str">
        <f>_xlfn.XLOOKUP(branches[[#This Row],[Филиал]], tbl_Filialy[Филиал], tbl_Filialy[Менеджер])</f>
        <v>Сергей Мельников</v>
      </c>
    </row>
    <row r="302" spans="1:10" x14ac:dyDescent="0.3">
      <c r="A302" t="str">
        <f>_xlfn.XLOOKUP(branches[[#This Row],[Филиал]], tbl_Filialy[Филиал], tbl_Filialy[Город])</f>
        <v>Екатеринбург</v>
      </c>
      <c r="B302" s="1" t="s">
        <v>7</v>
      </c>
      <c r="C302" s="2">
        <v>45931</v>
      </c>
      <c r="D302" s="2" t="str">
        <f>CHOOSE(MONTH(branches[[#This Row],[Дата]]),"Январь","Февраль","Март","Апрель","Май","Июнь","Июль","Август","Сентябрь","Октябрь","Ноябрь","Декабрь")&amp;" "&amp;YEAR(branches[[#This Row],[Дата]])</f>
        <v>Октябрь 2025</v>
      </c>
      <c r="E302" t="s">
        <v>26</v>
      </c>
      <c r="F302" t="s">
        <v>9</v>
      </c>
      <c r="G302">
        <v>1</v>
      </c>
      <c r="H302">
        <v>203</v>
      </c>
      <c r="I302" t="s">
        <v>13</v>
      </c>
      <c r="J302" t="str">
        <f>_xlfn.XLOOKUP(branches[[#This Row],[Филиал]], tbl_Filialy[Филиал], tbl_Filialy[Менеджер])</f>
        <v>Сергей Мельников</v>
      </c>
    </row>
    <row r="303" spans="1:10" x14ac:dyDescent="0.3">
      <c r="A303" t="str">
        <f>_xlfn.XLOOKUP(branches[[#This Row],[Филиал]], tbl_Filialy[Филиал], tbl_Filialy[Город])</f>
        <v>Екатеринбург</v>
      </c>
      <c r="B303" s="1" t="s">
        <v>7</v>
      </c>
      <c r="C303" s="2">
        <v>45677</v>
      </c>
      <c r="D303" s="2" t="str">
        <f>CHOOSE(MONTH(branches[[#This Row],[Дата]]),"Январь","Февраль","Март","Апрель","Май","Июнь","Июль","Август","Сентябрь","Октябрь","Ноябрь","Декабрь")&amp;" "&amp;YEAR(branches[[#This Row],[Дата]])</f>
        <v>Январь 2025</v>
      </c>
      <c r="E303" t="s">
        <v>16</v>
      </c>
      <c r="F303" t="s">
        <v>17</v>
      </c>
      <c r="G303">
        <v>2</v>
      </c>
      <c r="H303">
        <v>656</v>
      </c>
      <c r="I303" t="s">
        <v>23</v>
      </c>
      <c r="J303" t="str">
        <f>_xlfn.XLOOKUP(branches[[#This Row],[Филиал]], tbl_Filialy[Филиал], tbl_Filialy[Менеджер])</f>
        <v>Сергей Мельников</v>
      </c>
    </row>
    <row r="304" spans="1:10" x14ac:dyDescent="0.3">
      <c r="A304" t="str">
        <f>_xlfn.XLOOKUP(branches[[#This Row],[Филиал]], tbl_Filialy[Филиал], tbl_Filialy[Город])</f>
        <v>Екатеринбург</v>
      </c>
      <c r="B304" s="1" t="s">
        <v>7</v>
      </c>
      <c r="C304" s="2">
        <v>45802</v>
      </c>
      <c r="D304" s="2" t="str">
        <f>CHOOSE(MONTH(branches[[#This Row],[Дата]]),"Январь","Февраль","Март","Апрель","Май","Июнь","Июль","Август","Сентябрь","Октябрь","Ноябрь","Декабрь")&amp;" "&amp;YEAR(branches[[#This Row],[Дата]])</f>
        <v>Май 2025</v>
      </c>
      <c r="E304" t="s">
        <v>8</v>
      </c>
      <c r="F304" t="s">
        <v>9</v>
      </c>
      <c r="G304">
        <v>3</v>
      </c>
      <c r="H304">
        <v>825</v>
      </c>
      <c r="I304" t="s">
        <v>19</v>
      </c>
      <c r="J304" t="str">
        <f>_xlfn.XLOOKUP(branches[[#This Row],[Филиал]], tbl_Filialy[Филиал], tbl_Filialy[Менеджер])</f>
        <v>Сергей Мельников</v>
      </c>
    </row>
    <row r="305" spans="1:10" x14ac:dyDescent="0.3">
      <c r="A305" t="str">
        <f>_xlfn.XLOOKUP(branches[[#This Row],[Филиал]], tbl_Filialy[Филиал], tbl_Filialy[Город])</f>
        <v>Екатеринбург</v>
      </c>
      <c r="B305" s="1" t="s">
        <v>7</v>
      </c>
      <c r="C305" s="2">
        <v>45787</v>
      </c>
      <c r="D305" s="2" t="str">
        <f>CHOOSE(MONTH(branches[[#This Row],[Дата]]),"Январь","Февраль","Март","Апрель","Май","Июнь","Июль","Август","Сентябрь","Октябрь","Ноябрь","Декабрь")&amp;" "&amp;YEAR(branches[[#This Row],[Дата]])</f>
        <v>Май 2025</v>
      </c>
      <c r="E305" t="s">
        <v>27</v>
      </c>
      <c r="F305" t="s">
        <v>12</v>
      </c>
      <c r="G305">
        <v>2</v>
      </c>
      <c r="H305">
        <v>390</v>
      </c>
      <c r="I305" t="s">
        <v>23</v>
      </c>
      <c r="J305" t="str">
        <f>_xlfn.XLOOKUP(branches[[#This Row],[Филиал]], tbl_Filialy[Филиал], tbl_Filialy[Менеджер])</f>
        <v>Сергей Мельников</v>
      </c>
    </row>
    <row r="306" spans="1:10" x14ac:dyDescent="0.3">
      <c r="A306" t="str">
        <f>_xlfn.XLOOKUP(branches[[#This Row],[Филиал]], tbl_Filialy[Филиал], tbl_Filialy[Город])</f>
        <v>Екатеринбург</v>
      </c>
      <c r="B306" s="1" t="s">
        <v>7</v>
      </c>
      <c r="C306" s="2">
        <v>45965</v>
      </c>
      <c r="D306" s="2" t="str">
        <f>CHOOSE(MONTH(branches[[#This Row],[Дата]]),"Январь","Февраль","Март","Апрель","Май","Июнь","Июль","Август","Сентябрь","Октябрь","Ноябрь","Декабрь")&amp;" "&amp;YEAR(branches[[#This Row],[Дата]])</f>
        <v>Ноябрь 2025</v>
      </c>
      <c r="E306" t="s">
        <v>22</v>
      </c>
      <c r="F306" t="s">
        <v>9</v>
      </c>
      <c r="G306">
        <v>2</v>
      </c>
      <c r="H306">
        <v>374</v>
      </c>
      <c r="I306" t="s">
        <v>13</v>
      </c>
      <c r="J306" t="str">
        <f>_xlfn.XLOOKUP(branches[[#This Row],[Филиал]], tbl_Filialy[Филиал], tbl_Filialy[Менеджер])</f>
        <v>Сергей Мельников</v>
      </c>
    </row>
    <row r="307" spans="1:10" x14ac:dyDescent="0.3">
      <c r="A307" t="str">
        <f>_xlfn.XLOOKUP(branches[[#This Row],[Филиал]], tbl_Filialy[Филиал], tbl_Filialy[Город])</f>
        <v>Екатеринбург</v>
      </c>
      <c r="B307" s="1" t="s">
        <v>7</v>
      </c>
      <c r="C307" s="2">
        <v>45967</v>
      </c>
      <c r="D307" s="2" t="str">
        <f>CHOOSE(MONTH(branches[[#This Row],[Дата]]),"Январь","Февраль","Март","Апрель","Май","Июнь","Июль","Август","Сентябрь","Октябрь","Ноябрь","Декабрь")&amp;" "&amp;YEAR(branches[[#This Row],[Дата]])</f>
        <v>Ноябрь 2025</v>
      </c>
      <c r="E307" t="s">
        <v>18</v>
      </c>
      <c r="F307" t="s">
        <v>12</v>
      </c>
      <c r="G307">
        <v>1</v>
      </c>
      <c r="H307">
        <v>149</v>
      </c>
      <c r="I307" t="s">
        <v>10</v>
      </c>
      <c r="J307" t="str">
        <f>_xlfn.XLOOKUP(branches[[#This Row],[Филиал]], tbl_Filialy[Филиал], tbl_Filialy[Менеджер])</f>
        <v>Сергей Мельников</v>
      </c>
    </row>
    <row r="308" spans="1:10" x14ac:dyDescent="0.3">
      <c r="A308" t="str">
        <f>_xlfn.XLOOKUP(branches[[#This Row],[Филиал]], tbl_Filialy[Филиал], tbl_Filialy[Город])</f>
        <v>Екатеринбург</v>
      </c>
      <c r="B308" s="1" t="s">
        <v>7</v>
      </c>
      <c r="C308" s="2">
        <v>46003</v>
      </c>
      <c r="D308" s="2" t="str">
        <f>CHOOSE(MONTH(branches[[#This Row],[Дата]]),"Январь","Февраль","Март","Апрель","Май","Июнь","Июль","Август","Сентябрь","Октябрь","Ноябрь","Декабрь")&amp;" "&amp;YEAR(branches[[#This Row],[Дата]])</f>
        <v>Декабрь 2025</v>
      </c>
      <c r="E308" t="s">
        <v>28</v>
      </c>
      <c r="F308" t="s">
        <v>12</v>
      </c>
      <c r="G308">
        <v>2</v>
      </c>
      <c r="H308">
        <v>462</v>
      </c>
      <c r="I308" t="s">
        <v>13</v>
      </c>
      <c r="J308" t="str">
        <f>_xlfn.XLOOKUP(branches[[#This Row],[Филиал]], tbl_Filialy[Филиал], tbl_Filialy[Менеджер])</f>
        <v>Сергей Мельников</v>
      </c>
    </row>
    <row r="309" spans="1:10" x14ac:dyDescent="0.3">
      <c r="A309" t="str">
        <f>_xlfn.XLOOKUP(branches[[#This Row],[Филиал]], tbl_Filialy[Филиал], tbl_Filialy[Город])</f>
        <v>Екатеринбург</v>
      </c>
      <c r="B309" s="1" t="s">
        <v>7</v>
      </c>
      <c r="C309" s="2">
        <v>45764</v>
      </c>
      <c r="D309" s="2" t="str">
        <f>CHOOSE(MONTH(branches[[#This Row],[Дата]]),"Январь","Февраль","Март","Апрель","Май","Июнь","Июль","Август","Сентябрь","Октябрь","Ноябрь","Декабрь")&amp;" "&amp;YEAR(branches[[#This Row],[Дата]])</f>
        <v>Апрель 2025</v>
      </c>
      <c r="E309" t="s">
        <v>26</v>
      </c>
      <c r="F309" t="s">
        <v>9</v>
      </c>
      <c r="G309">
        <v>1</v>
      </c>
      <c r="H309">
        <v>231</v>
      </c>
      <c r="I309" t="s">
        <v>21</v>
      </c>
      <c r="J309" t="str">
        <f>_xlfn.XLOOKUP(branches[[#This Row],[Филиал]], tbl_Filialy[Филиал], tbl_Filialy[Менеджер])</f>
        <v>Сергей Мельников</v>
      </c>
    </row>
    <row r="310" spans="1:10" x14ac:dyDescent="0.3">
      <c r="A310" t="str">
        <f>_xlfn.XLOOKUP(branches[[#This Row],[Филиал]], tbl_Filialy[Филиал], tbl_Filialy[Город])</f>
        <v>Екатеринбург</v>
      </c>
      <c r="B310" s="1" t="s">
        <v>7</v>
      </c>
      <c r="C310" s="2">
        <v>45993</v>
      </c>
      <c r="D310" s="2" t="str">
        <f>CHOOSE(MONTH(branches[[#This Row],[Дата]]),"Январь","Февраль","Март","Апрель","Май","Июнь","Июль","Август","Сентябрь","Октябрь","Ноябрь","Декабрь")&amp;" "&amp;YEAR(branches[[#This Row],[Дата]])</f>
        <v>Декабрь 2025</v>
      </c>
      <c r="E310" t="s">
        <v>26</v>
      </c>
      <c r="F310" t="s">
        <v>9</v>
      </c>
      <c r="G310">
        <v>2</v>
      </c>
      <c r="H310">
        <v>378</v>
      </c>
      <c r="I310" t="s">
        <v>23</v>
      </c>
      <c r="J310" t="str">
        <f>_xlfn.XLOOKUP(branches[[#This Row],[Филиал]], tbl_Filialy[Филиал], tbl_Filialy[Менеджер])</f>
        <v>Сергей Мельников</v>
      </c>
    </row>
    <row r="311" spans="1:10" x14ac:dyDescent="0.3">
      <c r="A311" t="str">
        <f>_xlfn.XLOOKUP(branches[[#This Row],[Филиал]], tbl_Filialy[Филиал], tbl_Filialy[Город])</f>
        <v>Екатеринбург</v>
      </c>
      <c r="B311" s="1" t="s">
        <v>7</v>
      </c>
      <c r="C311" s="2">
        <v>45724</v>
      </c>
      <c r="D311" s="2" t="str">
        <f>CHOOSE(MONTH(branches[[#This Row],[Дата]]),"Январь","Февраль","Март","Апрель","Май","Июнь","Июль","Август","Сентябрь","Октябрь","Ноябрь","Декабрь")&amp;" "&amp;YEAR(branches[[#This Row],[Дата]])</f>
        <v>Март 2025</v>
      </c>
      <c r="E311" t="s">
        <v>18</v>
      </c>
      <c r="F311" t="s">
        <v>12</v>
      </c>
      <c r="G311">
        <v>1</v>
      </c>
      <c r="H311">
        <v>127</v>
      </c>
      <c r="I311" t="s">
        <v>15</v>
      </c>
      <c r="J311" t="str">
        <f>_xlfn.XLOOKUP(branches[[#This Row],[Филиал]], tbl_Filialy[Филиал], tbl_Filialy[Менеджер])</f>
        <v>Сергей Мельников</v>
      </c>
    </row>
    <row r="312" spans="1:10" x14ac:dyDescent="0.3">
      <c r="A312" t="str">
        <f>_xlfn.XLOOKUP(branches[[#This Row],[Филиал]], tbl_Filialy[Филиал], tbl_Filialy[Город])</f>
        <v>Екатеринбург</v>
      </c>
      <c r="B312" s="1" t="s">
        <v>7</v>
      </c>
      <c r="C312" s="2">
        <v>45853</v>
      </c>
      <c r="D312" s="2" t="str">
        <f>CHOOSE(MONTH(branches[[#This Row],[Дата]]),"Январь","Февраль","Март","Апрель","Май","Июнь","Июль","Август","Сентябрь","Октябрь","Ноябрь","Декабрь")&amp;" "&amp;YEAR(branches[[#This Row],[Дата]])</f>
        <v>Июль 2025</v>
      </c>
      <c r="E312" t="s">
        <v>25</v>
      </c>
      <c r="F312" t="s">
        <v>12</v>
      </c>
      <c r="G312">
        <v>3</v>
      </c>
      <c r="H312">
        <v>648</v>
      </c>
      <c r="I312" t="s">
        <v>13</v>
      </c>
      <c r="J312" t="str">
        <f>_xlfn.XLOOKUP(branches[[#This Row],[Филиал]], tbl_Filialy[Филиал], tbl_Filialy[Менеджер])</f>
        <v>Сергей Мельников</v>
      </c>
    </row>
    <row r="313" spans="1:10" x14ac:dyDescent="0.3">
      <c r="A313" t="str">
        <f>_xlfn.XLOOKUP(branches[[#This Row],[Филиал]], tbl_Filialy[Филиал], tbl_Filialy[Город])</f>
        <v>Екатеринбург</v>
      </c>
      <c r="B313" s="1" t="s">
        <v>7</v>
      </c>
      <c r="C313" s="2">
        <v>45768</v>
      </c>
      <c r="D313" s="2" t="str">
        <f>CHOOSE(MONTH(branches[[#This Row],[Дата]]),"Январь","Февраль","Март","Апрель","Май","Июнь","Июль","Август","Сентябрь","Октябрь","Ноябрь","Декабрь")&amp;" "&amp;YEAR(branches[[#This Row],[Дата]])</f>
        <v>Апрель 2025</v>
      </c>
      <c r="E313" t="s">
        <v>25</v>
      </c>
      <c r="F313" t="s">
        <v>12</v>
      </c>
      <c r="G313">
        <v>1</v>
      </c>
      <c r="H313">
        <v>200</v>
      </c>
      <c r="I313" t="s">
        <v>23</v>
      </c>
      <c r="J313" t="str">
        <f>_xlfn.XLOOKUP(branches[[#This Row],[Филиал]], tbl_Filialy[Филиал], tbl_Filialy[Менеджер])</f>
        <v>Сергей Мельников</v>
      </c>
    </row>
    <row r="314" spans="1:10" x14ac:dyDescent="0.3">
      <c r="A314" t="str">
        <f>_xlfn.XLOOKUP(branches[[#This Row],[Филиал]], tbl_Filialy[Филиал], tbl_Filialy[Город])</f>
        <v>Екатеринбург</v>
      </c>
      <c r="B314" s="1" t="s">
        <v>7</v>
      </c>
      <c r="C314" s="2">
        <v>45927</v>
      </c>
      <c r="D314" s="2" t="str">
        <f>CHOOSE(MONTH(branches[[#This Row],[Дата]]),"Январь","Февраль","Март","Апрель","Май","Июнь","Июль","Август","Сентябрь","Октябрь","Ноябрь","Декабрь")&amp;" "&amp;YEAR(branches[[#This Row],[Дата]])</f>
        <v>Сентябрь 2025</v>
      </c>
      <c r="E314" t="s">
        <v>14</v>
      </c>
      <c r="F314" t="s">
        <v>12</v>
      </c>
      <c r="G314">
        <v>1</v>
      </c>
      <c r="H314">
        <v>264</v>
      </c>
      <c r="I314" t="s">
        <v>21</v>
      </c>
      <c r="J314" t="str">
        <f>_xlfn.XLOOKUP(branches[[#This Row],[Филиал]], tbl_Filialy[Филиал], tbl_Filialy[Менеджер])</f>
        <v>Сергей Мельников</v>
      </c>
    </row>
    <row r="315" spans="1:10" x14ac:dyDescent="0.3">
      <c r="A315" t="str">
        <f>_xlfn.XLOOKUP(branches[[#This Row],[Филиал]], tbl_Filialy[Филиал], tbl_Filialy[Город])</f>
        <v>Екатеринбург</v>
      </c>
      <c r="B315" s="1" t="s">
        <v>7</v>
      </c>
      <c r="C315" s="2">
        <v>45819</v>
      </c>
      <c r="D315" s="2" t="str">
        <f>CHOOSE(MONTH(branches[[#This Row],[Дата]]),"Январь","Февраль","Март","Апрель","Май","Июнь","Июль","Август","Сентябрь","Октябрь","Ноябрь","Декабрь")&amp;" "&amp;YEAR(branches[[#This Row],[Дата]])</f>
        <v>Июнь 2025</v>
      </c>
      <c r="E315" t="s">
        <v>11</v>
      </c>
      <c r="F315" t="s">
        <v>12</v>
      </c>
      <c r="G315">
        <v>2</v>
      </c>
      <c r="H315">
        <v>334</v>
      </c>
      <c r="I315" t="s">
        <v>15</v>
      </c>
      <c r="J315" t="str">
        <f>_xlfn.XLOOKUP(branches[[#This Row],[Филиал]], tbl_Filialy[Филиал], tbl_Filialy[Менеджер])</f>
        <v>Сергей Мельников</v>
      </c>
    </row>
    <row r="316" spans="1:10" x14ac:dyDescent="0.3">
      <c r="A316" t="str">
        <f>_xlfn.XLOOKUP(branches[[#This Row],[Филиал]], tbl_Filialy[Филиал], tbl_Filialy[Город])</f>
        <v>Екатеринбург</v>
      </c>
      <c r="B316" s="1" t="s">
        <v>7</v>
      </c>
      <c r="C316" s="2">
        <v>45965</v>
      </c>
      <c r="D316" s="2" t="str">
        <f>CHOOSE(MONTH(branches[[#This Row],[Дата]]),"Январь","Февраль","Март","Апрель","Май","Июнь","Июль","Август","Сентябрь","Октябрь","Ноябрь","Декабрь")&amp;" "&amp;YEAR(branches[[#This Row],[Дата]])</f>
        <v>Ноябрь 2025</v>
      </c>
      <c r="E316" t="s">
        <v>28</v>
      </c>
      <c r="F316" t="s">
        <v>12</v>
      </c>
      <c r="G316">
        <v>1</v>
      </c>
      <c r="H316">
        <v>229</v>
      </c>
      <c r="I316" t="s">
        <v>13</v>
      </c>
      <c r="J316" t="str">
        <f>_xlfn.XLOOKUP(branches[[#This Row],[Филиал]], tbl_Filialy[Филиал], tbl_Filialy[Менеджер])</f>
        <v>Сергей Мельников</v>
      </c>
    </row>
    <row r="317" spans="1:10" x14ac:dyDescent="0.3">
      <c r="A317" t="str">
        <f>_xlfn.XLOOKUP(branches[[#This Row],[Филиал]], tbl_Filialy[Филиал], tbl_Filialy[Город])</f>
        <v>Екатеринбург</v>
      </c>
      <c r="B317" s="1" t="s">
        <v>7</v>
      </c>
      <c r="C317" s="2">
        <v>45964</v>
      </c>
      <c r="D317" s="2" t="str">
        <f>CHOOSE(MONTH(branches[[#This Row],[Дата]]),"Январь","Февраль","Март","Апрель","Май","Июнь","Июль","Август","Сентябрь","Октябрь","Ноябрь","Декабрь")&amp;" "&amp;YEAR(branches[[#This Row],[Дата]])</f>
        <v>Ноябрь 2025</v>
      </c>
      <c r="E317" t="s">
        <v>11</v>
      </c>
      <c r="F317" t="s">
        <v>12</v>
      </c>
      <c r="G317">
        <v>1</v>
      </c>
      <c r="H317">
        <v>188</v>
      </c>
      <c r="I317" t="s">
        <v>21</v>
      </c>
      <c r="J317" t="str">
        <f>_xlfn.XLOOKUP(branches[[#This Row],[Филиал]], tbl_Filialy[Филиал], tbl_Filialy[Менеджер])</f>
        <v>Сергей Мельников</v>
      </c>
    </row>
    <row r="318" spans="1:10" x14ac:dyDescent="0.3">
      <c r="A318" t="str">
        <f>_xlfn.XLOOKUP(branches[[#This Row],[Филиал]], tbl_Filialy[Филиал], tbl_Filialy[Город])</f>
        <v>Екатеринбург</v>
      </c>
      <c r="B318" s="1" t="s">
        <v>7</v>
      </c>
      <c r="C318" s="2">
        <v>45671</v>
      </c>
      <c r="D318" s="2" t="str">
        <f>CHOOSE(MONTH(branches[[#This Row],[Дата]]),"Январь","Февраль","Март","Апрель","Май","Июнь","Июль","Август","Сентябрь","Октябрь","Ноябрь","Декабрь")&amp;" "&amp;YEAR(branches[[#This Row],[Дата]])</f>
        <v>Январь 2025</v>
      </c>
      <c r="E318" t="s">
        <v>26</v>
      </c>
      <c r="F318" t="s">
        <v>9</v>
      </c>
      <c r="G318">
        <v>1</v>
      </c>
      <c r="H318">
        <v>231</v>
      </c>
      <c r="I318" t="s">
        <v>13</v>
      </c>
      <c r="J318" t="str">
        <f>_xlfn.XLOOKUP(branches[[#This Row],[Филиал]], tbl_Filialy[Филиал], tbl_Filialy[Менеджер])</f>
        <v>Сергей Мельников</v>
      </c>
    </row>
    <row r="319" spans="1:10" x14ac:dyDescent="0.3">
      <c r="A319" t="str">
        <f>_xlfn.XLOOKUP(branches[[#This Row],[Филиал]], tbl_Filialy[Филиал], tbl_Filialy[Город])</f>
        <v>Екатеринбург</v>
      </c>
      <c r="B319" s="1" t="s">
        <v>7</v>
      </c>
      <c r="C319" s="2">
        <v>45833</v>
      </c>
      <c r="D319" s="2" t="str">
        <f>CHOOSE(MONTH(branches[[#This Row],[Дата]]),"Январь","Февраль","Март","Апрель","Май","Июнь","Июль","Август","Сентябрь","Октябрь","Ноябрь","Декабрь")&amp;" "&amp;YEAR(branches[[#This Row],[Дата]])</f>
        <v>Июнь 2025</v>
      </c>
      <c r="E319" t="s">
        <v>18</v>
      </c>
      <c r="F319" t="s">
        <v>12</v>
      </c>
      <c r="G319">
        <v>1</v>
      </c>
      <c r="H319">
        <v>150</v>
      </c>
      <c r="I319" t="s">
        <v>19</v>
      </c>
      <c r="J319" t="str">
        <f>_xlfn.XLOOKUP(branches[[#This Row],[Филиал]], tbl_Filialy[Филиал], tbl_Filialy[Менеджер])</f>
        <v>Сергей Мельников</v>
      </c>
    </row>
    <row r="320" spans="1:10" x14ac:dyDescent="0.3">
      <c r="A320" t="str">
        <f>_xlfn.XLOOKUP(branches[[#This Row],[Филиал]], tbl_Filialy[Филиал], tbl_Filialy[Город])</f>
        <v>Екатеринбург</v>
      </c>
      <c r="B320" s="1" t="s">
        <v>7</v>
      </c>
      <c r="C320" s="2">
        <v>45881</v>
      </c>
      <c r="D320" s="2" t="str">
        <f>CHOOSE(MONTH(branches[[#This Row],[Дата]]),"Январь","Февраль","Март","Апрель","Май","Июнь","Июль","Август","Сентябрь","Октябрь","Ноябрь","Декабрь")&amp;" "&amp;YEAR(branches[[#This Row],[Дата]])</f>
        <v>Август 2025</v>
      </c>
      <c r="E320" t="s">
        <v>26</v>
      </c>
      <c r="F320" t="s">
        <v>9</v>
      </c>
      <c r="G320">
        <v>2</v>
      </c>
      <c r="H320">
        <v>374</v>
      </c>
      <c r="I320" t="s">
        <v>10</v>
      </c>
      <c r="J320" t="str">
        <f>_xlfn.XLOOKUP(branches[[#This Row],[Филиал]], tbl_Filialy[Филиал], tbl_Filialy[Менеджер])</f>
        <v>Сергей Мельников</v>
      </c>
    </row>
    <row r="321" spans="1:10" x14ac:dyDescent="0.3">
      <c r="A321" t="str">
        <f>_xlfn.XLOOKUP(branches[[#This Row],[Филиал]], tbl_Filialy[Филиал], tbl_Filialy[Город])</f>
        <v>Екатеринбург</v>
      </c>
      <c r="B321" s="1" t="s">
        <v>7</v>
      </c>
      <c r="C321" s="2">
        <v>45781</v>
      </c>
      <c r="D321" s="2" t="str">
        <f>CHOOSE(MONTH(branches[[#This Row],[Дата]]),"Январь","Февраль","Март","Апрель","Май","Июнь","Июль","Август","Сентябрь","Октябрь","Ноябрь","Декабрь")&amp;" "&amp;YEAR(branches[[#This Row],[Дата]])</f>
        <v>Май 2025</v>
      </c>
      <c r="E321" t="s">
        <v>18</v>
      </c>
      <c r="F321" t="s">
        <v>12</v>
      </c>
      <c r="G321">
        <v>1</v>
      </c>
      <c r="H321">
        <v>148</v>
      </c>
      <c r="I321" t="s">
        <v>23</v>
      </c>
      <c r="J321" t="str">
        <f>_xlfn.XLOOKUP(branches[[#This Row],[Филиал]], tbl_Filialy[Филиал], tbl_Filialy[Менеджер])</f>
        <v>Сергей Мельников</v>
      </c>
    </row>
    <row r="322" spans="1:10" x14ac:dyDescent="0.3">
      <c r="A322" t="str">
        <f>_xlfn.XLOOKUP(branches[[#This Row],[Филиал]], tbl_Filialy[Филиал], tbl_Filialy[Город])</f>
        <v>Екатеринбург</v>
      </c>
      <c r="B322" s="1" t="s">
        <v>7</v>
      </c>
      <c r="C322" s="2">
        <v>45989</v>
      </c>
      <c r="D322" s="2" t="str">
        <f>CHOOSE(MONTH(branches[[#This Row],[Дата]]),"Январь","Февраль","Март","Апрель","Май","Июнь","Июль","Август","Сентябрь","Октябрь","Ноябрь","Декабрь")&amp;" "&amp;YEAR(branches[[#This Row],[Дата]])</f>
        <v>Ноябрь 2025</v>
      </c>
      <c r="E322" t="s">
        <v>20</v>
      </c>
      <c r="F322" t="s">
        <v>12</v>
      </c>
      <c r="G322">
        <v>2</v>
      </c>
      <c r="H322">
        <v>604</v>
      </c>
      <c r="I322" t="s">
        <v>19</v>
      </c>
      <c r="J322" t="str">
        <f>_xlfn.XLOOKUP(branches[[#This Row],[Филиал]], tbl_Filialy[Филиал], tbl_Filialy[Менеджер])</f>
        <v>Сергей Мельников</v>
      </c>
    </row>
    <row r="323" spans="1:10" x14ac:dyDescent="0.3">
      <c r="A323" t="str">
        <f>_xlfn.XLOOKUP(branches[[#This Row],[Филиал]], tbl_Filialy[Филиал], tbl_Filialy[Город])</f>
        <v>Екатеринбург</v>
      </c>
      <c r="B323" s="1" t="s">
        <v>7</v>
      </c>
      <c r="C323" s="2">
        <v>45673</v>
      </c>
      <c r="D323" s="2" t="str">
        <f>CHOOSE(MONTH(branches[[#This Row],[Дата]]),"Январь","Февраль","Март","Апрель","Май","Июнь","Июль","Август","Сентябрь","Октябрь","Ноябрь","Декабрь")&amp;" "&amp;YEAR(branches[[#This Row],[Дата]])</f>
        <v>Январь 2025</v>
      </c>
      <c r="E323" t="s">
        <v>24</v>
      </c>
      <c r="F323" t="s">
        <v>17</v>
      </c>
      <c r="G323">
        <v>1</v>
      </c>
      <c r="H323">
        <v>384</v>
      </c>
      <c r="I323" t="s">
        <v>10</v>
      </c>
      <c r="J323" t="str">
        <f>_xlfn.XLOOKUP(branches[[#This Row],[Филиал]], tbl_Filialy[Филиал], tbl_Filialy[Менеджер])</f>
        <v>Сергей Мельников</v>
      </c>
    </row>
    <row r="324" spans="1:10" x14ac:dyDescent="0.3">
      <c r="A324" t="str">
        <f>_xlfn.XLOOKUP(branches[[#This Row],[Филиал]], tbl_Filialy[Филиал], tbl_Filialy[Город])</f>
        <v>Екатеринбург</v>
      </c>
      <c r="B324" s="1" t="s">
        <v>7</v>
      </c>
      <c r="C324" s="2">
        <v>45939</v>
      </c>
      <c r="D324" s="2" t="str">
        <f>CHOOSE(MONTH(branches[[#This Row],[Дата]]),"Январь","Февраль","Март","Апрель","Май","Июнь","Июль","Август","Сентябрь","Октябрь","Ноябрь","Декабрь")&amp;" "&amp;YEAR(branches[[#This Row],[Дата]])</f>
        <v>Октябрь 2025</v>
      </c>
      <c r="E324" t="s">
        <v>27</v>
      </c>
      <c r="F324" t="s">
        <v>12</v>
      </c>
      <c r="G324">
        <v>1</v>
      </c>
      <c r="H324">
        <v>184</v>
      </c>
      <c r="I324" t="s">
        <v>10</v>
      </c>
      <c r="J324" t="str">
        <f>_xlfn.XLOOKUP(branches[[#This Row],[Филиал]], tbl_Filialy[Филиал], tbl_Filialy[Менеджер])</f>
        <v>Сергей Мельников</v>
      </c>
    </row>
    <row r="325" spans="1:10" x14ac:dyDescent="0.3">
      <c r="A325" t="str">
        <f>_xlfn.XLOOKUP(branches[[#This Row],[Филиал]], tbl_Filialy[Филиал], tbl_Filialy[Город])</f>
        <v>Екатеринбург</v>
      </c>
      <c r="B325" s="1" t="s">
        <v>7</v>
      </c>
      <c r="C325" s="2">
        <v>45812</v>
      </c>
      <c r="D325" s="2" t="str">
        <f>CHOOSE(MONTH(branches[[#This Row],[Дата]]),"Январь","Февраль","Март","Апрель","Май","Июнь","Июль","Август","Сентябрь","Октябрь","Ноябрь","Декабрь")&amp;" "&amp;YEAR(branches[[#This Row],[Дата]])</f>
        <v>Июнь 2025</v>
      </c>
      <c r="E325" t="s">
        <v>28</v>
      </c>
      <c r="F325" t="s">
        <v>12</v>
      </c>
      <c r="G325">
        <v>2</v>
      </c>
      <c r="H325">
        <v>442</v>
      </c>
      <c r="I325" t="s">
        <v>10</v>
      </c>
      <c r="J325" t="str">
        <f>_xlfn.XLOOKUP(branches[[#This Row],[Филиал]], tbl_Filialy[Филиал], tbl_Filialy[Менеджер])</f>
        <v>Сергей Мельников</v>
      </c>
    </row>
    <row r="326" spans="1:10" x14ac:dyDescent="0.3">
      <c r="A326" t="str">
        <f>_xlfn.XLOOKUP(branches[[#This Row],[Филиал]], tbl_Filialy[Филиал], tbl_Filialy[Город])</f>
        <v>Екатеринбург</v>
      </c>
      <c r="B326" s="1" t="s">
        <v>7</v>
      </c>
      <c r="C326" s="2">
        <v>45861</v>
      </c>
      <c r="D326" s="2" t="str">
        <f>CHOOSE(MONTH(branches[[#This Row],[Дата]]),"Январь","Февраль","Март","Апрель","Май","Июнь","Июль","Август","Сентябрь","Октябрь","Ноябрь","Декабрь")&amp;" "&amp;YEAR(branches[[#This Row],[Дата]])</f>
        <v>Июль 2025</v>
      </c>
      <c r="E326" t="s">
        <v>25</v>
      </c>
      <c r="F326" t="s">
        <v>12</v>
      </c>
      <c r="G326">
        <v>3</v>
      </c>
      <c r="H326">
        <v>588</v>
      </c>
      <c r="I326" t="s">
        <v>15</v>
      </c>
      <c r="J326" t="str">
        <f>_xlfn.XLOOKUP(branches[[#This Row],[Филиал]], tbl_Filialy[Филиал], tbl_Filialy[Менеджер])</f>
        <v>Сергей Мельников</v>
      </c>
    </row>
    <row r="327" spans="1:10" x14ac:dyDescent="0.3">
      <c r="A327" t="str">
        <f>_xlfn.XLOOKUP(branches[[#This Row],[Филиал]], tbl_Filialy[Филиал], tbl_Filialy[Город])</f>
        <v>Екатеринбург</v>
      </c>
      <c r="B327" s="1" t="s">
        <v>7</v>
      </c>
      <c r="C327" s="2">
        <v>45769</v>
      </c>
      <c r="D327" s="2" t="str">
        <f>CHOOSE(MONTH(branches[[#This Row],[Дата]]),"Январь","Февраль","Март","Апрель","Май","Июнь","Июль","Август","Сентябрь","Октябрь","Ноябрь","Декабрь")&amp;" "&amp;YEAR(branches[[#This Row],[Дата]])</f>
        <v>Апрель 2025</v>
      </c>
      <c r="E327" t="s">
        <v>18</v>
      </c>
      <c r="F327" t="s">
        <v>12</v>
      </c>
      <c r="G327">
        <v>3</v>
      </c>
      <c r="H327">
        <v>459</v>
      </c>
      <c r="I327" t="s">
        <v>19</v>
      </c>
      <c r="J327" t="str">
        <f>_xlfn.XLOOKUP(branches[[#This Row],[Филиал]], tbl_Filialy[Филиал], tbl_Filialy[Менеджер])</f>
        <v>Сергей Мельников</v>
      </c>
    </row>
    <row r="328" spans="1:10" x14ac:dyDescent="0.3">
      <c r="A328" t="str">
        <f>_xlfn.XLOOKUP(branches[[#This Row],[Филиал]], tbl_Filialy[Филиал], tbl_Filialy[Город])</f>
        <v>Екатеринбург</v>
      </c>
      <c r="B328" s="1" t="s">
        <v>7</v>
      </c>
      <c r="C328" s="2">
        <v>45737</v>
      </c>
      <c r="D328" s="2" t="str">
        <f>CHOOSE(MONTH(branches[[#This Row],[Дата]]),"Январь","Февраль","Март","Апрель","Май","Июнь","Июль","Август","Сентябрь","Октябрь","Ноябрь","Декабрь")&amp;" "&amp;YEAR(branches[[#This Row],[Дата]])</f>
        <v>Март 2025</v>
      </c>
      <c r="E328" t="s">
        <v>14</v>
      </c>
      <c r="F328" t="s">
        <v>12</v>
      </c>
      <c r="G328">
        <v>3</v>
      </c>
      <c r="H328">
        <v>822</v>
      </c>
      <c r="I328" t="s">
        <v>21</v>
      </c>
      <c r="J328" t="str">
        <f>_xlfn.XLOOKUP(branches[[#This Row],[Филиал]], tbl_Filialy[Филиал], tbl_Filialy[Менеджер])</f>
        <v>Сергей Мельников</v>
      </c>
    </row>
    <row r="329" spans="1:10" x14ac:dyDescent="0.3">
      <c r="A329" t="str">
        <f>_xlfn.XLOOKUP(branches[[#This Row],[Филиал]], tbl_Filialy[Филиал], tbl_Filialy[Город])</f>
        <v>Екатеринбург</v>
      </c>
      <c r="B329" s="1" t="s">
        <v>7</v>
      </c>
      <c r="C329" s="2">
        <v>45824</v>
      </c>
      <c r="D329" s="2" t="str">
        <f>CHOOSE(MONTH(branches[[#This Row],[Дата]]),"Январь","Февраль","Март","Апрель","Май","Июнь","Июль","Август","Сентябрь","Октябрь","Ноябрь","Декабрь")&amp;" "&amp;YEAR(branches[[#This Row],[Дата]])</f>
        <v>Июнь 2025</v>
      </c>
      <c r="E329" t="s">
        <v>22</v>
      </c>
      <c r="F329" t="s">
        <v>9</v>
      </c>
      <c r="G329">
        <v>2</v>
      </c>
      <c r="H329">
        <v>388</v>
      </c>
      <c r="I329" t="s">
        <v>19</v>
      </c>
      <c r="J329" t="str">
        <f>_xlfn.XLOOKUP(branches[[#This Row],[Филиал]], tbl_Filialy[Филиал], tbl_Filialy[Менеджер])</f>
        <v>Сергей Мельников</v>
      </c>
    </row>
    <row r="330" spans="1:10" x14ac:dyDescent="0.3">
      <c r="A330" t="str">
        <f>_xlfn.XLOOKUP(branches[[#This Row],[Филиал]], tbl_Filialy[Филиал], tbl_Filialy[Город])</f>
        <v>Екатеринбург</v>
      </c>
      <c r="B330" s="1" t="s">
        <v>7</v>
      </c>
      <c r="C330" s="2">
        <v>45921</v>
      </c>
      <c r="D330" s="2" t="str">
        <f>CHOOSE(MONTH(branches[[#This Row],[Дата]]),"Январь","Февраль","Март","Апрель","Май","Июнь","Июль","Август","Сентябрь","Октябрь","Ноябрь","Декабрь")&amp;" "&amp;YEAR(branches[[#This Row],[Дата]])</f>
        <v>Сентябрь 2025</v>
      </c>
      <c r="E330" t="s">
        <v>16</v>
      </c>
      <c r="F330" t="s">
        <v>17</v>
      </c>
      <c r="G330">
        <v>3</v>
      </c>
      <c r="H330">
        <v>1005</v>
      </c>
      <c r="I330" t="s">
        <v>10</v>
      </c>
      <c r="J330" t="str">
        <f>_xlfn.XLOOKUP(branches[[#This Row],[Филиал]], tbl_Filialy[Филиал], tbl_Filialy[Менеджер])</f>
        <v>Сергей Мельников</v>
      </c>
    </row>
    <row r="331" spans="1:10" x14ac:dyDescent="0.3">
      <c r="A331" t="str">
        <f>_xlfn.XLOOKUP(branches[[#This Row],[Филиал]], tbl_Filialy[Филиал], tbl_Filialy[Город])</f>
        <v>Екатеринбург</v>
      </c>
      <c r="B331" s="1" t="s">
        <v>7</v>
      </c>
      <c r="C331" s="2">
        <v>45914</v>
      </c>
      <c r="D331" s="2" t="str">
        <f>CHOOSE(MONTH(branches[[#This Row],[Дата]]),"Январь","Февраль","Март","Апрель","Май","Июнь","Июль","Август","Сентябрь","Октябрь","Ноябрь","Декабрь")&amp;" "&amp;YEAR(branches[[#This Row],[Дата]])</f>
        <v>Сентябрь 2025</v>
      </c>
      <c r="E331" t="s">
        <v>26</v>
      </c>
      <c r="F331" t="s">
        <v>9</v>
      </c>
      <c r="G331">
        <v>1</v>
      </c>
      <c r="H331">
        <v>219</v>
      </c>
      <c r="I331" t="s">
        <v>15</v>
      </c>
      <c r="J331" t="str">
        <f>_xlfn.XLOOKUP(branches[[#This Row],[Филиал]], tbl_Filialy[Филиал], tbl_Filialy[Менеджер])</f>
        <v>Сергей Мельников</v>
      </c>
    </row>
    <row r="332" spans="1:10" x14ac:dyDescent="0.3">
      <c r="A332" t="str">
        <f>_xlfn.XLOOKUP(branches[[#This Row],[Филиал]], tbl_Filialy[Филиал], tbl_Filialy[Город])</f>
        <v>Екатеринбург</v>
      </c>
      <c r="B332" s="1" t="s">
        <v>7</v>
      </c>
      <c r="C332" s="2">
        <v>45944</v>
      </c>
      <c r="D332" s="2" t="str">
        <f>CHOOSE(MONTH(branches[[#This Row],[Дата]]),"Январь","Февраль","Март","Апрель","Май","Июнь","Июль","Август","Сентябрь","Октябрь","Ноябрь","Декабрь")&amp;" "&amp;YEAR(branches[[#This Row],[Дата]])</f>
        <v>Октябрь 2025</v>
      </c>
      <c r="E332" t="s">
        <v>8</v>
      </c>
      <c r="F332" t="s">
        <v>9</v>
      </c>
      <c r="G332">
        <v>1</v>
      </c>
      <c r="H332">
        <v>257</v>
      </c>
      <c r="I332" t="s">
        <v>10</v>
      </c>
      <c r="J332" t="str">
        <f>_xlfn.XLOOKUP(branches[[#This Row],[Филиал]], tbl_Filialy[Филиал], tbl_Filialy[Менеджер])</f>
        <v>Сергей Мельников</v>
      </c>
    </row>
    <row r="333" spans="1:10" x14ac:dyDescent="0.3">
      <c r="A333" t="str">
        <f>_xlfn.XLOOKUP(branches[[#This Row],[Филиал]], tbl_Filialy[Филиал], tbl_Filialy[Город])</f>
        <v>Екатеринбург</v>
      </c>
      <c r="B333" s="1" t="s">
        <v>7</v>
      </c>
      <c r="C333" s="2">
        <v>45769</v>
      </c>
      <c r="D333" s="2" t="str">
        <f>CHOOSE(MONTH(branches[[#This Row],[Дата]]),"Январь","Февраль","Март","Апрель","Май","Июнь","Июль","Август","Сентябрь","Октябрь","Ноябрь","Декабрь")&amp;" "&amp;YEAR(branches[[#This Row],[Дата]])</f>
        <v>Апрель 2025</v>
      </c>
      <c r="E333" t="s">
        <v>16</v>
      </c>
      <c r="F333" t="s">
        <v>17</v>
      </c>
      <c r="G333">
        <v>1</v>
      </c>
      <c r="H333">
        <v>286</v>
      </c>
      <c r="I333" t="s">
        <v>10</v>
      </c>
      <c r="J333" t="str">
        <f>_xlfn.XLOOKUP(branches[[#This Row],[Филиал]], tbl_Filialy[Филиал], tbl_Filialy[Менеджер])</f>
        <v>Сергей Мельников</v>
      </c>
    </row>
    <row r="334" spans="1:10" x14ac:dyDescent="0.3">
      <c r="A334" t="str">
        <f>_xlfn.XLOOKUP(branches[[#This Row],[Филиал]], tbl_Filialy[Филиал], tbl_Filialy[Город])</f>
        <v>Екатеринбург</v>
      </c>
      <c r="B334" s="1" t="s">
        <v>7</v>
      </c>
      <c r="C334" s="2">
        <v>45761</v>
      </c>
      <c r="D334" s="2" t="str">
        <f>CHOOSE(MONTH(branches[[#This Row],[Дата]]),"Январь","Февраль","Март","Апрель","Май","Июнь","Июль","Август","Сентябрь","Октябрь","Ноябрь","Декабрь")&amp;" "&amp;YEAR(branches[[#This Row],[Дата]])</f>
        <v>Апрель 2025</v>
      </c>
      <c r="E334" t="s">
        <v>14</v>
      </c>
      <c r="F334" t="s">
        <v>12</v>
      </c>
      <c r="G334">
        <v>1</v>
      </c>
      <c r="H334">
        <v>290</v>
      </c>
      <c r="I334" t="s">
        <v>19</v>
      </c>
      <c r="J334" t="str">
        <f>_xlfn.XLOOKUP(branches[[#This Row],[Филиал]], tbl_Filialy[Филиал], tbl_Filialy[Менеджер])</f>
        <v>Сергей Мельников</v>
      </c>
    </row>
    <row r="335" spans="1:10" x14ac:dyDescent="0.3">
      <c r="A335" t="str">
        <f>_xlfn.XLOOKUP(branches[[#This Row],[Филиал]], tbl_Filialy[Филиал], tbl_Filialy[Город])</f>
        <v>Екатеринбург</v>
      </c>
      <c r="B335" s="1" t="s">
        <v>7</v>
      </c>
      <c r="C335" s="2">
        <v>45781</v>
      </c>
      <c r="D335" s="2" t="str">
        <f>CHOOSE(MONTH(branches[[#This Row],[Дата]]),"Январь","Февраль","Март","Апрель","Май","Июнь","Июль","Август","Сентябрь","Октябрь","Ноябрь","Декабрь")&amp;" "&amp;YEAR(branches[[#This Row],[Дата]])</f>
        <v>Май 2025</v>
      </c>
      <c r="E335" t="s">
        <v>18</v>
      </c>
      <c r="F335" t="s">
        <v>12</v>
      </c>
      <c r="G335">
        <v>1</v>
      </c>
      <c r="H335">
        <v>154</v>
      </c>
      <c r="I335" t="s">
        <v>23</v>
      </c>
      <c r="J335" t="str">
        <f>_xlfn.XLOOKUP(branches[[#This Row],[Филиал]], tbl_Filialy[Филиал], tbl_Filialy[Менеджер])</f>
        <v>Сергей Мельников</v>
      </c>
    </row>
    <row r="336" spans="1:10" x14ac:dyDescent="0.3">
      <c r="A336" t="str">
        <f>_xlfn.XLOOKUP(branches[[#This Row],[Филиал]], tbl_Filialy[Филиал], tbl_Filialy[Город])</f>
        <v>Екатеринбург</v>
      </c>
      <c r="B336" s="1" t="s">
        <v>7</v>
      </c>
      <c r="C336" s="2">
        <v>45738</v>
      </c>
      <c r="D336" s="2" t="str">
        <f>CHOOSE(MONTH(branches[[#This Row],[Дата]]),"Январь","Февраль","Март","Апрель","Май","Июнь","Июль","Август","Сентябрь","Октябрь","Ноябрь","Декабрь")&amp;" "&amp;YEAR(branches[[#This Row],[Дата]])</f>
        <v>Март 2025</v>
      </c>
      <c r="E336" t="s">
        <v>28</v>
      </c>
      <c r="F336" t="s">
        <v>12</v>
      </c>
      <c r="G336">
        <v>2</v>
      </c>
      <c r="H336">
        <v>482</v>
      </c>
      <c r="I336" t="s">
        <v>19</v>
      </c>
      <c r="J336" t="str">
        <f>_xlfn.XLOOKUP(branches[[#This Row],[Филиал]], tbl_Filialy[Филиал], tbl_Filialy[Менеджер])</f>
        <v>Сергей Мельников</v>
      </c>
    </row>
    <row r="337" spans="1:10" x14ac:dyDescent="0.3">
      <c r="A337" t="str">
        <f>_xlfn.XLOOKUP(branches[[#This Row],[Филиал]], tbl_Filialy[Филиал], tbl_Filialy[Город])</f>
        <v>Екатеринбург</v>
      </c>
      <c r="B337" s="1" t="s">
        <v>7</v>
      </c>
      <c r="C337" s="2">
        <v>45763</v>
      </c>
      <c r="D337" s="2" t="str">
        <f>CHOOSE(MONTH(branches[[#This Row],[Дата]]),"Январь","Февраль","Март","Апрель","Май","Июнь","Июль","Август","Сентябрь","Октябрь","Ноябрь","Декабрь")&amp;" "&amp;YEAR(branches[[#This Row],[Дата]])</f>
        <v>Апрель 2025</v>
      </c>
      <c r="E337" t="s">
        <v>11</v>
      </c>
      <c r="F337" t="s">
        <v>12</v>
      </c>
      <c r="G337">
        <v>3</v>
      </c>
      <c r="H337">
        <v>471</v>
      </c>
      <c r="I337" t="s">
        <v>13</v>
      </c>
      <c r="J337" t="str">
        <f>_xlfn.XLOOKUP(branches[[#This Row],[Филиал]], tbl_Filialy[Филиал], tbl_Filialy[Менеджер])</f>
        <v>Сергей Мельников</v>
      </c>
    </row>
    <row r="338" spans="1:10" x14ac:dyDescent="0.3">
      <c r="A338" t="str">
        <f>_xlfn.XLOOKUP(branches[[#This Row],[Филиал]], tbl_Filialy[Филиал], tbl_Filialy[Город])</f>
        <v>Екатеринбург</v>
      </c>
      <c r="B338" s="1" t="s">
        <v>7</v>
      </c>
      <c r="C338" s="2">
        <v>45816</v>
      </c>
      <c r="D338" s="2" t="str">
        <f>CHOOSE(MONTH(branches[[#This Row],[Дата]]),"Январь","Февраль","Март","Апрель","Май","Июнь","Июль","Август","Сентябрь","Октябрь","Ноябрь","Декабрь")&amp;" "&amp;YEAR(branches[[#This Row],[Дата]])</f>
        <v>Июнь 2025</v>
      </c>
      <c r="E338" t="s">
        <v>27</v>
      </c>
      <c r="F338" t="s">
        <v>12</v>
      </c>
      <c r="G338">
        <v>1</v>
      </c>
      <c r="H338">
        <v>181</v>
      </c>
      <c r="I338" t="s">
        <v>15</v>
      </c>
      <c r="J338" t="str">
        <f>_xlfn.XLOOKUP(branches[[#This Row],[Филиал]], tbl_Filialy[Филиал], tbl_Filialy[Менеджер])</f>
        <v>Сергей Мельников</v>
      </c>
    </row>
    <row r="339" spans="1:10" x14ac:dyDescent="0.3">
      <c r="A339" t="str">
        <f>_xlfn.XLOOKUP(branches[[#This Row],[Филиал]], tbl_Filialy[Филиал], tbl_Filialy[Город])</f>
        <v>Екатеринбург</v>
      </c>
      <c r="B339" s="1" t="s">
        <v>7</v>
      </c>
      <c r="C339" s="2">
        <v>45733</v>
      </c>
      <c r="D339" s="2" t="str">
        <f>CHOOSE(MONTH(branches[[#This Row],[Дата]]),"Январь","Февраль","Март","Апрель","Май","Июнь","Июль","Август","Сентябрь","Октябрь","Ноябрь","Декабрь")&amp;" "&amp;YEAR(branches[[#This Row],[Дата]])</f>
        <v>Март 2025</v>
      </c>
      <c r="E339" t="s">
        <v>11</v>
      </c>
      <c r="F339" t="s">
        <v>12</v>
      </c>
      <c r="G339">
        <v>1</v>
      </c>
      <c r="H339">
        <v>152</v>
      </c>
      <c r="I339" t="s">
        <v>13</v>
      </c>
      <c r="J339" t="str">
        <f>_xlfn.XLOOKUP(branches[[#This Row],[Филиал]], tbl_Filialy[Филиал], tbl_Filialy[Менеджер])</f>
        <v>Сергей Мельников</v>
      </c>
    </row>
    <row r="340" spans="1:10" x14ac:dyDescent="0.3">
      <c r="A340" t="str">
        <f>_xlfn.XLOOKUP(branches[[#This Row],[Филиал]], tbl_Filialy[Филиал], tbl_Filialy[Город])</f>
        <v>Екатеринбург</v>
      </c>
      <c r="B340" s="1" t="s">
        <v>7</v>
      </c>
      <c r="C340" s="2">
        <v>45860</v>
      </c>
      <c r="D340" s="2" t="str">
        <f>CHOOSE(MONTH(branches[[#This Row],[Дата]]),"Январь","Февраль","Март","Апрель","Май","Июнь","Июль","Август","Сентябрь","Октябрь","Ноябрь","Декабрь")&amp;" "&amp;YEAR(branches[[#This Row],[Дата]])</f>
        <v>Июль 2025</v>
      </c>
      <c r="E340" t="s">
        <v>27</v>
      </c>
      <c r="F340" t="s">
        <v>12</v>
      </c>
      <c r="G340">
        <v>3</v>
      </c>
      <c r="H340">
        <v>558</v>
      </c>
      <c r="I340" t="s">
        <v>19</v>
      </c>
      <c r="J340" t="str">
        <f>_xlfn.XLOOKUP(branches[[#This Row],[Филиал]], tbl_Filialy[Филиал], tbl_Filialy[Менеджер])</f>
        <v>Сергей Мельников</v>
      </c>
    </row>
    <row r="341" spans="1:10" x14ac:dyDescent="0.3">
      <c r="A341" t="str">
        <f>_xlfn.XLOOKUP(branches[[#This Row],[Филиал]], tbl_Filialy[Филиал], tbl_Filialy[Город])</f>
        <v>Екатеринбург</v>
      </c>
      <c r="B341" s="1" t="s">
        <v>7</v>
      </c>
      <c r="C341" s="2">
        <v>45992</v>
      </c>
      <c r="D341" s="2" t="str">
        <f>CHOOSE(MONTH(branches[[#This Row],[Дата]]),"Январь","Февраль","Март","Апрель","Май","Июнь","Июль","Август","Сентябрь","Октябрь","Ноябрь","Декабрь")&amp;" "&amp;YEAR(branches[[#This Row],[Дата]])</f>
        <v>Декабрь 2025</v>
      </c>
      <c r="E341" t="s">
        <v>11</v>
      </c>
      <c r="F341" t="s">
        <v>12</v>
      </c>
      <c r="G341">
        <v>2</v>
      </c>
      <c r="H341">
        <v>374</v>
      </c>
      <c r="I341" t="s">
        <v>15</v>
      </c>
      <c r="J341" t="str">
        <f>_xlfn.XLOOKUP(branches[[#This Row],[Филиал]], tbl_Filialy[Филиал], tbl_Filialy[Менеджер])</f>
        <v>Сергей Мельников</v>
      </c>
    </row>
    <row r="342" spans="1:10" x14ac:dyDescent="0.3">
      <c r="A342" t="str">
        <f>_xlfn.XLOOKUP(branches[[#This Row],[Филиал]], tbl_Filialy[Филиал], tbl_Filialy[Город])</f>
        <v>Екатеринбург</v>
      </c>
      <c r="B342" s="1" t="s">
        <v>7</v>
      </c>
      <c r="C342" s="2">
        <v>45904</v>
      </c>
      <c r="D342" s="2" t="str">
        <f>CHOOSE(MONTH(branches[[#This Row],[Дата]]),"Январь","Февраль","Март","Апрель","Май","Июнь","Июль","Август","Сентябрь","Октябрь","Ноябрь","Декабрь")&amp;" "&amp;YEAR(branches[[#This Row],[Дата]])</f>
        <v>Сентябрь 2025</v>
      </c>
      <c r="E342" t="s">
        <v>16</v>
      </c>
      <c r="F342" t="s">
        <v>17</v>
      </c>
      <c r="G342">
        <v>2</v>
      </c>
      <c r="H342">
        <v>708</v>
      </c>
      <c r="I342" t="s">
        <v>23</v>
      </c>
      <c r="J342" t="str">
        <f>_xlfn.XLOOKUP(branches[[#This Row],[Филиал]], tbl_Filialy[Филиал], tbl_Filialy[Менеджер])</f>
        <v>Сергей Мельников</v>
      </c>
    </row>
    <row r="343" spans="1:10" x14ac:dyDescent="0.3">
      <c r="A343" t="str">
        <f>_xlfn.XLOOKUP(branches[[#This Row],[Филиал]], tbl_Filialy[Филиал], tbl_Filialy[Город])</f>
        <v>Екатеринбург</v>
      </c>
      <c r="B343" s="1" t="s">
        <v>7</v>
      </c>
      <c r="C343" s="2">
        <v>45926</v>
      </c>
      <c r="D343" s="2" t="str">
        <f>CHOOSE(MONTH(branches[[#This Row],[Дата]]),"Январь","Февраль","Март","Апрель","Май","Июнь","Июль","Август","Сентябрь","Октябрь","Ноябрь","Декабрь")&amp;" "&amp;YEAR(branches[[#This Row],[Дата]])</f>
        <v>Сентябрь 2025</v>
      </c>
      <c r="E343" t="s">
        <v>27</v>
      </c>
      <c r="F343" t="s">
        <v>12</v>
      </c>
      <c r="G343">
        <v>1</v>
      </c>
      <c r="H343">
        <v>189</v>
      </c>
      <c r="I343" t="s">
        <v>10</v>
      </c>
      <c r="J343" t="str">
        <f>_xlfn.XLOOKUP(branches[[#This Row],[Филиал]], tbl_Filialy[Филиал], tbl_Filialy[Менеджер])</f>
        <v>Сергей Мельников</v>
      </c>
    </row>
    <row r="344" spans="1:10" x14ac:dyDescent="0.3">
      <c r="A344" t="str">
        <f>_xlfn.XLOOKUP(branches[[#This Row],[Филиал]], tbl_Filialy[Филиал], tbl_Filialy[Город])</f>
        <v>Екатеринбург</v>
      </c>
      <c r="B344" s="1" t="s">
        <v>7</v>
      </c>
      <c r="C344" s="2">
        <v>45931</v>
      </c>
      <c r="D344" s="2" t="str">
        <f>CHOOSE(MONTH(branches[[#This Row],[Дата]]),"Январь","Февраль","Март","Апрель","Май","Июнь","Июль","Август","Сентябрь","Октябрь","Ноябрь","Декабрь")&amp;" "&amp;YEAR(branches[[#This Row],[Дата]])</f>
        <v>Октябрь 2025</v>
      </c>
      <c r="E344" t="s">
        <v>11</v>
      </c>
      <c r="F344" t="s">
        <v>12</v>
      </c>
      <c r="G344">
        <v>1</v>
      </c>
      <c r="H344">
        <v>152</v>
      </c>
      <c r="I344" t="s">
        <v>10</v>
      </c>
      <c r="J344" t="str">
        <f>_xlfn.XLOOKUP(branches[[#This Row],[Филиал]], tbl_Filialy[Филиал], tbl_Filialy[Менеджер])</f>
        <v>Сергей Мельников</v>
      </c>
    </row>
    <row r="345" spans="1:10" x14ac:dyDescent="0.3">
      <c r="A345" t="str">
        <f>_xlfn.XLOOKUP(branches[[#This Row],[Филиал]], tbl_Filialy[Филиал], tbl_Filialy[Город])</f>
        <v>Екатеринбург</v>
      </c>
      <c r="B345" s="1" t="s">
        <v>7</v>
      </c>
      <c r="C345" s="2">
        <v>45702</v>
      </c>
      <c r="D345" s="2" t="str">
        <f>CHOOSE(MONTH(branches[[#This Row],[Дата]]),"Январь","Февраль","Март","Апрель","Май","Июнь","Июль","Август","Сентябрь","Октябрь","Ноябрь","Декабрь")&amp;" "&amp;YEAR(branches[[#This Row],[Дата]])</f>
        <v>Февраль 2025</v>
      </c>
      <c r="E345" t="s">
        <v>16</v>
      </c>
      <c r="F345" t="s">
        <v>17</v>
      </c>
      <c r="G345">
        <v>2</v>
      </c>
      <c r="H345">
        <v>690</v>
      </c>
      <c r="I345" t="s">
        <v>13</v>
      </c>
      <c r="J345" t="str">
        <f>_xlfn.XLOOKUP(branches[[#This Row],[Филиал]], tbl_Filialy[Филиал], tbl_Filialy[Менеджер])</f>
        <v>Сергей Мельников</v>
      </c>
    </row>
    <row r="346" spans="1:10" x14ac:dyDescent="0.3">
      <c r="A346" t="str">
        <f>_xlfn.XLOOKUP(branches[[#This Row],[Филиал]], tbl_Filialy[Филиал], tbl_Filialy[Город])</f>
        <v>Екатеринбург</v>
      </c>
      <c r="B346" s="1" t="s">
        <v>7</v>
      </c>
      <c r="C346" s="2">
        <v>45897</v>
      </c>
      <c r="D346" s="2" t="str">
        <f>CHOOSE(MONTH(branches[[#This Row],[Дата]]),"Январь","Февраль","Март","Апрель","Май","Июнь","Июль","Август","Сентябрь","Октябрь","Ноябрь","Декабрь")&amp;" "&amp;YEAR(branches[[#This Row],[Дата]])</f>
        <v>Август 2025</v>
      </c>
      <c r="E346" t="s">
        <v>14</v>
      </c>
      <c r="F346" t="s">
        <v>12</v>
      </c>
      <c r="G346">
        <v>3</v>
      </c>
      <c r="H346">
        <v>774</v>
      </c>
      <c r="I346" t="s">
        <v>15</v>
      </c>
      <c r="J346" t="str">
        <f>_xlfn.XLOOKUP(branches[[#This Row],[Филиал]], tbl_Filialy[Филиал], tbl_Filialy[Менеджер])</f>
        <v>Сергей Мельников</v>
      </c>
    </row>
    <row r="347" spans="1:10" x14ac:dyDescent="0.3">
      <c r="A347" t="str">
        <f>_xlfn.XLOOKUP(branches[[#This Row],[Филиал]], tbl_Filialy[Филиал], tbl_Filialy[Город])</f>
        <v>Екатеринбург</v>
      </c>
      <c r="B347" s="1" t="s">
        <v>7</v>
      </c>
      <c r="C347" s="2">
        <v>45985</v>
      </c>
      <c r="D347" s="2" t="str">
        <f>CHOOSE(MONTH(branches[[#This Row],[Дата]]),"Январь","Февраль","Март","Апрель","Май","Июнь","Июль","Август","Сентябрь","Октябрь","Ноябрь","Декабрь")&amp;" "&amp;YEAR(branches[[#This Row],[Дата]])</f>
        <v>Ноябрь 2025</v>
      </c>
      <c r="E347" t="s">
        <v>14</v>
      </c>
      <c r="F347" t="s">
        <v>12</v>
      </c>
      <c r="G347">
        <v>1</v>
      </c>
      <c r="H347">
        <v>279</v>
      </c>
      <c r="I347" t="s">
        <v>15</v>
      </c>
      <c r="J347" t="str">
        <f>_xlfn.XLOOKUP(branches[[#This Row],[Филиал]], tbl_Filialy[Филиал], tbl_Filialy[Менеджер])</f>
        <v>Сергей Мельников</v>
      </c>
    </row>
    <row r="348" spans="1:10" x14ac:dyDescent="0.3">
      <c r="A348" t="str">
        <f>_xlfn.XLOOKUP(branches[[#This Row],[Филиал]], tbl_Filialy[Филиал], tbl_Filialy[Город])</f>
        <v>Екатеринбург</v>
      </c>
      <c r="B348" s="1" t="s">
        <v>7</v>
      </c>
      <c r="C348" s="2">
        <v>45791</v>
      </c>
      <c r="D348" s="2" t="str">
        <f>CHOOSE(MONTH(branches[[#This Row],[Дата]]),"Январь","Февраль","Март","Апрель","Май","Июнь","Июль","Август","Сентябрь","Октябрь","Ноябрь","Декабрь")&amp;" "&amp;YEAR(branches[[#This Row],[Дата]])</f>
        <v>Май 2025</v>
      </c>
      <c r="E348" t="s">
        <v>14</v>
      </c>
      <c r="F348" t="s">
        <v>12</v>
      </c>
      <c r="G348">
        <v>2</v>
      </c>
      <c r="H348">
        <v>472</v>
      </c>
      <c r="I348" t="s">
        <v>21</v>
      </c>
      <c r="J348" t="str">
        <f>_xlfn.XLOOKUP(branches[[#This Row],[Филиал]], tbl_Filialy[Филиал], tbl_Filialy[Менеджер])</f>
        <v>Сергей Мельников</v>
      </c>
    </row>
    <row r="349" spans="1:10" x14ac:dyDescent="0.3">
      <c r="A349" t="str">
        <f>_xlfn.XLOOKUP(branches[[#This Row],[Филиал]], tbl_Filialy[Филиал], tbl_Filialy[Город])</f>
        <v>Екатеринбург</v>
      </c>
      <c r="B349" s="1" t="s">
        <v>7</v>
      </c>
      <c r="C349" s="2">
        <v>45891</v>
      </c>
      <c r="D349" s="2" t="str">
        <f>CHOOSE(MONTH(branches[[#This Row],[Дата]]),"Январь","Февраль","Март","Апрель","Май","Июнь","Июль","Август","Сентябрь","Октябрь","Ноябрь","Декабрь")&amp;" "&amp;YEAR(branches[[#This Row],[Дата]])</f>
        <v>Август 2025</v>
      </c>
      <c r="E349" t="s">
        <v>27</v>
      </c>
      <c r="F349" t="s">
        <v>12</v>
      </c>
      <c r="G349">
        <v>3</v>
      </c>
      <c r="H349">
        <v>687</v>
      </c>
      <c r="I349" t="s">
        <v>15</v>
      </c>
      <c r="J349" t="str">
        <f>_xlfn.XLOOKUP(branches[[#This Row],[Филиал]], tbl_Filialy[Филиал], tbl_Filialy[Менеджер])</f>
        <v>Сергей Мельников</v>
      </c>
    </row>
    <row r="350" spans="1:10" x14ac:dyDescent="0.3">
      <c r="A350" t="str">
        <f>_xlfn.XLOOKUP(branches[[#This Row],[Филиал]], tbl_Filialy[Филиал], tbl_Filialy[Город])</f>
        <v>Екатеринбург</v>
      </c>
      <c r="B350" s="1" t="s">
        <v>7</v>
      </c>
      <c r="C350" s="2">
        <v>45949</v>
      </c>
      <c r="D350" s="2" t="str">
        <f>CHOOSE(MONTH(branches[[#This Row],[Дата]]),"Январь","Февраль","Март","Апрель","Май","Июнь","Июль","Август","Сентябрь","Октябрь","Ноябрь","Декабрь")&amp;" "&amp;YEAR(branches[[#This Row],[Дата]])</f>
        <v>Октябрь 2025</v>
      </c>
      <c r="E350" t="s">
        <v>8</v>
      </c>
      <c r="F350" t="s">
        <v>9</v>
      </c>
      <c r="G350">
        <v>2</v>
      </c>
      <c r="H350">
        <v>470</v>
      </c>
      <c r="I350" t="s">
        <v>15</v>
      </c>
      <c r="J350" t="str">
        <f>_xlfn.XLOOKUP(branches[[#This Row],[Филиал]], tbl_Filialy[Филиал], tbl_Filialy[Менеджер])</f>
        <v>Сергей Мельников</v>
      </c>
    </row>
    <row r="351" spans="1:10" x14ac:dyDescent="0.3">
      <c r="A351" t="str">
        <f>_xlfn.XLOOKUP(branches[[#This Row],[Филиал]], tbl_Filialy[Филиал], tbl_Filialy[Город])</f>
        <v>Екатеринбург</v>
      </c>
      <c r="B351" s="1" t="s">
        <v>7</v>
      </c>
      <c r="C351" s="2">
        <v>45769</v>
      </c>
      <c r="D351" s="2" t="str">
        <f>CHOOSE(MONTH(branches[[#This Row],[Дата]]),"Январь","Февраль","Март","Апрель","Май","Июнь","Июль","Август","Сентябрь","Октябрь","Ноябрь","Декабрь")&amp;" "&amp;YEAR(branches[[#This Row],[Дата]])</f>
        <v>Апрель 2025</v>
      </c>
      <c r="E351" t="s">
        <v>11</v>
      </c>
      <c r="F351" t="s">
        <v>12</v>
      </c>
      <c r="G351">
        <v>1</v>
      </c>
      <c r="H351">
        <v>145</v>
      </c>
      <c r="I351" t="s">
        <v>19</v>
      </c>
      <c r="J351" t="str">
        <f>_xlfn.XLOOKUP(branches[[#This Row],[Филиал]], tbl_Filialy[Филиал], tbl_Filialy[Менеджер])</f>
        <v>Сергей Мельников</v>
      </c>
    </row>
    <row r="352" spans="1:10" x14ac:dyDescent="0.3">
      <c r="A352" t="str">
        <f>_xlfn.XLOOKUP(branches[[#This Row],[Филиал]], tbl_Filialy[Филиал], tbl_Filialy[Город])</f>
        <v>Екатеринбург</v>
      </c>
      <c r="B352" s="1" t="s">
        <v>7</v>
      </c>
      <c r="C352" s="2">
        <v>45717</v>
      </c>
      <c r="D352" s="2" t="str">
        <f>CHOOSE(MONTH(branches[[#This Row],[Дата]]),"Январь","Февраль","Март","Апрель","Май","Июнь","Июль","Август","Сентябрь","Октябрь","Ноябрь","Декабрь")&amp;" "&amp;YEAR(branches[[#This Row],[Дата]])</f>
        <v>Март 2025</v>
      </c>
      <c r="E352" t="s">
        <v>11</v>
      </c>
      <c r="F352" t="s">
        <v>12</v>
      </c>
      <c r="G352">
        <v>2</v>
      </c>
      <c r="H352">
        <v>374</v>
      </c>
      <c r="I352" t="s">
        <v>21</v>
      </c>
      <c r="J352" t="str">
        <f>_xlfn.XLOOKUP(branches[[#This Row],[Филиал]], tbl_Filialy[Филиал], tbl_Filialy[Менеджер])</f>
        <v>Сергей Мельников</v>
      </c>
    </row>
    <row r="353" spans="1:10" x14ac:dyDescent="0.3">
      <c r="A353" t="str">
        <f>_xlfn.XLOOKUP(branches[[#This Row],[Филиал]], tbl_Filialy[Филиал], tbl_Filialy[Город])</f>
        <v>Екатеринбург</v>
      </c>
      <c r="B353" s="1" t="s">
        <v>7</v>
      </c>
      <c r="C353" s="2">
        <v>45878</v>
      </c>
      <c r="D353" s="2" t="str">
        <f>CHOOSE(MONTH(branches[[#This Row],[Дата]]),"Январь","Февраль","Март","Апрель","Май","Июнь","Июль","Август","Сентябрь","Октябрь","Ноябрь","Декабрь")&amp;" "&amp;YEAR(branches[[#This Row],[Дата]])</f>
        <v>Август 2025</v>
      </c>
      <c r="E353" t="s">
        <v>28</v>
      </c>
      <c r="F353" t="s">
        <v>12</v>
      </c>
      <c r="G353">
        <v>1</v>
      </c>
      <c r="H353">
        <v>204</v>
      </c>
      <c r="I353" t="s">
        <v>15</v>
      </c>
      <c r="J353" t="str">
        <f>_xlfn.XLOOKUP(branches[[#This Row],[Филиал]], tbl_Filialy[Филиал], tbl_Filialy[Менеджер])</f>
        <v>Сергей Мельников</v>
      </c>
    </row>
    <row r="354" spans="1:10" x14ac:dyDescent="0.3">
      <c r="A354" t="str">
        <f>_xlfn.XLOOKUP(branches[[#This Row],[Филиал]], tbl_Filialy[Филиал], tbl_Filialy[Город])</f>
        <v>Екатеринбург</v>
      </c>
      <c r="B354" s="1" t="s">
        <v>7</v>
      </c>
      <c r="C354" s="2">
        <v>45894</v>
      </c>
      <c r="D354" s="2" t="str">
        <f>CHOOSE(MONTH(branches[[#This Row],[Дата]]),"Январь","Февраль","Март","Апрель","Май","Июнь","Июль","Август","Сентябрь","Октябрь","Ноябрь","Декабрь")&amp;" "&amp;YEAR(branches[[#This Row],[Дата]])</f>
        <v>Август 2025</v>
      </c>
      <c r="E354" t="s">
        <v>26</v>
      </c>
      <c r="F354" t="s">
        <v>9</v>
      </c>
      <c r="G354">
        <v>3</v>
      </c>
      <c r="H354">
        <v>654</v>
      </c>
      <c r="I354" t="s">
        <v>10</v>
      </c>
      <c r="J354" t="str">
        <f>_xlfn.XLOOKUP(branches[[#This Row],[Филиал]], tbl_Filialy[Филиал], tbl_Filialy[Менеджер])</f>
        <v>Сергей Мельников</v>
      </c>
    </row>
    <row r="355" spans="1:10" x14ac:dyDescent="0.3">
      <c r="A355" t="str">
        <f>_xlfn.XLOOKUP(branches[[#This Row],[Филиал]], tbl_Filialy[Филиал], tbl_Filialy[Город])</f>
        <v>Екатеринбург</v>
      </c>
      <c r="B355" s="1" t="s">
        <v>7</v>
      </c>
      <c r="C355" s="2">
        <v>45953</v>
      </c>
      <c r="D355" s="2" t="str">
        <f>CHOOSE(MONTH(branches[[#This Row],[Дата]]),"Январь","Февраль","Март","Апрель","Май","Июнь","Июль","Август","Сентябрь","Октябрь","Ноябрь","Декабрь")&amp;" "&amp;YEAR(branches[[#This Row],[Дата]])</f>
        <v>Октябрь 2025</v>
      </c>
      <c r="E355" t="s">
        <v>27</v>
      </c>
      <c r="F355" t="s">
        <v>12</v>
      </c>
      <c r="G355">
        <v>2</v>
      </c>
      <c r="H355">
        <v>398</v>
      </c>
      <c r="I355" t="s">
        <v>15</v>
      </c>
      <c r="J355" t="str">
        <f>_xlfn.XLOOKUP(branches[[#This Row],[Филиал]], tbl_Filialy[Филиал], tbl_Filialy[Менеджер])</f>
        <v>Сергей Мельников</v>
      </c>
    </row>
    <row r="356" spans="1:10" x14ac:dyDescent="0.3">
      <c r="A356" t="str">
        <f>_xlfn.XLOOKUP(branches[[#This Row],[Филиал]], tbl_Filialy[Филиал], tbl_Filialy[Город])</f>
        <v>Екатеринбург</v>
      </c>
      <c r="B356" s="1" t="s">
        <v>7</v>
      </c>
      <c r="C356" s="2">
        <v>45770</v>
      </c>
      <c r="D356" s="2" t="str">
        <f>CHOOSE(MONTH(branches[[#This Row],[Дата]]),"Январь","Февраль","Март","Апрель","Май","Июнь","Июль","Август","Сентябрь","Октябрь","Ноябрь","Декабрь")&amp;" "&amp;YEAR(branches[[#This Row],[Дата]])</f>
        <v>Апрель 2025</v>
      </c>
      <c r="E356" t="s">
        <v>22</v>
      </c>
      <c r="F356" t="s">
        <v>9</v>
      </c>
      <c r="G356">
        <v>2</v>
      </c>
      <c r="H356">
        <v>388</v>
      </c>
      <c r="I356" t="s">
        <v>23</v>
      </c>
      <c r="J356" t="str">
        <f>_xlfn.XLOOKUP(branches[[#This Row],[Филиал]], tbl_Filialy[Филиал], tbl_Filialy[Менеджер])</f>
        <v>Сергей Мельников</v>
      </c>
    </row>
    <row r="357" spans="1:10" x14ac:dyDescent="0.3">
      <c r="A357" t="str">
        <f>_xlfn.XLOOKUP(branches[[#This Row],[Филиал]], tbl_Filialy[Филиал], tbl_Filialy[Город])</f>
        <v>Екатеринбург</v>
      </c>
      <c r="B357" s="1" t="s">
        <v>7</v>
      </c>
      <c r="C357" s="2">
        <v>45670</v>
      </c>
      <c r="D357" s="2" t="str">
        <f>CHOOSE(MONTH(branches[[#This Row],[Дата]]),"Январь","Февраль","Март","Апрель","Май","Июнь","Июль","Август","Сентябрь","Октябрь","Ноябрь","Декабрь")&amp;" "&amp;YEAR(branches[[#This Row],[Дата]])</f>
        <v>Январь 2025</v>
      </c>
      <c r="E357" t="s">
        <v>24</v>
      </c>
      <c r="F357" t="s">
        <v>17</v>
      </c>
      <c r="G357">
        <v>1</v>
      </c>
      <c r="H357">
        <v>367</v>
      </c>
      <c r="I357" t="s">
        <v>15</v>
      </c>
      <c r="J357" t="str">
        <f>_xlfn.XLOOKUP(branches[[#This Row],[Филиал]], tbl_Filialy[Филиал], tbl_Filialy[Менеджер])</f>
        <v>Сергей Мельников</v>
      </c>
    </row>
    <row r="358" spans="1:10" x14ac:dyDescent="0.3">
      <c r="A358" t="str">
        <f>_xlfn.XLOOKUP(branches[[#This Row],[Филиал]], tbl_Filialy[Филиал], tbl_Filialy[Город])</f>
        <v>Екатеринбург</v>
      </c>
      <c r="B358" s="1" t="s">
        <v>7</v>
      </c>
      <c r="C358" s="2">
        <v>45743</v>
      </c>
      <c r="D358" s="2" t="str">
        <f>CHOOSE(MONTH(branches[[#This Row],[Дата]]),"Январь","Февраль","Март","Апрель","Май","Июнь","Июль","Август","Сентябрь","Октябрь","Ноябрь","Декабрь")&amp;" "&amp;YEAR(branches[[#This Row],[Дата]])</f>
        <v>Март 2025</v>
      </c>
      <c r="E358" t="s">
        <v>24</v>
      </c>
      <c r="F358" t="s">
        <v>17</v>
      </c>
      <c r="G358">
        <v>1</v>
      </c>
      <c r="H358">
        <v>410</v>
      </c>
      <c r="I358" t="s">
        <v>15</v>
      </c>
      <c r="J358" t="str">
        <f>_xlfn.XLOOKUP(branches[[#This Row],[Филиал]], tbl_Filialy[Филиал], tbl_Filialy[Менеджер])</f>
        <v>Сергей Мельников</v>
      </c>
    </row>
    <row r="359" spans="1:10" x14ac:dyDescent="0.3">
      <c r="A359" t="str">
        <f>_xlfn.XLOOKUP(branches[[#This Row],[Филиал]], tbl_Filialy[Филиал], tbl_Filialy[Город])</f>
        <v>Екатеринбург</v>
      </c>
      <c r="B359" s="1" t="s">
        <v>7</v>
      </c>
      <c r="C359" s="2">
        <v>45690</v>
      </c>
      <c r="D359" s="2" t="str">
        <f>CHOOSE(MONTH(branches[[#This Row],[Дата]]),"Январь","Февраль","Март","Апрель","Май","Июнь","Июль","Август","Сентябрь","Октябрь","Ноябрь","Декабрь")&amp;" "&amp;YEAR(branches[[#This Row],[Дата]])</f>
        <v>Февраль 2025</v>
      </c>
      <c r="E359" t="s">
        <v>22</v>
      </c>
      <c r="F359" t="s">
        <v>9</v>
      </c>
      <c r="G359">
        <v>1</v>
      </c>
      <c r="H359">
        <v>184</v>
      </c>
      <c r="I359" t="s">
        <v>10</v>
      </c>
      <c r="J359" t="str">
        <f>_xlfn.XLOOKUP(branches[[#This Row],[Филиал]], tbl_Filialy[Филиал], tbl_Filialy[Менеджер])</f>
        <v>Сергей Мельников</v>
      </c>
    </row>
    <row r="360" spans="1:10" x14ac:dyDescent="0.3">
      <c r="A360" t="str">
        <f>_xlfn.XLOOKUP(branches[[#This Row],[Филиал]], tbl_Filialy[Филиал], tbl_Filialy[Город])</f>
        <v>Екатеринбург</v>
      </c>
      <c r="B360" s="1" t="s">
        <v>7</v>
      </c>
      <c r="C360" s="2">
        <v>45920</v>
      </c>
      <c r="D360" s="2" t="str">
        <f>CHOOSE(MONTH(branches[[#This Row],[Дата]]),"Январь","Февраль","Март","Апрель","Май","Июнь","Июль","Август","Сентябрь","Октябрь","Ноябрь","Декабрь")&amp;" "&amp;YEAR(branches[[#This Row],[Дата]])</f>
        <v>Сентябрь 2025</v>
      </c>
      <c r="E360" t="s">
        <v>20</v>
      </c>
      <c r="F360" t="s">
        <v>12</v>
      </c>
      <c r="G360">
        <v>1</v>
      </c>
      <c r="H360">
        <v>306</v>
      </c>
      <c r="I360" t="s">
        <v>19</v>
      </c>
      <c r="J360" t="str">
        <f>_xlfn.XLOOKUP(branches[[#This Row],[Филиал]], tbl_Filialy[Филиал], tbl_Filialy[Менеджер])</f>
        <v>Сергей Мельников</v>
      </c>
    </row>
    <row r="361" spans="1:10" x14ac:dyDescent="0.3">
      <c r="A361" t="str">
        <f>_xlfn.XLOOKUP(branches[[#This Row],[Филиал]], tbl_Filialy[Филиал], tbl_Filialy[Город])</f>
        <v>Екатеринбург</v>
      </c>
      <c r="B361" s="1" t="s">
        <v>7</v>
      </c>
      <c r="C361" s="2">
        <v>45989</v>
      </c>
      <c r="D361" s="2" t="str">
        <f>CHOOSE(MONTH(branches[[#This Row],[Дата]]),"Январь","Февраль","Март","Апрель","Май","Июнь","Июль","Август","Сентябрь","Октябрь","Ноябрь","Декабрь")&amp;" "&amp;YEAR(branches[[#This Row],[Дата]])</f>
        <v>Ноябрь 2025</v>
      </c>
      <c r="E361" t="s">
        <v>11</v>
      </c>
      <c r="F361" t="s">
        <v>12</v>
      </c>
      <c r="G361">
        <v>3</v>
      </c>
      <c r="H361">
        <v>492</v>
      </c>
      <c r="I361" t="s">
        <v>19</v>
      </c>
      <c r="J361" t="str">
        <f>_xlfn.XLOOKUP(branches[[#This Row],[Филиал]], tbl_Filialy[Филиал], tbl_Filialy[Менеджер])</f>
        <v>Сергей Мельников</v>
      </c>
    </row>
    <row r="362" spans="1:10" x14ac:dyDescent="0.3">
      <c r="A362" t="str">
        <f>_xlfn.XLOOKUP(branches[[#This Row],[Филиал]], tbl_Filialy[Филиал], tbl_Filialy[Город])</f>
        <v>Екатеринбург</v>
      </c>
      <c r="B362" s="1" t="s">
        <v>7</v>
      </c>
      <c r="C362" s="2">
        <v>45911</v>
      </c>
      <c r="D362" s="2" t="str">
        <f>CHOOSE(MONTH(branches[[#This Row],[Дата]]),"Январь","Февраль","Март","Апрель","Май","Июнь","Июль","Август","Сентябрь","Октябрь","Ноябрь","Декабрь")&amp;" "&amp;YEAR(branches[[#This Row],[Дата]])</f>
        <v>Сентябрь 2025</v>
      </c>
      <c r="E362" t="s">
        <v>24</v>
      </c>
      <c r="F362" t="s">
        <v>17</v>
      </c>
      <c r="G362">
        <v>2</v>
      </c>
      <c r="H362">
        <v>750</v>
      </c>
      <c r="I362" t="s">
        <v>21</v>
      </c>
      <c r="J362" t="str">
        <f>_xlfn.XLOOKUP(branches[[#This Row],[Филиал]], tbl_Filialy[Филиал], tbl_Filialy[Менеджер])</f>
        <v>Сергей Мельников</v>
      </c>
    </row>
    <row r="363" spans="1:10" x14ac:dyDescent="0.3">
      <c r="A363" t="str">
        <f>_xlfn.XLOOKUP(branches[[#This Row],[Филиал]], tbl_Filialy[Филиал], tbl_Filialy[Город])</f>
        <v>Екатеринбург</v>
      </c>
      <c r="B363" s="1" t="s">
        <v>7</v>
      </c>
      <c r="C363" s="2">
        <v>45675</v>
      </c>
      <c r="D363" s="2" t="str">
        <f>CHOOSE(MONTH(branches[[#This Row],[Дата]]),"Январь","Февраль","Март","Апрель","Май","Июнь","Июль","Август","Сентябрь","Октябрь","Ноябрь","Декабрь")&amp;" "&amp;YEAR(branches[[#This Row],[Дата]])</f>
        <v>Январь 2025</v>
      </c>
      <c r="E363" t="s">
        <v>24</v>
      </c>
      <c r="F363" t="s">
        <v>17</v>
      </c>
      <c r="G363">
        <v>1</v>
      </c>
      <c r="H363">
        <v>399</v>
      </c>
      <c r="I363" t="s">
        <v>13</v>
      </c>
      <c r="J363" t="str">
        <f>_xlfn.XLOOKUP(branches[[#This Row],[Филиал]], tbl_Filialy[Филиал], tbl_Filialy[Менеджер])</f>
        <v>Сергей Мельников</v>
      </c>
    </row>
    <row r="364" spans="1:10" x14ac:dyDescent="0.3">
      <c r="A364" t="str">
        <f>_xlfn.XLOOKUP(branches[[#This Row],[Филиал]], tbl_Filialy[Филиал], tbl_Filialy[Город])</f>
        <v>Екатеринбург</v>
      </c>
      <c r="B364" s="1" t="s">
        <v>7</v>
      </c>
      <c r="C364" s="2">
        <v>45921</v>
      </c>
      <c r="D364" s="2" t="str">
        <f>CHOOSE(MONTH(branches[[#This Row],[Дата]]),"Январь","Февраль","Март","Апрель","Май","Июнь","Июль","Август","Сентябрь","Октябрь","Ноябрь","Декабрь")&amp;" "&amp;YEAR(branches[[#This Row],[Дата]])</f>
        <v>Сентябрь 2025</v>
      </c>
      <c r="E364" t="s">
        <v>11</v>
      </c>
      <c r="F364" t="s">
        <v>12</v>
      </c>
      <c r="G364">
        <v>3</v>
      </c>
      <c r="H364">
        <v>438</v>
      </c>
      <c r="I364" t="s">
        <v>19</v>
      </c>
      <c r="J364" t="str">
        <f>_xlfn.XLOOKUP(branches[[#This Row],[Филиал]], tbl_Filialy[Филиал], tbl_Filialy[Менеджер])</f>
        <v>Сергей Мельников</v>
      </c>
    </row>
    <row r="365" spans="1:10" x14ac:dyDescent="0.3">
      <c r="A365" t="str">
        <f>_xlfn.XLOOKUP(branches[[#This Row],[Филиал]], tbl_Filialy[Филиал], tbl_Filialy[Город])</f>
        <v>Екатеринбург</v>
      </c>
      <c r="B365" s="1" t="s">
        <v>7</v>
      </c>
      <c r="C365" s="2">
        <v>45735</v>
      </c>
      <c r="D365" s="2" t="str">
        <f>CHOOSE(MONTH(branches[[#This Row],[Дата]]),"Январь","Февраль","Март","Апрель","Май","Июнь","Июль","Август","Сентябрь","Октябрь","Ноябрь","Декабрь")&amp;" "&amp;YEAR(branches[[#This Row],[Дата]])</f>
        <v>Март 2025</v>
      </c>
      <c r="E365" t="s">
        <v>8</v>
      </c>
      <c r="F365" t="s">
        <v>9</v>
      </c>
      <c r="G365">
        <v>2</v>
      </c>
      <c r="H365">
        <v>456</v>
      </c>
      <c r="I365" t="s">
        <v>15</v>
      </c>
      <c r="J365" t="str">
        <f>_xlfn.XLOOKUP(branches[[#This Row],[Филиал]], tbl_Filialy[Филиал], tbl_Filialy[Менеджер])</f>
        <v>Сергей Мельников</v>
      </c>
    </row>
    <row r="366" spans="1:10" x14ac:dyDescent="0.3">
      <c r="A366" t="str">
        <f>_xlfn.XLOOKUP(branches[[#This Row],[Филиал]], tbl_Filialy[Филиал], tbl_Filialy[Город])</f>
        <v>Екатеринбург</v>
      </c>
      <c r="B366" s="1" t="s">
        <v>7</v>
      </c>
      <c r="C366" s="2">
        <v>46015</v>
      </c>
      <c r="D366" s="2" t="str">
        <f>CHOOSE(MONTH(branches[[#This Row],[Дата]]),"Январь","Февраль","Март","Апрель","Май","Июнь","Июль","Август","Сентябрь","Октябрь","Ноябрь","Декабрь")&amp;" "&amp;YEAR(branches[[#This Row],[Дата]])</f>
        <v>Декабрь 2025</v>
      </c>
      <c r="E366" t="s">
        <v>18</v>
      </c>
      <c r="F366" t="s">
        <v>12</v>
      </c>
      <c r="G366">
        <v>1</v>
      </c>
      <c r="H366">
        <v>131</v>
      </c>
      <c r="I366" t="s">
        <v>15</v>
      </c>
      <c r="J366" t="str">
        <f>_xlfn.XLOOKUP(branches[[#This Row],[Филиал]], tbl_Filialy[Филиал], tbl_Filialy[Менеджер])</f>
        <v>Сергей Мельников</v>
      </c>
    </row>
    <row r="367" spans="1:10" x14ac:dyDescent="0.3">
      <c r="A367" t="str">
        <f>_xlfn.XLOOKUP(branches[[#This Row],[Филиал]], tbl_Filialy[Филиал], tbl_Filialy[Город])</f>
        <v>Екатеринбург</v>
      </c>
      <c r="B367" s="1" t="s">
        <v>7</v>
      </c>
      <c r="C367" s="2">
        <v>45674</v>
      </c>
      <c r="D367" s="2" t="str">
        <f>CHOOSE(MONTH(branches[[#This Row],[Дата]]),"Январь","Февраль","Март","Апрель","Май","Июнь","Июль","Август","Сентябрь","Октябрь","Ноябрь","Декабрь")&amp;" "&amp;YEAR(branches[[#This Row],[Дата]])</f>
        <v>Январь 2025</v>
      </c>
      <c r="E367" t="s">
        <v>20</v>
      </c>
      <c r="F367" t="s">
        <v>12</v>
      </c>
      <c r="G367">
        <v>3</v>
      </c>
      <c r="H367">
        <v>750</v>
      </c>
      <c r="I367" t="s">
        <v>15</v>
      </c>
      <c r="J367" t="str">
        <f>_xlfn.XLOOKUP(branches[[#This Row],[Филиал]], tbl_Filialy[Филиал], tbl_Filialy[Менеджер])</f>
        <v>Сергей Мельников</v>
      </c>
    </row>
    <row r="368" spans="1:10" x14ac:dyDescent="0.3">
      <c r="A368" t="str">
        <f>_xlfn.XLOOKUP(branches[[#This Row],[Филиал]], tbl_Filialy[Филиал], tbl_Filialy[Город])</f>
        <v>Екатеринбург</v>
      </c>
      <c r="B368" s="1" t="s">
        <v>7</v>
      </c>
      <c r="C368" s="2">
        <v>46001</v>
      </c>
      <c r="D368" s="2" t="str">
        <f>CHOOSE(MONTH(branches[[#This Row],[Дата]]),"Январь","Февраль","Март","Апрель","Май","Июнь","Июль","Август","Сентябрь","Октябрь","Ноябрь","Декабрь")&amp;" "&amp;YEAR(branches[[#This Row],[Дата]])</f>
        <v>Декабрь 2025</v>
      </c>
      <c r="E368" t="s">
        <v>11</v>
      </c>
      <c r="F368" t="s">
        <v>12</v>
      </c>
      <c r="G368">
        <v>1</v>
      </c>
      <c r="H368">
        <v>185</v>
      </c>
      <c r="I368" t="s">
        <v>13</v>
      </c>
      <c r="J368" t="str">
        <f>_xlfn.XLOOKUP(branches[[#This Row],[Филиал]], tbl_Filialy[Филиал], tbl_Filialy[Менеджер])</f>
        <v>Сергей Мельников</v>
      </c>
    </row>
    <row r="369" spans="1:10" x14ac:dyDescent="0.3">
      <c r="A369" t="str">
        <f>_xlfn.XLOOKUP(branches[[#This Row],[Филиал]], tbl_Filialy[Филиал], tbl_Filialy[Город])</f>
        <v>Екатеринбург</v>
      </c>
      <c r="B369" s="1" t="s">
        <v>7</v>
      </c>
      <c r="C369" s="2">
        <v>45846</v>
      </c>
      <c r="D369" s="2" t="str">
        <f>CHOOSE(MONTH(branches[[#This Row],[Дата]]),"Январь","Февраль","Март","Апрель","Май","Июнь","Июль","Август","Сентябрь","Октябрь","Ноябрь","Декабрь")&amp;" "&amp;YEAR(branches[[#This Row],[Дата]])</f>
        <v>Июль 2025</v>
      </c>
      <c r="E369" t="s">
        <v>25</v>
      </c>
      <c r="F369" t="s">
        <v>12</v>
      </c>
      <c r="G369">
        <v>2</v>
      </c>
      <c r="H369">
        <v>396</v>
      </c>
      <c r="I369" t="s">
        <v>15</v>
      </c>
      <c r="J369" t="str">
        <f>_xlfn.XLOOKUP(branches[[#This Row],[Филиал]], tbl_Filialy[Филиал], tbl_Filialy[Менеджер])</f>
        <v>Сергей Мельников</v>
      </c>
    </row>
    <row r="370" spans="1:10" x14ac:dyDescent="0.3">
      <c r="A370" t="str">
        <f>_xlfn.XLOOKUP(branches[[#This Row],[Филиал]], tbl_Filialy[Филиал], tbl_Filialy[Город])</f>
        <v>Екатеринбург</v>
      </c>
      <c r="B370" s="1" t="s">
        <v>7</v>
      </c>
      <c r="C370" s="2">
        <v>45848</v>
      </c>
      <c r="D370" s="2" t="str">
        <f>CHOOSE(MONTH(branches[[#This Row],[Дата]]),"Январь","Февраль","Март","Апрель","Май","Июнь","Июль","Август","Сентябрь","Октябрь","Ноябрь","Декабрь")&amp;" "&amp;YEAR(branches[[#This Row],[Дата]])</f>
        <v>Июль 2025</v>
      </c>
      <c r="E370" t="s">
        <v>20</v>
      </c>
      <c r="F370" t="s">
        <v>12</v>
      </c>
      <c r="G370">
        <v>1</v>
      </c>
      <c r="H370">
        <v>262</v>
      </c>
      <c r="I370" t="s">
        <v>15</v>
      </c>
      <c r="J370" t="str">
        <f>_xlfn.XLOOKUP(branches[[#This Row],[Филиал]], tbl_Filialy[Филиал], tbl_Filialy[Менеджер])</f>
        <v>Сергей Мельников</v>
      </c>
    </row>
    <row r="371" spans="1:10" x14ac:dyDescent="0.3">
      <c r="A371" t="str">
        <f>_xlfn.XLOOKUP(branches[[#This Row],[Филиал]], tbl_Filialy[Филиал], tbl_Filialy[Город])</f>
        <v>Екатеринбург</v>
      </c>
      <c r="B371" s="1" t="s">
        <v>7</v>
      </c>
      <c r="C371" s="2">
        <v>45801</v>
      </c>
      <c r="D371" s="2" t="str">
        <f>CHOOSE(MONTH(branches[[#This Row],[Дата]]),"Январь","Февраль","Март","Апрель","Май","Июнь","Июль","Август","Сентябрь","Октябрь","Ноябрь","Декабрь")&amp;" "&amp;YEAR(branches[[#This Row],[Дата]])</f>
        <v>Май 2025</v>
      </c>
      <c r="E371" t="s">
        <v>26</v>
      </c>
      <c r="F371" t="s">
        <v>9</v>
      </c>
      <c r="G371">
        <v>1</v>
      </c>
      <c r="H371">
        <v>204</v>
      </c>
      <c r="I371" t="s">
        <v>15</v>
      </c>
      <c r="J371" t="str">
        <f>_xlfn.XLOOKUP(branches[[#This Row],[Филиал]], tbl_Filialy[Филиал], tbl_Filialy[Менеджер])</f>
        <v>Сергей Мельников</v>
      </c>
    </row>
    <row r="372" spans="1:10" x14ac:dyDescent="0.3">
      <c r="A372" t="str">
        <f>_xlfn.XLOOKUP(branches[[#This Row],[Филиал]], tbl_Filialy[Филиал], tbl_Filialy[Город])</f>
        <v>Екатеринбург</v>
      </c>
      <c r="B372" s="1" t="s">
        <v>7</v>
      </c>
      <c r="C372" s="2">
        <v>46016</v>
      </c>
      <c r="D372" s="2" t="str">
        <f>CHOOSE(MONTH(branches[[#This Row],[Дата]]),"Январь","Февраль","Март","Апрель","Май","Июнь","Июль","Август","Сентябрь","Октябрь","Ноябрь","Декабрь")&amp;" "&amp;YEAR(branches[[#This Row],[Дата]])</f>
        <v>Декабрь 2025</v>
      </c>
      <c r="E372" t="s">
        <v>16</v>
      </c>
      <c r="F372" t="s">
        <v>17</v>
      </c>
      <c r="G372">
        <v>2</v>
      </c>
      <c r="H372">
        <v>642</v>
      </c>
      <c r="I372" t="s">
        <v>21</v>
      </c>
      <c r="J372" t="str">
        <f>_xlfn.XLOOKUP(branches[[#This Row],[Филиал]], tbl_Filialy[Филиал], tbl_Filialy[Менеджер])</f>
        <v>Сергей Мельников</v>
      </c>
    </row>
    <row r="373" spans="1:10" x14ac:dyDescent="0.3">
      <c r="A373" t="str">
        <f>_xlfn.XLOOKUP(branches[[#This Row],[Филиал]], tbl_Filialy[Филиал], tbl_Filialy[Город])</f>
        <v>Екатеринбург</v>
      </c>
      <c r="B373" s="1" t="s">
        <v>7</v>
      </c>
      <c r="C373" s="2">
        <v>46000</v>
      </c>
      <c r="D373" s="2" t="str">
        <f>CHOOSE(MONTH(branches[[#This Row],[Дата]]),"Январь","Февраль","Март","Апрель","Май","Июнь","Июль","Август","Сентябрь","Октябрь","Ноябрь","Декабрь")&amp;" "&amp;YEAR(branches[[#This Row],[Дата]])</f>
        <v>Декабрь 2025</v>
      </c>
      <c r="E373" t="s">
        <v>28</v>
      </c>
      <c r="F373" t="s">
        <v>12</v>
      </c>
      <c r="G373">
        <v>1</v>
      </c>
      <c r="H373">
        <v>239</v>
      </c>
      <c r="I373" t="s">
        <v>23</v>
      </c>
      <c r="J373" t="str">
        <f>_xlfn.XLOOKUP(branches[[#This Row],[Филиал]], tbl_Filialy[Филиал], tbl_Filialy[Менеджер])</f>
        <v>Сергей Мельников</v>
      </c>
    </row>
    <row r="374" spans="1:10" x14ac:dyDescent="0.3">
      <c r="A374" t="str">
        <f>_xlfn.XLOOKUP(branches[[#This Row],[Филиал]], tbl_Filialy[Филиал], tbl_Filialy[Город])</f>
        <v>Екатеринбург</v>
      </c>
      <c r="B374" s="1" t="s">
        <v>7</v>
      </c>
      <c r="C374" s="2">
        <v>45849</v>
      </c>
      <c r="D374" s="2" t="str">
        <f>CHOOSE(MONTH(branches[[#This Row],[Дата]]),"Январь","Февраль","Март","Апрель","Май","Июнь","Июль","Август","Сентябрь","Октябрь","Ноябрь","Декабрь")&amp;" "&amp;YEAR(branches[[#This Row],[Дата]])</f>
        <v>Июль 2025</v>
      </c>
      <c r="E374" t="s">
        <v>25</v>
      </c>
      <c r="F374" t="s">
        <v>12</v>
      </c>
      <c r="G374">
        <v>2</v>
      </c>
      <c r="H374">
        <v>414</v>
      </c>
      <c r="I374" t="s">
        <v>15</v>
      </c>
      <c r="J374" t="str">
        <f>_xlfn.XLOOKUP(branches[[#This Row],[Филиал]], tbl_Filialy[Филиал], tbl_Filialy[Менеджер])</f>
        <v>Сергей Мельников</v>
      </c>
    </row>
    <row r="375" spans="1:10" x14ac:dyDescent="0.3">
      <c r="A375" t="str">
        <f>_xlfn.XLOOKUP(branches[[#This Row],[Филиал]], tbl_Filialy[Филиал], tbl_Filialy[Город])</f>
        <v>Екатеринбург</v>
      </c>
      <c r="B375" s="1" t="s">
        <v>7</v>
      </c>
      <c r="C375" s="2">
        <v>45661</v>
      </c>
      <c r="D375" s="2" t="str">
        <f>CHOOSE(MONTH(branches[[#This Row],[Дата]]),"Январь","Февраль","Март","Апрель","Май","Июнь","Июль","Август","Сентябрь","Октябрь","Ноябрь","Декабрь")&amp;" "&amp;YEAR(branches[[#This Row],[Дата]])</f>
        <v>Январь 2025</v>
      </c>
      <c r="E375" t="s">
        <v>22</v>
      </c>
      <c r="F375" t="s">
        <v>9</v>
      </c>
      <c r="G375">
        <v>1</v>
      </c>
      <c r="H375">
        <v>192</v>
      </c>
      <c r="I375" t="s">
        <v>15</v>
      </c>
      <c r="J375" t="str">
        <f>_xlfn.XLOOKUP(branches[[#This Row],[Филиал]], tbl_Filialy[Филиал], tbl_Filialy[Менеджер])</f>
        <v>Сергей Мельников</v>
      </c>
    </row>
    <row r="376" spans="1:10" x14ac:dyDescent="0.3">
      <c r="A376" t="str">
        <f>_xlfn.XLOOKUP(branches[[#This Row],[Филиал]], tbl_Filialy[Филиал], tbl_Filialy[Город])</f>
        <v>Екатеринбург</v>
      </c>
      <c r="B376" s="1" t="s">
        <v>7</v>
      </c>
      <c r="C376" s="2">
        <v>45742</v>
      </c>
      <c r="D376" s="2" t="str">
        <f>CHOOSE(MONTH(branches[[#This Row],[Дата]]),"Январь","Февраль","Март","Апрель","Май","Июнь","Июль","Август","Сентябрь","Октябрь","Ноябрь","Декабрь")&amp;" "&amp;YEAR(branches[[#This Row],[Дата]])</f>
        <v>Март 2025</v>
      </c>
      <c r="E376" t="s">
        <v>25</v>
      </c>
      <c r="F376" t="s">
        <v>12</v>
      </c>
      <c r="G376">
        <v>2</v>
      </c>
      <c r="H376">
        <v>458</v>
      </c>
      <c r="I376" t="s">
        <v>19</v>
      </c>
      <c r="J376" t="str">
        <f>_xlfn.XLOOKUP(branches[[#This Row],[Филиал]], tbl_Filialy[Филиал], tbl_Filialy[Менеджер])</f>
        <v>Сергей Мельников</v>
      </c>
    </row>
    <row r="377" spans="1:10" x14ac:dyDescent="0.3">
      <c r="A377" t="str">
        <f>_xlfn.XLOOKUP(branches[[#This Row],[Филиал]], tbl_Filialy[Филиал], tbl_Filialy[Город])</f>
        <v>Екатеринбург</v>
      </c>
      <c r="B377" s="1" t="s">
        <v>7</v>
      </c>
      <c r="C377" s="2">
        <v>45717</v>
      </c>
      <c r="D377" s="2" t="str">
        <f>CHOOSE(MONTH(branches[[#This Row],[Дата]]),"Январь","Февраль","Март","Апрель","Май","Июнь","Июль","Август","Сентябрь","Октябрь","Ноябрь","Декабрь")&amp;" "&amp;YEAR(branches[[#This Row],[Дата]])</f>
        <v>Март 2025</v>
      </c>
      <c r="E377" t="s">
        <v>26</v>
      </c>
      <c r="F377" t="s">
        <v>9</v>
      </c>
      <c r="G377">
        <v>3</v>
      </c>
      <c r="H377">
        <v>588</v>
      </c>
      <c r="I377" t="s">
        <v>19</v>
      </c>
      <c r="J377" t="str">
        <f>_xlfn.XLOOKUP(branches[[#This Row],[Филиал]], tbl_Filialy[Филиал], tbl_Filialy[Менеджер])</f>
        <v>Сергей Мельников</v>
      </c>
    </row>
    <row r="378" spans="1:10" x14ac:dyDescent="0.3">
      <c r="A378" t="str">
        <f>_xlfn.XLOOKUP(branches[[#This Row],[Филиал]], tbl_Filialy[Филиал], tbl_Filialy[Город])</f>
        <v>Екатеринбург</v>
      </c>
      <c r="B378" s="1" t="s">
        <v>7</v>
      </c>
      <c r="C378" s="2">
        <v>46013</v>
      </c>
      <c r="D378" s="2" t="str">
        <f>CHOOSE(MONTH(branches[[#This Row],[Дата]]),"Январь","Февраль","Март","Апрель","Май","Июнь","Июль","Август","Сентябрь","Октябрь","Ноябрь","Декабрь")&amp;" "&amp;YEAR(branches[[#This Row],[Дата]])</f>
        <v>Декабрь 2025</v>
      </c>
      <c r="E378" t="s">
        <v>28</v>
      </c>
      <c r="F378" t="s">
        <v>12</v>
      </c>
      <c r="G378">
        <v>1</v>
      </c>
      <c r="H378">
        <v>231</v>
      </c>
      <c r="I378" t="s">
        <v>21</v>
      </c>
      <c r="J378" t="str">
        <f>_xlfn.XLOOKUP(branches[[#This Row],[Филиал]], tbl_Filialy[Филиал], tbl_Filialy[Менеджер])</f>
        <v>Сергей Мельников</v>
      </c>
    </row>
    <row r="379" spans="1:10" x14ac:dyDescent="0.3">
      <c r="A379" t="str">
        <f>_xlfn.XLOOKUP(branches[[#This Row],[Филиал]], tbl_Filialy[Филиал], tbl_Filialy[Город])</f>
        <v>Екатеринбург</v>
      </c>
      <c r="B379" s="1" t="s">
        <v>7</v>
      </c>
      <c r="C379" s="2">
        <v>45805</v>
      </c>
      <c r="D379" s="2" t="str">
        <f>CHOOSE(MONTH(branches[[#This Row],[Дата]]),"Январь","Февраль","Март","Апрель","Май","Июнь","Июль","Август","Сентябрь","Октябрь","Ноябрь","Декабрь")&amp;" "&amp;YEAR(branches[[#This Row],[Дата]])</f>
        <v>Май 2025</v>
      </c>
      <c r="E379" t="s">
        <v>8</v>
      </c>
      <c r="F379" t="s">
        <v>9</v>
      </c>
      <c r="G379">
        <v>1</v>
      </c>
      <c r="H379">
        <v>239</v>
      </c>
      <c r="I379" t="s">
        <v>21</v>
      </c>
      <c r="J379" t="str">
        <f>_xlfn.XLOOKUP(branches[[#This Row],[Филиал]], tbl_Filialy[Филиал], tbl_Filialy[Менеджер])</f>
        <v>Сергей Мельников</v>
      </c>
    </row>
    <row r="380" spans="1:10" x14ac:dyDescent="0.3">
      <c r="A380" t="str">
        <f>_xlfn.XLOOKUP(branches[[#This Row],[Филиал]], tbl_Filialy[Филиал], tbl_Filialy[Город])</f>
        <v>Екатеринбург</v>
      </c>
      <c r="B380" s="1" t="s">
        <v>7</v>
      </c>
      <c r="C380" s="2">
        <v>45751</v>
      </c>
      <c r="D380" s="2" t="str">
        <f>CHOOSE(MONTH(branches[[#This Row],[Дата]]),"Январь","Февраль","Март","Апрель","Май","Июнь","Июль","Август","Сентябрь","Октябрь","Ноябрь","Декабрь")&amp;" "&amp;YEAR(branches[[#This Row],[Дата]])</f>
        <v>Апрель 2025</v>
      </c>
      <c r="E380" t="s">
        <v>8</v>
      </c>
      <c r="F380" t="s">
        <v>9</v>
      </c>
      <c r="G380">
        <v>1</v>
      </c>
      <c r="H380">
        <v>246</v>
      </c>
      <c r="I380" t="s">
        <v>15</v>
      </c>
      <c r="J380" t="str">
        <f>_xlfn.XLOOKUP(branches[[#This Row],[Филиал]], tbl_Filialy[Филиал], tbl_Filialy[Менеджер])</f>
        <v>Сергей Мельников</v>
      </c>
    </row>
    <row r="381" spans="1:10" x14ac:dyDescent="0.3">
      <c r="A381" t="str">
        <f>_xlfn.XLOOKUP(branches[[#This Row],[Филиал]], tbl_Filialy[Филиал], tbl_Filialy[Город])</f>
        <v>Екатеринбург</v>
      </c>
      <c r="B381" s="1" t="s">
        <v>7</v>
      </c>
      <c r="C381" s="2">
        <v>45716</v>
      </c>
      <c r="D381" s="2" t="str">
        <f>CHOOSE(MONTH(branches[[#This Row],[Дата]]),"Январь","Февраль","Март","Апрель","Май","Июнь","Июль","Август","Сентябрь","Октябрь","Ноябрь","Декабрь")&amp;" "&amp;YEAR(branches[[#This Row],[Дата]])</f>
        <v>Февраль 2025</v>
      </c>
      <c r="E381" t="s">
        <v>20</v>
      </c>
      <c r="F381" t="s">
        <v>12</v>
      </c>
      <c r="G381">
        <v>2</v>
      </c>
      <c r="H381">
        <v>502</v>
      </c>
      <c r="I381" t="s">
        <v>13</v>
      </c>
      <c r="J381" t="str">
        <f>_xlfn.XLOOKUP(branches[[#This Row],[Филиал]], tbl_Filialy[Филиал], tbl_Filialy[Менеджер])</f>
        <v>Сергей Мельников</v>
      </c>
    </row>
    <row r="382" spans="1:10" x14ac:dyDescent="0.3">
      <c r="A382" t="str">
        <f>_xlfn.XLOOKUP(branches[[#This Row],[Филиал]], tbl_Filialy[Филиал], tbl_Filialy[Город])</f>
        <v>Екатеринбург</v>
      </c>
      <c r="B382" s="1" t="s">
        <v>7</v>
      </c>
      <c r="C382" s="2">
        <v>45754</v>
      </c>
      <c r="D382" s="2" t="str">
        <f>CHOOSE(MONTH(branches[[#This Row],[Дата]]),"Январь","Февраль","Март","Апрель","Май","Июнь","Июль","Август","Сентябрь","Октябрь","Ноябрь","Декабрь")&amp;" "&amp;YEAR(branches[[#This Row],[Дата]])</f>
        <v>Апрель 2025</v>
      </c>
      <c r="E382" t="s">
        <v>24</v>
      </c>
      <c r="F382" t="s">
        <v>17</v>
      </c>
      <c r="G382">
        <v>1</v>
      </c>
      <c r="H382">
        <v>349</v>
      </c>
      <c r="I382" t="s">
        <v>10</v>
      </c>
      <c r="J382" t="str">
        <f>_xlfn.XLOOKUP(branches[[#This Row],[Филиал]], tbl_Filialy[Филиал], tbl_Filialy[Менеджер])</f>
        <v>Сергей Мельников</v>
      </c>
    </row>
    <row r="383" spans="1:10" x14ac:dyDescent="0.3">
      <c r="A383" t="str">
        <f>_xlfn.XLOOKUP(branches[[#This Row],[Филиал]], tbl_Filialy[Филиал], tbl_Filialy[Город])</f>
        <v>Екатеринбург</v>
      </c>
      <c r="B383" s="1" t="s">
        <v>7</v>
      </c>
      <c r="C383" s="2">
        <v>45761</v>
      </c>
      <c r="D383" s="2" t="str">
        <f>CHOOSE(MONTH(branches[[#This Row],[Дата]]),"Январь","Февраль","Март","Апрель","Май","Июнь","Июль","Август","Сентябрь","Октябрь","Ноябрь","Декабрь")&amp;" "&amp;YEAR(branches[[#This Row],[Дата]])</f>
        <v>Апрель 2025</v>
      </c>
      <c r="E383" t="s">
        <v>26</v>
      </c>
      <c r="F383" t="s">
        <v>9</v>
      </c>
      <c r="G383">
        <v>3</v>
      </c>
      <c r="H383">
        <v>555</v>
      </c>
      <c r="I383" t="s">
        <v>15</v>
      </c>
      <c r="J383" t="str">
        <f>_xlfn.XLOOKUP(branches[[#This Row],[Филиал]], tbl_Filialy[Филиал], tbl_Filialy[Менеджер])</f>
        <v>Сергей Мельников</v>
      </c>
    </row>
    <row r="384" spans="1:10" x14ac:dyDescent="0.3">
      <c r="A384" t="str">
        <f>_xlfn.XLOOKUP(branches[[#This Row],[Филиал]], tbl_Filialy[Филиал], tbl_Filialy[Город])</f>
        <v>Екатеринбург</v>
      </c>
      <c r="B384" s="1" t="s">
        <v>7</v>
      </c>
      <c r="C384" s="2">
        <v>45881</v>
      </c>
      <c r="D384" s="2" t="str">
        <f>CHOOSE(MONTH(branches[[#This Row],[Дата]]),"Январь","Февраль","Март","Апрель","Май","Июнь","Июль","Август","Сентябрь","Октябрь","Ноябрь","Декабрь")&amp;" "&amp;YEAR(branches[[#This Row],[Дата]])</f>
        <v>Август 2025</v>
      </c>
      <c r="E384" t="s">
        <v>28</v>
      </c>
      <c r="F384" t="s">
        <v>12</v>
      </c>
      <c r="G384">
        <v>1</v>
      </c>
      <c r="H384">
        <v>236</v>
      </c>
      <c r="I384" t="s">
        <v>10</v>
      </c>
      <c r="J384" t="str">
        <f>_xlfn.XLOOKUP(branches[[#This Row],[Филиал]], tbl_Filialy[Филиал], tbl_Filialy[Менеджер])</f>
        <v>Сергей Мельников</v>
      </c>
    </row>
    <row r="385" spans="1:10" x14ac:dyDescent="0.3">
      <c r="A385" t="str">
        <f>_xlfn.XLOOKUP(branches[[#This Row],[Филиал]], tbl_Filialy[Филиал], tbl_Filialy[Город])</f>
        <v>Екатеринбург</v>
      </c>
      <c r="B385" s="1" t="s">
        <v>7</v>
      </c>
      <c r="C385" s="2">
        <v>45677</v>
      </c>
      <c r="D385" s="2" t="str">
        <f>CHOOSE(MONTH(branches[[#This Row],[Дата]]),"Январь","Февраль","Март","Апрель","Май","Июнь","Июль","Август","Сентябрь","Октябрь","Ноябрь","Декабрь")&amp;" "&amp;YEAR(branches[[#This Row],[Дата]])</f>
        <v>Январь 2025</v>
      </c>
      <c r="E385" t="s">
        <v>24</v>
      </c>
      <c r="F385" t="s">
        <v>17</v>
      </c>
      <c r="G385">
        <v>1</v>
      </c>
      <c r="H385">
        <v>338</v>
      </c>
      <c r="I385" t="s">
        <v>23</v>
      </c>
      <c r="J385" t="str">
        <f>_xlfn.XLOOKUP(branches[[#This Row],[Филиал]], tbl_Filialy[Филиал], tbl_Filialy[Менеджер])</f>
        <v>Сергей Мельников</v>
      </c>
    </row>
    <row r="386" spans="1:10" x14ac:dyDescent="0.3">
      <c r="A386" t="str">
        <f>_xlfn.XLOOKUP(branches[[#This Row],[Филиал]], tbl_Filialy[Филиал], tbl_Filialy[Город])</f>
        <v>Екатеринбург</v>
      </c>
      <c r="B386" s="1" t="s">
        <v>7</v>
      </c>
      <c r="C386" s="2">
        <v>45781</v>
      </c>
      <c r="D386" s="2" t="str">
        <f>CHOOSE(MONTH(branches[[#This Row],[Дата]]),"Январь","Февраль","Март","Апрель","Май","Июнь","Июль","Август","Сентябрь","Октябрь","Ноябрь","Декабрь")&amp;" "&amp;YEAR(branches[[#This Row],[Дата]])</f>
        <v>Май 2025</v>
      </c>
      <c r="E386" t="s">
        <v>24</v>
      </c>
      <c r="F386" t="s">
        <v>17</v>
      </c>
      <c r="G386">
        <v>1</v>
      </c>
      <c r="H386">
        <v>405</v>
      </c>
      <c r="I386" t="s">
        <v>21</v>
      </c>
      <c r="J386" t="str">
        <f>_xlfn.XLOOKUP(branches[[#This Row],[Филиал]], tbl_Filialy[Филиал], tbl_Filialy[Менеджер])</f>
        <v>Сергей Мельников</v>
      </c>
    </row>
    <row r="387" spans="1:10" x14ac:dyDescent="0.3">
      <c r="A387" t="str">
        <f>_xlfn.XLOOKUP(branches[[#This Row],[Филиал]], tbl_Filialy[Филиал], tbl_Filialy[Город])</f>
        <v>Екатеринбург</v>
      </c>
      <c r="B387" s="1" t="s">
        <v>7</v>
      </c>
      <c r="C387" s="2">
        <v>45672</v>
      </c>
      <c r="D387" s="2" t="str">
        <f>CHOOSE(MONTH(branches[[#This Row],[Дата]]),"Январь","Февраль","Март","Апрель","Май","Июнь","Июль","Август","Сентябрь","Октябрь","Ноябрь","Декабрь")&amp;" "&amp;YEAR(branches[[#This Row],[Дата]])</f>
        <v>Январь 2025</v>
      </c>
      <c r="E387" t="s">
        <v>20</v>
      </c>
      <c r="F387" t="s">
        <v>12</v>
      </c>
      <c r="G387">
        <v>1</v>
      </c>
      <c r="H387">
        <v>245</v>
      </c>
      <c r="I387" t="s">
        <v>13</v>
      </c>
      <c r="J387" t="str">
        <f>_xlfn.XLOOKUP(branches[[#This Row],[Филиал]], tbl_Filialy[Филиал], tbl_Filialy[Менеджер])</f>
        <v>Сергей Мельников</v>
      </c>
    </row>
    <row r="388" spans="1:10" x14ac:dyDescent="0.3">
      <c r="A388" t="str">
        <f>_xlfn.XLOOKUP(branches[[#This Row],[Филиал]], tbl_Filialy[Филиал], tbl_Filialy[Город])</f>
        <v>Екатеринбург</v>
      </c>
      <c r="B388" s="1" t="s">
        <v>7</v>
      </c>
      <c r="C388" s="2">
        <v>45716</v>
      </c>
      <c r="D388" s="2" t="str">
        <f>CHOOSE(MONTH(branches[[#This Row],[Дата]]),"Январь","Февраль","Март","Апрель","Май","Июнь","Июль","Август","Сентябрь","Октябрь","Ноябрь","Декабрь")&amp;" "&amp;YEAR(branches[[#This Row],[Дата]])</f>
        <v>Февраль 2025</v>
      </c>
      <c r="E388" t="s">
        <v>14</v>
      </c>
      <c r="F388" t="s">
        <v>12</v>
      </c>
      <c r="G388">
        <v>3</v>
      </c>
      <c r="H388">
        <v>795</v>
      </c>
      <c r="I388" t="s">
        <v>15</v>
      </c>
      <c r="J388" t="str">
        <f>_xlfn.XLOOKUP(branches[[#This Row],[Филиал]], tbl_Filialy[Филиал], tbl_Filialy[Менеджер])</f>
        <v>Сергей Мельников</v>
      </c>
    </row>
    <row r="389" spans="1:10" x14ac:dyDescent="0.3">
      <c r="A389" t="str">
        <f>_xlfn.XLOOKUP(branches[[#This Row],[Филиал]], tbl_Filialy[Филиал], tbl_Filialy[Город])</f>
        <v>Екатеринбург</v>
      </c>
      <c r="B389" s="1" t="s">
        <v>7</v>
      </c>
      <c r="C389" s="2">
        <v>45844</v>
      </c>
      <c r="D389" s="2" t="str">
        <f>CHOOSE(MONTH(branches[[#This Row],[Дата]]),"Январь","Февраль","Март","Апрель","Май","Июнь","Июль","Август","Сентябрь","Октябрь","Ноябрь","Декабрь")&amp;" "&amp;YEAR(branches[[#This Row],[Дата]])</f>
        <v>Июль 2025</v>
      </c>
      <c r="E389" t="s">
        <v>25</v>
      </c>
      <c r="F389" t="s">
        <v>12</v>
      </c>
      <c r="G389">
        <v>1</v>
      </c>
      <c r="H389">
        <v>243</v>
      </c>
      <c r="I389" t="s">
        <v>15</v>
      </c>
      <c r="J389" t="str">
        <f>_xlfn.XLOOKUP(branches[[#This Row],[Филиал]], tbl_Filialy[Филиал], tbl_Filialy[Менеджер])</f>
        <v>Сергей Мельников</v>
      </c>
    </row>
    <row r="390" spans="1:10" x14ac:dyDescent="0.3">
      <c r="A390" t="str">
        <f>_xlfn.XLOOKUP(branches[[#This Row],[Филиал]], tbl_Filialy[Филиал], tbl_Filialy[Город])</f>
        <v>Екатеринбург</v>
      </c>
      <c r="B390" s="1" t="s">
        <v>7</v>
      </c>
      <c r="C390" s="2">
        <v>45795</v>
      </c>
      <c r="D390" s="2" t="str">
        <f>CHOOSE(MONTH(branches[[#This Row],[Дата]]),"Январь","Февраль","Март","Апрель","Май","Июнь","Июль","Август","Сентябрь","Октябрь","Ноябрь","Декабрь")&amp;" "&amp;YEAR(branches[[#This Row],[Дата]])</f>
        <v>Май 2025</v>
      </c>
      <c r="E390" t="s">
        <v>25</v>
      </c>
      <c r="F390" t="s">
        <v>12</v>
      </c>
      <c r="G390">
        <v>2</v>
      </c>
      <c r="H390">
        <v>476</v>
      </c>
      <c r="I390" t="s">
        <v>19</v>
      </c>
      <c r="J390" t="str">
        <f>_xlfn.XLOOKUP(branches[[#This Row],[Филиал]], tbl_Filialy[Филиал], tbl_Filialy[Менеджер])</f>
        <v>Сергей Мельников</v>
      </c>
    </row>
    <row r="391" spans="1:10" x14ac:dyDescent="0.3">
      <c r="A391" t="str">
        <f>_xlfn.XLOOKUP(branches[[#This Row],[Филиал]], tbl_Filialy[Филиал], tbl_Filialy[Город])</f>
        <v>Екатеринбург</v>
      </c>
      <c r="B391" s="1" t="s">
        <v>7</v>
      </c>
      <c r="C391" s="2">
        <v>46014</v>
      </c>
      <c r="D391" s="2" t="str">
        <f>CHOOSE(MONTH(branches[[#This Row],[Дата]]),"Январь","Февраль","Март","Апрель","Май","Июнь","Июль","Август","Сентябрь","Октябрь","Ноябрь","Декабрь")&amp;" "&amp;YEAR(branches[[#This Row],[Дата]])</f>
        <v>Декабрь 2025</v>
      </c>
      <c r="E391" t="s">
        <v>11</v>
      </c>
      <c r="F391" t="s">
        <v>12</v>
      </c>
      <c r="G391">
        <v>2</v>
      </c>
      <c r="H391">
        <v>346</v>
      </c>
      <c r="I391" t="s">
        <v>10</v>
      </c>
      <c r="J391" t="str">
        <f>_xlfn.XLOOKUP(branches[[#This Row],[Филиал]], tbl_Filialy[Филиал], tbl_Filialy[Менеджер])</f>
        <v>Сергей Мельников</v>
      </c>
    </row>
    <row r="392" spans="1:10" x14ac:dyDescent="0.3">
      <c r="A392" t="str">
        <f>_xlfn.XLOOKUP(branches[[#This Row],[Филиал]], tbl_Filialy[Филиал], tbl_Filialy[Город])</f>
        <v>Екатеринбург</v>
      </c>
      <c r="B392" s="1" t="s">
        <v>7</v>
      </c>
      <c r="C392" s="2">
        <v>45941</v>
      </c>
      <c r="D392" s="2" t="str">
        <f>CHOOSE(MONTH(branches[[#This Row],[Дата]]),"Январь","Февраль","Март","Апрель","Май","Июнь","Июль","Август","Сентябрь","Октябрь","Ноябрь","Декабрь")&amp;" "&amp;YEAR(branches[[#This Row],[Дата]])</f>
        <v>Октябрь 2025</v>
      </c>
      <c r="E392" t="s">
        <v>28</v>
      </c>
      <c r="F392" t="s">
        <v>12</v>
      </c>
      <c r="G392">
        <v>2</v>
      </c>
      <c r="H392">
        <v>498</v>
      </c>
      <c r="I392" t="s">
        <v>15</v>
      </c>
      <c r="J392" t="str">
        <f>_xlfn.XLOOKUP(branches[[#This Row],[Филиал]], tbl_Filialy[Филиал], tbl_Filialy[Менеджер])</f>
        <v>Сергей Мельников</v>
      </c>
    </row>
    <row r="393" spans="1:10" x14ac:dyDescent="0.3">
      <c r="A393" t="str">
        <f>_xlfn.XLOOKUP(branches[[#This Row],[Филиал]], tbl_Filialy[Филиал], tbl_Filialy[Город])</f>
        <v>Екатеринбург</v>
      </c>
      <c r="B393" s="1" t="s">
        <v>7</v>
      </c>
      <c r="C393" s="2">
        <v>45714</v>
      </c>
      <c r="D393" s="2" t="str">
        <f>CHOOSE(MONTH(branches[[#This Row],[Дата]]),"Январь","Февраль","Март","Апрель","Май","Июнь","Июль","Август","Сентябрь","Октябрь","Ноябрь","Декабрь")&amp;" "&amp;YEAR(branches[[#This Row],[Дата]])</f>
        <v>Февраль 2025</v>
      </c>
      <c r="E393" t="s">
        <v>16</v>
      </c>
      <c r="F393" t="s">
        <v>17</v>
      </c>
      <c r="G393">
        <v>1</v>
      </c>
      <c r="H393">
        <v>285</v>
      </c>
      <c r="I393" t="s">
        <v>13</v>
      </c>
      <c r="J393" t="str">
        <f>_xlfn.XLOOKUP(branches[[#This Row],[Филиал]], tbl_Filialy[Филиал], tbl_Filialy[Менеджер])</f>
        <v>Сергей Мельников</v>
      </c>
    </row>
    <row r="394" spans="1:10" x14ac:dyDescent="0.3">
      <c r="A394" t="str">
        <f>_xlfn.XLOOKUP(branches[[#This Row],[Филиал]], tbl_Filialy[Филиал], tbl_Filialy[Город])</f>
        <v>Екатеринбург</v>
      </c>
      <c r="B394" s="1" t="s">
        <v>7</v>
      </c>
      <c r="C394" s="2">
        <v>45926</v>
      </c>
      <c r="D394" s="2" t="str">
        <f>CHOOSE(MONTH(branches[[#This Row],[Дата]]),"Январь","Февраль","Март","Апрель","Май","Июнь","Июль","Август","Сентябрь","Октябрь","Ноябрь","Декабрь")&amp;" "&amp;YEAR(branches[[#This Row],[Дата]])</f>
        <v>Сентябрь 2025</v>
      </c>
      <c r="E394" t="s">
        <v>26</v>
      </c>
      <c r="F394" t="s">
        <v>9</v>
      </c>
      <c r="G394">
        <v>1</v>
      </c>
      <c r="H394">
        <v>190</v>
      </c>
      <c r="I394" t="s">
        <v>23</v>
      </c>
      <c r="J394" t="str">
        <f>_xlfn.XLOOKUP(branches[[#This Row],[Филиал]], tbl_Filialy[Филиал], tbl_Filialy[Менеджер])</f>
        <v>Сергей Мельников</v>
      </c>
    </row>
    <row r="395" spans="1:10" x14ac:dyDescent="0.3">
      <c r="A395" t="str">
        <f>_xlfn.XLOOKUP(branches[[#This Row],[Филиал]], tbl_Filialy[Филиал], tbl_Filialy[Город])</f>
        <v>Екатеринбург</v>
      </c>
      <c r="B395" s="1" t="s">
        <v>7</v>
      </c>
      <c r="C395" s="2">
        <v>45767</v>
      </c>
      <c r="D395" s="2" t="str">
        <f>CHOOSE(MONTH(branches[[#This Row],[Дата]]),"Январь","Февраль","Март","Апрель","Май","Июнь","Июль","Август","Сентябрь","Октябрь","Ноябрь","Декабрь")&amp;" "&amp;YEAR(branches[[#This Row],[Дата]])</f>
        <v>Апрель 2025</v>
      </c>
      <c r="E395" t="s">
        <v>24</v>
      </c>
      <c r="F395" t="s">
        <v>17</v>
      </c>
      <c r="G395">
        <v>3</v>
      </c>
      <c r="H395">
        <v>1197</v>
      </c>
      <c r="I395" t="s">
        <v>21</v>
      </c>
      <c r="J395" t="str">
        <f>_xlfn.XLOOKUP(branches[[#This Row],[Филиал]], tbl_Filialy[Филиал], tbl_Filialy[Менеджер])</f>
        <v>Сергей Мельников</v>
      </c>
    </row>
    <row r="396" spans="1:10" x14ac:dyDescent="0.3">
      <c r="A396" t="str">
        <f>_xlfn.XLOOKUP(branches[[#This Row],[Филиал]], tbl_Filialy[Филиал], tbl_Filialy[Город])</f>
        <v>Екатеринбург</v>
      </c>
      <c r="B396" s="1" t="s">
        <v>7</v>
      </c>
      <c r="C396" s="2">
        <v>45934</v>
      </c>
      <c r="D396" s="2" t="str">
        <f>CHOOSE(MONTH(branches[[#This Row],[Дата]]),"Январь","Февраль","Март","Апрель","Май","Июнь","Июль","Август","Сентябрь","Октябрь","Ноябрь","Декабрь")&amp;" "&amp;YEAR(branches[[#This Row],[Дата]])</f>
        <v>Октябрь 2025</v>
      </c>
      <c r="E396" t="s">
        <v>11</v>
      </c>
      <c r="F396" t="s">
        <v>12</v>
      </c>
      <c r="G396">
        <v>1</v>
      </c>
      <c r="H396">
        <v>168</v>
      </c>
      <c r="I396" t="s">
        <v>21</v>
      </c>
      <c r="J396" t="str">
        <f>_xlfn.XLOOKUP(branches[[#This Row],[Филиал]], tbl_Filialy[Филиал], tbl_Filialy[Менеджер])</f>
        <v>Сергей Мельников</v>
      </c>
    </row>
    <row r="397" spans="1:10" x14ac:dyDescent="0.3">
      <c r="A397" t="str">
        <f>_xlfn.XLOOKUP(branches[[#This Row],[Филиал]], tbl_Filialy[Филиал], tbl_Filialy[Город])</f>
        <v>Екатеринбург</v>
      </c>
      <c r="B397" s="1" t="s">
        <v>7</v>
      </c>
      <c r="C397" s="2">
        <v>45793</v>
      </c>
      <c r="D397" s="2" t="str">
        <f>CHOOSE(MONTH(branches[[#This Row],[Дата]]),"Январь","Февраль","Март","Апрель","Май","Июнь","Июль","Август","Сентябрь","Октябрь","Ноябрь","Декабрь")&amp;" "&amp;YEAR(branches[[#This Row],[Дата]])</f>
        <v>Май 2025</v>
      </c>
      <c r="E397" t="s">
        <v>18</v>
      </c>
      <c r="F397" t="s">
        <v>12</v>
      </c>
      <c r="G397">
        <v>1</v>
      </c>
      <c r="H397">
        <v>147</v>
      </c>
      <c r="I397" t="s">
        <v>23</v>
      </c>
      <c r="J397" t="str">
        <f>_xlfn.XLOOKUP(branches[[#This Row],[Филиал]], tbl_Filialy[Филиал], tbl_Filialy[Менеджер])</f>
        <v>Сергей Мельников</v>
      </c>
    </row>
    <row r="398" spans="1:10" x14ac:dyDescent="0.3">
      <c r="A398" t="str">
        <f>_xlfn.XLOOKUP(branches[[#This Row],[Филиал]], tbl_Filialy[Филиал], tbl_Filialy[Город])</f>
        <v>Екатеринбург</v>
      </c>
      <c r="B398" s="1" t="s">
        <v>7</v>
      </c>
      <c r="C398" s="2">
        <v>45670</v>
      </c>
      <c r="D398" s="2" t="str">
        <f>CHOOSE(MONTH(branches[[#This Row],[Дата]]),"Январь","Февраль","Март","Апрель","Май","Июнь","Июль","Август","Сентябрь","Октябрь","Ноябрь","Декабрь")&amp;" "&amp;YEAR(branches[[#This Row],[Дата]])</f>
        <v>Январь 2025</v>
      </c>
      <c r="E398" t="s">
        <v>24</v>
      </c>
      <c r="F398" t="s">
        <v>17</v>
      </c>
      <c r="G398">
        <v>1</v>
      </c>
      <c r="H398">
        <v>397</v>
      </c>
      <c r="I398" t="s">
        <v>15</v>
      </c>
      <c r="J398" t="str">
        <f>_xlfn.XLOOKUP(branches[[#This Row],[Филиал]], tbl_Filialy[Филиал], tbl_Filialy[Менеджер])</f>
        <v>Сергей Мельников</v>
      </c>
    </row>
    <row r="399" spans="1:10" x14ac:dyDescent="0.3">
      <c r="A399" t="str">
        <f>_xlfn.XLOOKUP(branches[[#This Row],[Филиал]], tbl_Filialy[Филиал], tbl_Filialy[Город])</f>
        <v>Екатеринбург</v>
      </c>
      <c r="B399" s="1" t="s">
        <v>7</v>
      </c>
      <c r="C399" s="2">
        <v>45809</v>
      </c>
      <c r="D399" s="2" t="str">
        <f>CHOOSE(MONTH(branches[[#This Row],[Дата]]),"Январь","Февраль","Март","Апрель","Май","Июнь","Июль","Август","Сентябрь","Октябрь","Ноябрь","Декабрь")&amp;" "&amp;YEAR(branches[[#This Row],[Дата]])</f>
        <v>Июнь 2025</v>
      </c>
      <c r="E399" t="s">
        <v>11</v>
      </c>
      <c r="F399" t="s">
        <v>12</v>
      </c>
      <c r="G399">
        <v>3</v>
      </c>
      <c r="H399">
        <v>549</v>
      </c>
      <c r="I399" t="s">
        <v>23</v>
      </c>
      <c r="J399" t="str">
        <f>_xlfn.XLOOKUP(branches[[#This Row],[Филиал]], tbl_Filialy[Филиал], tbl_Filialy[Менеджер])</f>
        <v>Сергей Мельников</v>
      </c>
    </row>
    <row r="400" spans="1:10" x14ac:dyDescent="0.3">
      <c r="A400" t="str">
        <f>_xlfn.XLOOKUP(branches[[#This Row],[Филиал]], tbl_Filialy[Филиал], tbl_Filialy[Город])</f>
        <v>Екатеринбург</v>
      </c>
      <c r="B400" s="1" t="s">
        <v>7</v>
      </c>
      <c r="C400" s="2">
        <v>45971</v>
      </c>
      <c r="D400" s="2" t="str">
        <f>CHOOSE(MONTH(branches[[#This Row],[Дата]]),"Январь","Февраль","Март","Апрель","Май","Июнь","Июль","Август","Сентябрь","Октябрь","Ноябрь","Декабрь")&amp;" "&amp;YEAR(branches[[#This Row],[Дата]])</f>
        <v>Ноябрь 2025</v>
      </c>
      <c r="E400" t="s">
        <v>28</v>
      </c>
      <c r="F400" t="s">
        <v>12</v>
      </c>
      <c r="G400">
        <v>1</v>
      </c>
      <c r="H400">
        <v>249</v>
      </c>
      <c r="I400" t="s">
        <v>13</v>
      </c>
      <c r="J400" t="str">
        <f>_xlfn.XLOOKUP(branches[[#This Row],[Филиал]], tbl_Filialy[Филиал], tbl_Filialy[Менеджер])</f>
        <v>Сергей Мельников</v>
      </c>
    </row>
    <row r="401" spans="1:10" x14ac:dyDescent="0.3">
      <c r="A401" t="str">
        <f>_xlfn.XLOOKUP(branches[[#This Row],[Филиал]], tbl_Filialy[Филиал], tbl_Filialy[Город])</f>
        <v>Екатеринбург</v>
      </c>
      <c r="B401" s="1" t="s">
        <v>7</v>
      </c>
      <c r="C401" s="2">
        <v>45675</v>
      </c>
      <c r="D401" s="2" t="str">
        <f>CHOOSE(MONTH(branches[[#This Row],[Дата]]),"Январь","Февраль","Март","Апрель","Май","Июнь","Июль","Август","Сентябрь","Октябрь","Ноябрь","Декабрь")&amp;" "&amp;YEAR(branches[[#This Row],[Дата]])</f>
        <v>Январь 2025</v>
      </c>
      <c r="E401" t="s">
        <v>20</v>
      </c>
      <c r="F401" t="s">
        <v>12</v>
      </c>
      <c r="G401">
        <v>1</v>
      </c>
      <c r="H401">
        <v>271</v>
      </c>
      <c r="I401" t="s">
        <v>23</v>
      </c>
      <c r="J401" t="str">
        <f>_xlfn.XLOOKUP(branches[[#This Row],[Филиал]], tbl_Filialy[Филиал], tbl_Filialy[Менеджер])</f>
        <v>Сергей Мельников</v>
      </c>
    </row>
    <row r="402" spans="1:10" x14ac:dyDescent="0.3">
      <c r="A402" t="str">
        <f>_xlfn.XLOOKUP(branches[[#This Row],[Филиал]], tbl_Filialy[Филиал], tbl_Filialy[Город])</f>
        <v>Екатеринбург</v>
      </c>
      <c r="B402" s="1" t="s">
        <v>7</v>
      </c>
      <c r="C402" s="2">
        <v>45905</v>
      </c>
      <c r="D402" s="2" t="str">
        <f>CHOOSE(MONTH(branches[[#This Row],[Дата]]),"Январь","Февраль","Март","Апрель","Май","Июнь","Июль","Август","Сентябрь","Октябрь","Ноябрь","Декабрь")&amp;" "&amp;YEAR(branches[[#This Row],[Дата]])</f>
        <v>Сентябрь 2025</v>
      </c>
      <c r="E402" t="s">
        <v>27</v>
      </c>
      <c r="F402" t="s">
        <v>12</v>
      </c>
      <c r="G402">
        <v>3</v>
      </c>
      <c r="H402">
        <v>678</v>
      </c>
      <c r="I402" t="s">
        <v>15</v>
      </c>
      <c r="J402" t="str">
        <f>_xlfn.XLOOKUP(branches[[#This Row],[Филиал]], tbl_Filialy[Филиал], tbl_Filialy[Менеджер])</f>
        <v>Сергей Мельников</v>
      </c>
    </row>
    <row r="403" spans="1:10" x14ac:dyDescent="0.3">
      <c r="A403" t="str">
        <f>_xlfn.XLOOKUP(branches[[#This Row],[Филиал]], tbl_Filialy[Филиал], tbl_Filialy[Город])</f>
        <v>Екатеринбург</v>
      </c>
      <c r="B403" s="1" t="s">
        <v>7</v>
      </c>
      <c r="C403" s="2">
        <v>45927</v>
      </c>
      <c r="D403" s="2" t="str">
        <f>CHOOSE(MONTH(branches[[#This Row],[Дата]]),"Январь","Февраль","Март","Апрель","Май","Июнь","Июль","Август","Сентябрь","Октябрь","Ноябрь","Декабрь")&amp;" "&amp;YEAR(branches[[#This Row],[Дата]])</f>
        <v>Сентябрь 2025</v>
      </c>
      <c r="E403" t="s">
        <v>14</v>
      </c>
      <c r="F403" t="s">
        <v>12</v>
      </c>
      <c r="G403">
        <v>1</v>
      </c>
      <c r="H403">
        <v>262</v>
      </c>
      <c r="I403" t="s">
        <v>23</v>
      </c>
      <c r="J403" t="str">
        <f>_xlfn.XLOOKUP(branches[[#This Row],[Филиал]], tbl_Filialy[Филиал], tbl_Filialy[Менеджер])</f>
        <v>Сергей Мельников</v>
      </c>
    </row>
    <row r="404" spans="1:10" x14ac:dyDescent="0.3">
      <c r="A404" t="str">
        <f>_xlfn.XLOOKUP(branches[[#This Row],[Филиал]], tbl_Filialy[Филиал], tbl_Filialy[Город])</f>
        <v>Екатеринбург</v>
      </c>
      <c r="B404" s="1" t="s">
        <v>7</v>
      </c>
      <c r="C404" s="2">
        <v>45912</v>
      </c>
      <c r="D404" s="2" t="str">
        <f>CHOOSE(MONTH(branches[[#This Row],[Дата]]),"Январь","Февраль","Март","Апрель","Май","Июнь","Июль","Август","Сентябрь","Октябрь","Ноябрь","Декабрь")&amp;" "&amp;YEAR(branches[[#This Row],[Дата]])</f>
        <v>Сентябрь 2025</v>
      </c>
      <c r="E404" t="s">
        <v>16</v>
      </c>
      <c r="F404" t="s">
        <v>17</v>
      </c>
      <c r="G404">
        <v>2</v>
      </c>
      <c r="H404">
        <v>562</v>
      </c>
      <c r="I404" t="s">
        <v>10</v>
      </c>
      <c r="J404" t="str">
        <f>_xlfn.XLOOKUP(branches[[#This Row],[Филиал]], tbl_Filialy[Филиал], tbl_Filialy[Менеджер])</f>
        <v>Сергей Мельников</v>
      </c>
    </row>
    <row r="405" spans="1:10" x14ac:dyDescent="0.3">
      <c r="A405" t="str">
        <f>_xlfn.XLOOKUP(branches[[#This Row],[Филиал]], tbl_Filialy[Филиал], tbl_Filialy[Город])</f>
        <v>Екатеринбург</v>
      </c>
      <c r="B405" s="1" t="s">
        <v>7</v>
      </c>
      <c r="C405" s="2">
        <v>46013</v>
      </c>
      <c r="D405" s="2" t="str">
        <f>CHOOSE(MONTH(branches[[#This Row],[Дата]]),"Январь","Февраль","Март","Апрель","Май","Июнь","Июль","Август","Сентябрь","Октябрь","Ноябрь","Декабрь")&amp;" "&amp;YEAR(branches[[#This Row],[Дата]])</f>
        <v>Декабрь 2025</v>
      </c>
      <c r="E405" t="s">
        <v>25</v>
      </c>
      <c r="F405" t="s">
        <v>12</v>
      </c>
      <c r="G405">
        <v>2</v>
      </c>
      <c r="H405">
        <v>466</v>
      </c>
      <c r="I405" t="s">
        <v>21</v>
      </c>
      <c r="J405" t="str">
        <f>_xlfn.XLOOKUP(branches[[#This Row],[Филиал]], tbl_Filialy[Филиал], tbl_Filialy[Менеджер])</f>
        <v>Сергей Мельников</v>
      </c>
    </row>
    <row r="406" spans="1:10" x14ac:dyDescent="0.3">
      <c r="A406" t="str">
        <f>_xlfn.XLOOKUP(branches[[#This Row],[Филиал]], tbl_Filialy[Филиал], tbl_Filialy[Город])</f>
        <v>Екатеринбург</v>
      </c>
      <c r="B406" s="1" t="s">
        <v>7</v>
      </c>
      <c r="C406" s="2">
        <v>45872</v>
      </c>
      <c r="D406" s="2" t="str">
        <f>CHOOSE(MONTH(branches[[#This Row],[Дата]]),"Январь","Февраль","Март","Апрель","Май","Июнь","Июль","Август","Сентябрь","Октябрь","Ноябрь","Декабрь")&amp;" "&amp;YEAR(branches[[#This Row],[Дата]])</f>
        <v>Август 2025</v>
      </c>
      <c r="E406" t="s">
        <v>18</v>
      </c>
      <c r="F406" t="s">
        <v>12</v>
      </c>
      <c r="G406">
        <v>2</v>
      </c>
      <c r="H406">
        <v>316</v>
      </c>
      <c r="I406" t="s">
        <v>21</v>
      </c>
      <c r="J406" t="str">
        <f>_xlfn.XLOOKUP(branches[[#This Row],[Филиал]], tbl_Filialy[Филиал], tbl_Filialy[Менеджер])</f>
        <v>Сергей Мельников</v>
      </c>
    </row>
    <row r="407" spans="1:10" x14ac:dyDescent="0.3">
      <c r="A407" t="str">
        <f>_xlfn.XLOOKUP(branches[[#This Row],[Филиал]], tbl_Filialy[Филиал], tbl_Filialy[Город])</f>
        <v>Екатеринбург</v>
      </c>
      <c r="B407" s="1" t="s">
        <v>7</v>
      </c>
      <c r="C407" s="2">
        <v>45997</v>
      </c>
      <c r="D407" s="2" t="str">
        <f>CHOOSE(MONTH(branches[[#This Row],[Дата]]),"Январь","Февраль","Март","Апрель","Май","Июнь","Июль","Август","Сентябрь","Октябрь","Ноябрь","Декабрь")&amp;" "&amp;YEAR(branches[[#This Row],[Дата]])</f>
        <v>Декабрь 2025</v>
      </c>
      <c r="E407" t="s">
        <v>14</v>
      </c>
      <c r="F407" t="s">
        <v>12</v>
      </c>
      <c r="G407">
        <v>2</v>
      </c>
      <c r="H407">
        <v>498</v>
      </c>
      <c r="I407" t="s">
        <v>19</v>
      </c>
      <c r="J407" t="str">
        <f>_xlfn.XLOOKUP(branches[[#This Row],[Филиал]], tbl_Filialy[Филиал], tbl_Filialy[Менеджер])</f>
        <v>Сергей Мельников</v>
      </c>
    </row>
    <row r="408" spans="1:10" x14ac:dyDescent="0.3">
      <c r="A408" t="str">
        <f>_xlfn.XLOOKUP(branches[[#This Row],[Филиал]], tbl_Filialy[Филиал], tbl_Filialy[Город])</f>
        <v>Екатеринбург</v>
      </c>
      <c r="B408" s="1" t="s">
        <v>7</v>
      </c>
      <c r="C408" s="2">
        <v>45707</v>
      </c>
      <c r="D408" s="2" t="str">
        <f>CHOOSE(MONTH(branches[[#This Row],[Дата]]),"Январь","Февраль","Март","Апрель","Май","Июнь","Июль","Август","Сентябрь","Октябрь","Ноябрь","Декабрь")&amp;" "&amp;YEAR(branches[[#This Row],[Дата]])</f>
        <v>Февраль 2025</v>
      </c>
      <c r="E408" t="s">
        <v>22</v>
      </c>
      <c r="F408" t="s">
        <v>9</v>
      </c>
      <c r="G408">
        <v>3</v>
      </c>
      <c r="H408">
        <v>510</v>
      </c>
      <c r="I408" t="s">
        <v>21</v>
      </c>
      <c r="J408" t="str">
        <f>_xlfn.XLOOKUP(branches[[#This Row],[Филиал]], tbl_Filialy[Филиал], tbl_Filialy[Менеджер])</f>
        <v>Сергей Мельников</v>
      </c>
    </row>
    <row r="409" spans="1:10" x14ac:dyDescent="0.3">
      <c r="A409" t="str">
        <f>_xlfn.XLOOKUP(branches[[#This Row],[Филиал]], tbl_Filialy[Филиал], tbl_Filialy[Город])</f>
        <v>Екатеринбург</v>
      </c>
      <c r="B409" s="1" t="s">
        <v>7</v>
      </c>
      <c r="C409" s="2">
        <v>45967</v>
      </c>
      <c r="D409" s="2" t="str">
        <f>CHOOSE(MONTH(branches[[#This Row],[Дата]]),"Январь","Февраль","Март","Апрель","Май","Июнь","Июль","Август","Сентябрь","Октябрь","Ноябрь","Декабрь")&amp;" "&amp;YEAR(branches[[#This Row],[Дата]])</f>
        <v>Ноябрь 2025</v>
      </c>
      <c r="E409" t="s">
        <v>24</v>
      </c>
      <c r="F409" t="s">
        <v>17</v>
      </c>
      <c r="G409">
        <v>1</v>
      </c>
      <c r="H409">
        <v>347</v>
      </c>
      <c r="I409" t="s">
        <v>19</v>
      </c>
      <c r="J409" t="str">
        <f>_xlfn.XLOOKUP(branches[[#This Row],[Филиал]], tbl_Filialy[Филиал], tbl_Filialy[Менеджер])</f>
        <v>Сергей Мельников</v>
      </c>
    </row>
    <row r="410" spans="1:10" x14ac:dyDescent="0.3">
      <c r="A410" t="str">
        <f>_xlfn.XLOOKUP(branches[[#This Row],[Филиал]], tbl_Filialy[Филиал], tbl_Filialy[Город])</f>
        <v>Екатеринбург</v>
      </c>
      <c r="B410" s="1" t="s">
        <v>7</v>
      </c>
      <c r="C410" s="2">
        <v>45947</v>
      </c>
      <c r="D410" s="2" t="str">
        <f>CHOOSE(MONTH(branches[[#This Row],[Дата]]),"Январь","Февраль","Март","Апрель","Май","Июнь","Июль","Август","Сентябрь","Октябрь","Ноябрь","Декабрь")&amp;" "&amp;YEAR(branches[[#This Row],[Дата]])</f>
        <v>Октябрь 2025</v>
      </c>
      <c r="E410" t="s">
        <v>24</v>
      </c>
      <c r="F410" t="s">
        <v>17</v>
      </c>
      <c r="G410">
        <v>2</v>
      </c>
      <c r="H410">
        <v>780</v>
      </c>
      <c r="I410" t="s">
        <v>15</v>
      </c>
      <c r="J410" t="str">
        <f>_xlfn.XLOOKUP(branches[[#This Row],[Филиал]], tbl_Filialy[Филиал], tbl_Filialy[Менеджер])</f>
        <v>Сергей Мельников</v>
      </c>
    </row>
    <row r="411" spans="1:10" x14ac:dyDescent="0.3">
      <c r="A411" t="str">
        <f>_xlfn.XLOOKUP(branches[[#This Row],[Филиал]], tbl_Filialy[Филиал], tbl_Filialy[Город])</f>
        <v>Екатеринбург</v>
      </c>
      <c r="B411" s="1" t="s">
        <v>7</v>
      </c>
      <c r="C411" s="2">
        <v>45663</v>
      </c>
      <c r="D411" s="2" t="str">
        <f>CHOOSE(MONTH(branches[[#This Row],[Дата]]),"Январь","Февраль","Март","Апрель","Май","Июнь","Июль","Август","Сентябрь","Октябрь","Ноябрь","Декабрь")&amp;" "&amp;YEAR(branches[[#This Row],[Дата]])</f>
        <v>Январь 2025</v>
      </c>
      <c r="E411" t="s">
        <v>18</v>
      </c>
      <c r="F411" t="s">
        <v>12</v>
      </c>
      <c r="G411">
        <v>1</v>
      </c>
      <c r="H411">
        <v>125</v>
      </c>
      <c r="I411" t="s">
        <v>19</v>
      </c>
      <c r="J411" t="str">
        <f>_xlfn.XLOOKUP(branches[[#This Row],[Филиал]], tbl_Filialy[Филиал], tbl_Filialy[Менеджер])</f>
        <v>Сергей Мельников</v>
      </c>
    </row>
    <row r="412" spans="1:10" x14ac:dyDescent="0.3">
      <c r="A412" t="str">
        <f>_xlfn.XLOOKUP(branches[[#This Row],[Филиал]], tbl_Filialy[Филиал], tbl_Filialy[Город])</f>
        <v>Екатеринбург</v>
      </c>
      <c r="B412" s="1" t="s">
        <v>7</v>
      </c>
      <c r="C412" s="2">
        <v>45659</v>
      </c>
      <c r="D412" s="2" t="str">
        <f>CHOOSE(MONTH(branches[[#This Row],[Дата]]),"Январь","Февраль","Март","Апрель","Май","Июнь","Июль","Август","Сентябрь","Октябрь","Ноябрь","Декабрь")&amp;" "&amp;YEAR(branches[[#This Row],[Дата]])</f>
        <v>Январь 2025</v>
      </c>
      <c r="E412" t="s">
        <v>26</v>
      </c>
      <c r="F412" t="s">
        <v>9</v>
      </c>
      <c r="G412">
        <v>1</v>
      </c>
      <c r="H412">
        <v>211</v>
      </c>
      <c r="I412" t="s">
        <v>23</v>
      </c>
      <c r="J412" t="str">
        <f>_xlfn.XLOOKUP(branches[[#This Row],[Филиал]], tbl_Filialy[Филиал], tbl_Filialy[Менеджер])</f>
        <v>Сергей Мельников</v>
      </c>
    </row>
    <row r="413" spans="1:10" x14ac:dyDescent="0.3">
      <c r="A413" t="str">
        <f>_xlfn.XLOOKUP(branches[[#This Row],[Филиал]], tbl_Filialy[Филиал], tbl_Filialy[Город])</f>
        <v>Екатеринбург</v>
      </c>
      <c r="B413" s="1" t="s">
        <v>7</v>
      </c>
      <c r="C413" s="2">
        <v>45677</v>
      </c>
      <c r="D413" s="2" t="str">
        <f>CHOOSE(MONTH(branches[[#This Row],[Дата]]),"Январь","Февраль","Март","Апрель","Май","Июнь","Июль","Август","Сентябрь","Октябрь","Ноябрь","Декабрь")&amp;" "&amp;YEAR(branches[[#This Row],[Дата]])</f>
        <v>Январь 2025</v>
      </c>
      <c r="E413" t="s">
        <v>18</v>
      </c>
      <c r="F413" t="s">
        <v>12</v>
      </c>
      <c r="G413">
        <v>3</v>
      </c>
      <c r="H413">
        <v>402</v>
      </c>
      <c r="I413" t="s">
        <v>15</v>
      </c>
      <c r="J413" t="str">
        <f>_xlfn.XLOOKUP(branches[[#This Row],[Филиал]], tbl_Filialy[Филиал], tbl_Filialy[Менеджер])</f>
        <v>Сергей Мельников</v>
      </c>
    </row>
    <row r="414" spans="1:10" x14ac:dyDescent="0.3">
      <c r="A414" t="str">
        <f>_xlfn.XLOOKUP(branches[[#This Row],[Филиал]], tbl_Filialy[Филиал], tbl_Filialy[Город])</f>
        <v>Екатеринбург</v>
      </c>
      <c r="B414" s="1" t="s">
        <v>7</v>
      </c>
      <c r="C414" s="2">
        <v>45727</v>
      </c>
      <c r="D414" s="2" t="str">
        <f>CHOOSE(MONTH(branches[[#This Row],[Дата]]),"Январь","Февраль","Март","Апрель","Май","Июнь","Июль","Август","Сентябрь","Октябрь","Ноябрь","Декабрь")&amp;" "&amp;YEAR(branches[[#This Row],[Дата]])</f>
        <v>Март 2025</v>
      </c>
      <c r="E414" t="s">
        <v>26</v>
      </c>
      <c r="F414" t="s">
        <v>9</v>
      </c>
      <c r="G414">
        <v>1</v>
      </c>
      <c r="H414">
        <v>191</v>
      </c>
      <c r="I414" t="s">
        <v>23</v>
      </c>
      <c r="J414" t="str">
        <f>_xlfn.XLOOKUP(branches[[#This Row],[Филиал]], tbl_Filialy[Филиал], tbl_Filialy[Менеджер])</f>
        <v>Сергей Мельников</v>
      </c>
    </row>
    <row r="415" spans="1:10" x14ac:dyDescent="0.3">
      <c r="A415" t="str">
        <f>_xlfn.XLOOKUP(branches[[#This Row],[Филиал]], tbl_Filialy[Филиал], tbl_Filialy[Город])</f>
        <v>Екатеринбург</v>
      </c>
      <c r="B415" s="1" t="s">
        <v>7</v>
      </c>
      <c r="C415" s="2">
        <v>45939</v>
      </c>
      <c r="D415" s="2" t="str">
        <f>CHOOSE(MONTH(branches[[#This Row],[Дата]]),"Январь","Февраль","Март","Апрель","Май","Июнь","Июль","Август","Сентябрь","Октябрь","Ноябрь","Декабрь")&amp;" "&amp;YEAR(branches[[#This Row],[Дата]])</f>
        <v>Октябрь 2025</v>
      </c>
      <c r="E415" t="s">
        <v>25</v>
      </c>
      <c r="F415" t="s">
        <v>12</v>
      </c>
      <c r="G415">
        <v>2</v>
      </c>
      <c r="H415">
        <v>484</v>
      </c>
      <c r="I415" t="s">
        <v>10</v>
      </c>
      <c r="J415" t="str">
        <f>_xlfn.XLOOKUP(branches[[#This Row],[Филиал]], tbl_Filialy[Филиал], tbl_Filialy[Менеджер])</f>
        <v>Сергей Мельников</v>
      </c>
    </row>
    <row r="416" spans="1:10" x14ac:dyDescent="0.3">
      <c r="A416" t="str">
        <f>_xlfn.XLOOKUP(branches[[#This Row],[Филиал]], tbl_Filialy[Филиал], tbl_Filialy[Город])</f>
        <v>Екатеринбург</v>
      </c>
      <c r="B416" s="1" t="s">
        <v>7</v>
      </c>
      <c r="C416" s="2">
        <v>45775</v>
      </c>
      <c r="D416" s="2" t="str">
        <f>CHOOSE(MONTH(branches[[#This Row],[Дата]]),"Январь","Февраль","Март","Апрель","Май","Июнь","Июль","Август","Сентябрь","Октябрь","Ноябрь","Декабрь")&amp;" "&amp;YEAR(branches[[#This Row],[Дата]])</f>
        <v>Апрель 2025</v>
      </c>
      <c r="E416" t="s">
        <v>18</v>
      </c>
      <c r="F416" t="s">
        <v>12</v>
      </c>
      <c r="G416">
        <v>1</v>
      </c>
      <c r="H416">
        <v>160</v>
      </c>
      <c r="I416" t="s">
        <v>23</v>
      </c>
      <c r="J416" t="str">
        <f>_xlfn.XLOOKUP(branches[[#This Row],[Филиал]], tbl_Filialy[Филиал], tbl_Filialy[Менеджер])</f>
        <v>Сергей Мельников</v>
      </c>
    </row>
    <row r="417" spans="1:10" x14ac:dyDescent="0.3">
      <c r="A417" t="str">
        <f>_xlfn.XLOOKUP(branches[[#This Row],[Филиал]], tbl_Filialy[Филиал], tbl_Filialy[Город])</f>
        <v>Екатеринбург</v>
      </c>
      <c r="B417" s="1" t="s">
        <v>7</v>
      </c>
      <c r="C417" s="2">
        <v>45809</v>
      </c>
      <c r="D417" s="2" t="str">
        <f>CHOOSE(MONTH(branches[[#This Row],[Дата]]),"Январь","Февраль","Март","Апрель","Май","Июнь","Июль","Август","Сентябрь","Октябрь","Ноябрь","Декабрь")&amp;" "&amp;YEAR(branches[[#This Row],[Дата]])</f>
        <v>Июнь 2025</v>
      </c>
      <c r="E417" t="s">
        <v>28</v>
      </c>
      <c r="F417" t="s">
        <v>12</v>
      </c>
      <c r="G417">
        <v>2</v>
      </c>
      <c r="H417">
        <v>448</v>
      </c>
      <c r="I417" t="s">
        <v>23</v>
      </c>
      <c r="J417" t="str">
        <f>_xlfn.XLOOKUP(branches[[#This Row],[Филиал]], tbl_Filialy[Филиал], tbl_Filialy[Менеджер])</f>
        <v>Сергей Мельников</v>
      </c>
    </row>
    <row r="418" spans="1:10" x14ac:dyDescent="0.3">
      <c r="A418" t="str">
        <f>_xlfn.XLOOKUP(branches[[#This Row],[Филиал]], tbl_Filialy[Филиал], tbl_Filialy[Город])</f>
        <v>Екатеринбург</v>
      </c>
      <c r="B418" s="1" t="s">
        <v>7</v>
      </c>
      <c r="C418" s="2">
        <v>45786</v>
      </c>
      <c r="D418" s="2" t="str">
        <f>CHOOSE(MONTH(branches[[#This Row],[Дата]]),"Январь","Февраль","Март","Апрель","Май","Июнь","Июль","Август","Сентябрь","Октябрь","Ноябрь","Декабрь")&amp;" "&amp;YEAR(branches[[#This Row],[Дата]])</f>
        <v>Май 2025</v>
      </c>
      <c r="E418" t="s">
        <v>25</v>
      </c>
      <c r="F418" t="s">
        <v>12</v>
      </c>
      <c r="G418">
        <v>2</v>
      </c>
      <c r="H418">
        <v>466</v>
      </c>
      <c r="I418" t="s">
        <v>21</v>
      </c>
      <c r="J418" t="str">
        <f>_xlfn.XLOOKUP(branches[[#This Row],[Филиал]], tbl_Filialy[Филиал], tbl_Filialy[Менеджер])</f>
        <v>Сергей Мельников</v>
      </c>
    </row>
    <row r="419" spans="1:10" x14ac:dyDescent="0.3">
      <c r="A419" t="str">
        <f>_xlfn.XLOOKUP(branches[[#This Row],[Филиал]], tbl_Filialy[Филиал], tbl_Filialy[Город])</f>
        <v>Екатеринбург</v>
      </c>
      <c r="B419" s="1" t="s">
        <v>7</v>
      </c>
      <c r="C419" s="2">
        <v>45761</v>
      </c>
      <c r="D419" s="2" t="str">
        <f>CHOOSE(MONTH(branches[[#This Row],[Дата]]),"Январь","Февраль","Март","Апрель","Май","Июнь","Июль","Август","Сентябрь","Октябрь","Ноябрь","Декабрь")&amp;" "&amp;YEAR(branches[[#This Row],[Дата]])</f>
        <v>Апрель 2025</v>
      </c>
      <c r="E419" t="s">
        <v>11</v>
      </c>
      <c r="F419" t="s">
        <v>12</v>
      </c>
      <c r="G419">
        <v>1</v>
      </c>
      <c r="H419">
        <v>192</v>
      </c>
      <c r="I419" t="s">
        <v>23</v>
      </c>
      <c r="J419" t="str">
        <f>_xlfn.XLOOKUP(branches[[#This Row],[Филиал]], tbl_Filialy[Филиал], tbl_Filialy[Менеджер])</f>
        <v>Сергей Мельников</v>
      </c>
    </row>
    <row r="420" spans="1:10" x14ac:dyDescent="0.3">
      <c r="A420" t="str">
        <f>_xlfn.XLOOKUP(branches[[#This Row],[Филиал]], tbl_Filialy[Филиал], tbl_Filialy[Город])</f>
        <v>Екатеринбург</v>
      </c>
      <c r="B420" s="1" t="s">
        <v>7</v>
      </c>
      <c r="C420" s="2">
        <v>45882</v>
      </c>
      <c r="D420" s="2" t="str">
        <f>CHOOSE(MONTH(branches[[#This Row],[Дата]]),"Январь","Февраль","Март","Апрель","Май","Июнь","Июль","Август","Сентябрь","Октябрь","Ноябрь","Декабрь")&amp;" "&amp;YEAR(branches[[#This Row],[Дата]])</f>
        <v>Август 2025</v>
      </c>
      <c r="E420" t="s">
        <v>27</v>
      </c>
      <c r="F420" t="s">
        <v>12</v>
      </c>
      <c r="G420">
        <v>2</v>
      </c>
      <c r="H420">
        <v>458</v>
      </c>
      <c r="I420" t="s">
        <v>23</v>
      </c>
      <c r="J420" t="str">
        <f>_xlfn.XLOOKUP(branches[[#This Row],[Филиал]], tbl_Filialy[Филиал], tbl_Filialy[Менеджер])</f>
        <v>Сергей Мельников</v>
      </c>
    </row>
    <row r="421" spans="1:10" x14ac:dyDescent="0.3">
      <c r="A421" t="str">
        <f>_xlfn.XLOOKUP(branches[[#This Row],[Филиал]], tbl_Filialy[Филиал], tbl_Filialy[Город])</f>
        <v>Екатеринбург</v>
      </c>
      <c r="B421" s="1" t="s">
        <v>7</v>
      </c>
      <c r="C421" s="2">
        <v>45739</v>
      </c>
      <c r="D421" s="2" t="str">
        <f>CHOOSE(MONTH(branches[[#This Row],[Дата]]),"Январь","Февраль","Март","Апрель","Май","Июнь","Июль","Август","Сентябрь","Октябрь","Ноябрь","Декабрь")&amp;" "&amp;YEAR(branches[[#This Row],[Дата]])</f>
        <v>Март 2025</v>
      </c>
      <c r="E421" t="s">
        <v>25</v>
      </c>
      <c r="F421" t="s">
        <v>12</v>
      </c>
      <c r="G421">
        <v>2</v>
      </c>
      <c r="H421">
        <v>472</v>
      </c>
      <c r="I421" t="s">
        <v>15</v>
      </c>
      <c r="J421" t="str">
        <f>_xlfn.XLOOKUP(branches[[#This Row],[Филиал]], tbl_Filialy[Филиал], tbl_Filialy[Менеджер])</f>
        <v>Сергей Мельников</v>
      </c>
    </row>
    <row r="422" spans="1:10" x14ac:dyDescent="0.3">
      <c r="A422" t="str">
        <f>_xlfn.XLOOKUP(branches[[#This Row],[Филиал]], tbl_Filialy[Филиал], tbl_Filialy[Город])</f>
        <v>Екатеринбург</v>
      </c>
      <c r="B422" s="1" t="s">
        <v>7</v>
      </c>
      <c r="C422" s="2">
        <v>45830</v>
      </c>
      <c r="D422" s="2" t="str">
        <f>CHOOSE(MONTH(branches[[#This Row],[Дата]]),"Январь","Февраль","Март","Апрель","Май","Июнь","Июль","Август","Сентябрь","Октябрь","Ноябрь","Декабрь")&amp;" "&amp;YEAR(branches[[#This Row],[Дата]])</f>
        <v>Июнь 2025</v>
      </c>
      <c r="E422" t="s">
        <v>20</v>
      </c>
      <c r="F422" t="s">
        <v>12</v>
      </c>
      <c r="G422">
        <v>2</v>
      </c>
      <c r="H422">
        <v>536</v>
      </c>
      <c r="I422" t="s">
        <v>15</v>
      </c>
      <c r="J422" t="str">
        <f>_xlfn.XLOOKUP(branches[[#This Row],[Филиал]], tbl_Filialy[Филиал], tbl_Filialy[Менеджер])</f>
        <v>Сергей Мельников</v>
      </c>
    </row>
    <row r="423" spans="1:10" x14ac:dyDescent="0.3">
      <c r="A423" t="str">
        <f>_xlfn.XLOOKUP(branches[[#This Row],[Филиал]], tbl_Filialy[Филиал], tbl_Filialy[Город])</f>
        <v>Екатеринбург</v>
      </c>
      <c r="B423" s="1" t="s">
        <v>7</v>
      </c>
      <c r="C423" s="2">
        <v>45818</v>
      </c>
      <c r="D423" s="2" t="str">
        <f>CHOOSE(MONTH(branches[[#This Row],[Дата]]),"Январь","Февраль","Март","Апрель","Май","Июнь","Июль","Август","Сентябрь","Октябрь","Ноябрь","Декабрь")&amp;" "&amp;YEAR(branches[[#This Row],[Дата]])</f>
        <v>Июнь 2025</v>
      </c>
      <c r="E423" t="s">
        <v>11</v>
      </c>
      <c r="F423" t="s">
        <v>12</v>
      </c>
      <c r="G423">
        <v>1</v>
      </c>
      <c r="H423">
        <v>186</v>
      </c>
      <c r="I423" t="s">
        <v>21</v>
      </c>
      <c r="J423" t="str">
        <f>_xlfn.XLOOKUP(branches[[#This Row],[Филиал]], tbl_Filialy[Филиал], tbl_Filialy[Менеджер])</f>
        <v>Сергей Мельников</v>
      </c>
    </row>
    <row r="424" spans="1:10" x14ac:dyDescent="0.3">
      <c r="A424" t="str">
        <f>_xlfn.XLOOKUP(branches[[#This Row],[Филиал]], tbl_Filialy[Филиал], tbl_Filialy[Город])</f>
        <v>Екатеринбург</v>
      </c>
      <c r="B424" s="1" t="s">
        <v>7</v>
      </c>
      <c r="C424" s="2">
        <v>45964</v>
      </c>
      <c r="D424" s="2" t="str">
        <f>CHOOSE(MONTH(branches[[#This Row],[Дата]]),"Январь","Февраль","Март","Апрель","Май","Июнь","Июль","Август","Сентябрь","Октябрь","Ноябрь","Декабрь")&amp;" "&amp;YEAR(branches[[#This Row],[Дата]])</f>
        <v>Ноябрь 2025</v>
      </c>
      <c r="E424" t="s">
        <v>18</v>
      </c>
      <c r="F424" t="s">
        <v>12</v>
      </c>
      <c r="G424">
        <v>2</v>
      </c>
      <c r="H424">
        <v>264</v>
      </c>
      <c r="I424" t="s">
        <v>10</v>
      </c>
      <c r="J424" t="str">
        <f>_xlfn.XLOOKUP(branches[[#This Row],[Филиал]], tbl_Filialy[Филиал], tbl_Filialy[Менеджер])</f>
        <v>Сергей Мельников</v>
      </c>
    </row>
    <row r="425" spans="1:10" x14ac:dyDescent="0.3">
      <c r="A425" t="str">
        <f>_xlfn.XLOOKUP(branches[[#This Row],[Филиал]], tbl_Filialy[Филиал], tbl_Filialy[Город])</f>
        <v>Екатеринбург</v>
      </c>
      <c r="B425" s="1" t="s">
        <v>7</v>
      </c>
      <c r="C425" s="2">
        <v>45682</v>
      </c>
      <c r="D425" s="2" t="str">
        <f>CHOOSE(MONTH(branches[[#This Row],[Дата]]),"Январь","Февраль","Март","Апрель","Май","Июнь","Июль","Август","Сентябрь","Октябрь","Ноябрь","Декабрь")&amp;" "&amp;YEAR(branches[[#This Row],[Дата]])</f>
        <v>Январь 2025</v>
      </c>
      <c r="E425" t="s">
        <v>27</v>
      </c>
      <c r="F425" t="s">
        <v>12</v>
      </c>
      <c r="G425">
        <v>1</v>
      </c>
      <c r="H425">
        <v>197</v>
      </c>
      <c r="I425" t="s">
        <v>23</v>
      </c>
      <c r="J425" t="str">
        <f>_xlfn.XLOOKUP(branches[[#This Row],[Филиал]], tbl_Filialy[Филиал], tbl_Filialy[Менеджер])</f>
        <v>Сергей Мельников</v>
      </c>
    </row>
    <row r="426" spans="1:10" x14ac:dyDescent="0.3">
      <c r="A426" t="str">
        <f>_xlfn.XLOOKUP(branches[[#This Row],[Филиал]], tbl_Filialy[Филиал], tbl_Filialy[Город])</f>
        <v>Екатеринбург</v>
      </c>
      <c r="B426" s="1" t="s">
        <v>7</v>
      </c>
      <c r="C426" s="2">
        <v>45675</v>
      </c>
      <c r="D426" s="2" t="str">
        <f>CHOOSE(MONTH(branches[[#This Row],[Дата]]),"Январь","Февраль","Март","Апрель","Май","Июнь","Июль","Август","Сентябрь","Октябрь","Ноябрь","Декабрь")&amp;" "&amp;YEAR(branches[[#This Row],[Дата]])</f>
        <v>Январь 2025</v>
      </c>
      <c r="E426" t="s">
        <v>28</v>
      </c>
      <c r="F426" t="s">
        <v>12</v>
      </c>
      <c r="G426">
        <v>1</v>
      </c>
      <c r="H426">
        <v>238</v>
      </c>
      <c r="I426" t="s">
        <v>21</v>
      </c>
      <c r="J426" t="str">
        <f>_xlfn.XLOOKUP(branches[[#This Row],[Филиал]], tbl_Filialy[Филиал], tbl_Filialy[Менеджер])</f>
        <v>Сергей Мельников</v>
      </c>
    </row>
    <row r="427" spans="1:10" x14ac:dyDescent="0.3">
      <c r="A427" t="str">
        <f>_xlfn.XLOOKUP(branches[[#This Row],[Филиал]], tbl_Filialy[Филиал], tbl_Filialy[Город])</f>
        <v>Екатеринбург</v>
      </c>
      <c r="B427" s="1" t="s">
        <v>7</v>
      </c>
      <c r="C427" s="2">
        <v>45924</v>
      </c>
      <c r="D427" s="2" t="str">
        <f>CHOOSE(MONTH(branches[[#This Row],[Дата]]),"Январь","Февраль","Март","Апрель","Май","Июнь","Июль","Август","Сентябрь","Октябрь","Ноябрь","Декабрь")&amp;" "&amp;YEAR(branches[[#This Row],[Дата]])</f>
        <v>Сентябрь 2025</v>
      </c>
      <c r="E427" t="s">
        <v>11</v>
      </c>
      <c r="F427" t="s">
        <v>12</v>
      </c>
      <c r="G427">
        <v>3</v>
      </c>
      <c r="H427">
        <v>507</v>
      </c>
      <c r="I427" t="s">
        <v>21</v>
      </c>
      <c r="J427" t="str">
        <f>_xlfn.XLOOKUP(branches[[#This Row],[Филиал]], tbl_Filialy[Филиал], tbl_Filialy[Менеджер])</f>
        <v>Сергей Мельников</v>
      </c>
    </row>
    <row r="428" spans="1:10" x14ac:dyDescent="0.3">
      <c r="A428" t="str">
        <f>_xlfn.XLOOKUP(branches[[#This Row],[Филиал]], tbl_Filialy[Филиал], tbl_Filialy[Город])</f>
        <v>Екатеринбург</v>
      </c>
      <c r="B428" s="1" t="s">
        <v>7</v>
      </c>
      <c r="C428" s="2">
        <v>45730</v>
      </c>
      <c r="D428" s="2" t="str">
        <f>CHOOSE(MONTH(branches[[#This Row],[Дата]]),"Январь","Февраль","Март","Апрель","Май","Июнь","Июль","Август","Сентябрь","Октябрь","Ноябрь","Декабрь")&amp;" "&amp;YEAR(branches[[#This Row],[Дата]])</f>
        <v>Март 2025</v>
      </c>
      <c r="E428" t="s">
        <v>11</v>
      </c>
      <c r="F428" t="s">
        <v>12</v>
      </c>
      <c r="G428">
        <v>1</v>
      </c>
      <c r="H428">
        <v>195</v>
      </c>
      <c r="I428" t="s">
        <v>15</v>
      </c>
      <c r="J428" t="str">
        <f>_xlfn.XLOOKUP(branches[[#This Row],[Филиал]], tbl_Filialy[Филиал], tbl_Filialy[Менеджер])</f>
        <v>Сергей Мельников</v>
      </c>
    </row>
    <row r="429" spans="1:10" x14ac:dyDescent="0.3">
      <c r="A429" t="str">
        <f>_xlfn.XLOOKUP(branches[[#This Row],[Филиал]], tbl_Filialy[Филиал], tbl_Filialy[Город])</f>
        <v>Екатеринбург</v>
      </c>
      <c r="B429" s="1" t="s">
        <v>7</v>
      </c>
      <c r="C429" s="2">
        <v>45700</v>
      </c>
      <c r="D429" s="2" t="str">
        <f>CHOOSE(MONTH(branches[[#This Row],[Дата]]),"Январь","Февраль","Март","Апрель","Май","Июнь","Июль","Август","Сентябрь","Октябрь","Ноябрь","Декабрь")&amp;" "&amp;YEAR(branches[[#This Row],[Дата]])</f>
        <v>Февраль 2025</v>
      </c>
      <c r="E429" t="s">
        <v>24</v>
      </c>
      <c r="F429" t="s">
        <v>17</v>
      </c>
      <c r="G429">
        <v>2</v>
      </c>
      <c r="H429">
        <v>690</v>
      </c>
      <c r="I429" t="s">
        <v>15</v>
      </c>
      <c r="J429" t="str">
        <f>_xlfn.XLOOKUP(branches[[#This Row],[Филиал]], tbl_Filialy[Филиал], tbl_Filialy[Менеджер])</f>
        <v>Сергей Мельников</v>
      </c>
    </row>
    <row r="430" spans="1:10" x14ac:dyDescent="0.3">
      <c r="A430" t="str">
        <f>_xlfn.XLOOKUP(branches[[#This Row],[Филиал]], tbl_Filialy[Филиал], tbl_Filialy[Город])</f>
        <v>Екатеринбург</v>
      </c>
      <c r="B430" s="1" t="s">
        <v>7</v>
      </c>
      <c r="C430" s="2">
        <v>45816</v>
      </c>
      <c r="D430" s="2" t="str">
        <f>CHOOSE(MONTH(branches[[#This Row],[Дата]]),"Январь","Февраль","Март","Апрель","Май","Июнь","Июль","Август","Сентябрь","Октябрь","Ноябрь","Декабрь")&amp;" "&amp;YEAR(branches[[#This Row],[Дата]])</f>
        <v>Июнь 2025</v>
      </c>
      <c r="E430" t="s">
        <v>16</v>
      </c>
      <c r="F430" t="s">
        <v>17</v>
      </c>
      <c r="G430">
        <v>1</v>
      </c>
      <c r="H430">
        <v>296</v>
      </c>
      <c r="I430" t="s">
        <v>23</v>
      </c>
      <c r="J430" t="str">
        <f>_xlfn.XLOOKUP(branches[[#This Row],[Филиал]], tbl_Filialy[Филиал], tbl_Filialy[Менеджер])</f>
        <v>Сергей Мельников</v>
      </c>
    </row>
    <row r="431" spans="1:10" x14ac:dyDescent="0.3">
      <c r="A431" t="str">
        <f>_xlfn.XLOOKUP(branches[[#This Row],[Филиал]], tbl_Filialy[Филиал], tbl_Filialy[Город])</f>
        <v>Екатеринбург</v>
      </c>
      <c r="B431" s="1" t="s">
        <v>7</v>
      </c>
      <c r="C431" s="2">
        <v>45861</v>
      </c>
      <c r="D431" s="2" t="str">
        <f>CHOOSE(MONTH(branches[[#This Row],[Дата]]),"Январь","Февраль","Март","Апрель","Май","Июнь","Июль","Август","Сентябрь","Октябрь","Ноябрь","Декабрь")&amp;" "&amp;YEAR(branches[[#This Row],[Дата]])</f>
        <v>Июль 2025</v>
      </c>
      <c r="E431" t="s">
        <v>11</v>
      </c>
      <c r="F431" t="s">
        <v>12</v>
      </c>
      <c r="G431">
        <v>3</v>
      </c>
      <c r="H431">
        <v>534</v>
      </c>
      <c r="I431" t="s">
        <v>10</v>
      </c>
      <c r="J431" t="str">
        <f>_xlfn.XLOOKUP(branches[[#This Row],[Филиал]], tbl_Filialy[Филиал], tbl_Filialy[Менеджер])</f>
        <v>Сергей Мельников</v>
      </c>
    </row>
    <row r="432" spans="1:10" x14ac:dyDescent="0.3">
      <c r="A432" t="str">
        <f>_xlfn.XLOOKUP(branches[[#This Row],[Филиал]], tbl_Filialy[Филиал], tbl_Filialy[Город])</f>
        <v>Екатеринбург</v>
      </c>
      <c r="B432" s="1" t="s">
        <v>7</v>
      </c>
      <c r="C432" s="2">
        <v>45682</v>
      </c>
      <c r="D432" s="2" t="str">
        <f>CHOOSE(MONTH(branches[[#This Row],[Дата]]),"Январь","Февраль","Март","Апрель","Май","Июнь","Июль","Август","Сентябрь","Октябрь","Ноябрь","Декабрь")&amp;" "&amp;YEAR(branches[[#This Row],[Дата]])</f>
        <v>Январь 2025</v>
      </c>
      <c r="E432" t="s">
        <v>28</v>
      </c>
      <c r="F432" t="s">
        <v>12</v>
      </c>
      <c r="G432">
        <v>3</v>
      </c>
      <c r="H432">
        <v>708</v>
      </c>
      <c r="I432" t="s">
        <v>10</v>
      </c>
      <c r="J432" t="str">
        <f>_xlfn.XLOOKUP(branches[[#This Row],[Филиал]], tbl_Filialy[Филиал], tbl_Filialy[Менеджер])</f>
        <v>Сергей Мельников</v>
      </c>
    </row>
    <row r="433" spans="1:10" x14ac:dyDescent="0.3">
      <c r="A433" t="str">
        <f>_xlfn.XLOOKUP(branches[[#This Row],[Филиал]], tbl_Filialy[Филиал], tbl_Filialy[Город])</f>
        <v>Екатеринбург</v>
      </c>
      <c r="B433" s="1" t="s">
        <v>7</v>
      </c>
      <c r="C433" s="2">
        <v>45895</v>
      </c>
      <c r="D433" s="2" t="str">
        <f>CHOOSE(MONTH(branches[[#This Row],[Дата]]),"Январь","Февраль","Март","Апрель","Май","Июнь","Июль","Август","Сентябрь","Октябрь","Ноябрь","Декабрь")&amp;" "&amp;YEAR(branches[[#This Row],[Дата]])</f>
        <v>Август 2025</v>
      </c>
      <c r="E433" t="s">
        <v>14</v>
      </c>
      <c r="F433" t="s">
        <v>12</v>
      </c>
      <c r="G433">
        <v>2</v>
      </c>
      <c r="H433">
        <v>570</v>
      </c>
      <c r="I433" t="s">
        <v>23</v>
      </c>
      <c r="J433" t="str">
        <f>_xlfn.XLOOKUP(branches[[#This Row],[Филиал]], tbl_Filialy[Филиал], tbl_Filialy[Менеджер])</f>
        <v>Сергей Мельников</v>
      </c>
    </row>
    <row r="434" spans="1:10" x14ac:dyDescent="0.3">
      <c r="A434" t="str">
        <f>_xlfn.XLOOKUP(branches[[#This Row],[Филиал]], tbl_Filialy[Филиал], tbl_Filialy[Город])</f>
        <v>Екатеринбург</v>
      </c>
      <c r="B434" s="1" t="s">
        <v>7</v>
      </c>
      <c r="C434" s="2">
        <v>45908</v>
      </c>
      <c r="D434" s="2" t="str">
        <f>CHOOSE(MONTH(branches[[#This Row],[Дата]]),"Январь","Февраль","Март","Апрель","Май","Июнь","Июль","Август","Сентябрь","Октябрь","Ноябрь","Декабрь")&amp;" "&amp;YEAR(branches[[#This Row],[Дата]])</f>
        <v>Сентябрь 2025</v>
      </c>
      <c r="E434" t="s">
        <v>16</v>
      </c>
      <c r="F434" t="s">
        <v>17</v>
      </c>
      <c r="G434">
        <v>1</v>
      </c>
      <c r="H434">
        <v>303</v>
      </c>
      <c r="I434" t="s">
        <v>13</v>
      </c>
      <c r="J434" t="str">
        <f>_xlfn.XLOOKUP(branches[[#This Row],[Филиал]], tbl_Filialy[Филиал], tbl_Filialy[Менеджер])</f>
        <v>Сергей Мельников</v>
      </c>
    </row>
    <row r="435" spans="1:10" x14ac:dyDescent="0.3">
      <c r="A435" t="str">
        <f>_xlfn.XLOOKUP(branches[[#This Row],[Филиал]], tbl_Filialy[Филиал], tbl_Filialy[Город])</f>
        <v>Екатеринбург</v>
      </c>
      <c r="B435" s="1" t="s">
        <v>7</v>
      </c>
      <c r="C435" s="2">
        <v>45876</v>
      </c>
      <c r="D435" s="2" t="str">
        <f>CHOOSE(MONTH(branches[[#This Row],[Дата]]),"Январь","Февраль","Март","Апрель","Май","Июнь","Июль","Август","Сентябрь","Октябрь","Ноябрь","Декабрь")&amp;" "&amp;YEAR(branches[[#This Row],[Дата]])</f>
        <v>Август 2025</v>
      </c>
      <c r="E435" t="s">
        <v>28</v>
      </c>
      <c r="F435" t="s">
        <v>12</v>
      </c>
      <c r="G435">
        <v>3</v>
      </c>
      <c r="H435">
        <v>642</v>
      </c>
      <c r="I435" t="s">
        <v>13</v>
      </c>
      <c r="J435" t="str">
        <f>_xlfn.XLOOKUP(branches[[#This Row],[Филиал]], tbl_Filialy[Филиал], tbl_Filialy[Менеджер])</f>
        <v>Сергей Мельников</v>
      </c>
    </row>
    <row r="436" spans="1:10" x14ac:dyDescent="0.3">
      <c r="A436" t="str">
        <f>_xlfn.XLOOKUP(branches[[#This Row],[Филиал]], tbl_Filialy[Филиал], tbl_Filialy[Город])</f>
        <v>Екатеринбург</v>
      </c>
      <c r="B436" s="1" t="s">
        <v>7</v>
      </c>
      <c r="C436" s="2">
        <v>45786</v>
      </c>
      <c r="D436" s="2" t="str">
        <f>CHOOSE(MONTH(branches[[#This Row],[Дата]]),"Январь","Февраль","Март","Апрель","Май","Июнь","Июль","Август","Сентябрь","Октябрь","Ноябрь","Декабрь")&amp;" "&amp;YEAR(branches[[#This Row],[Дата]])</f>
        <v>Май 2025</v>
      </c>
      <c r="E436" t="s">
        <v>25</v>
      </c>
      <c r="F436" t="s">
        <v>12</v>
      </c>
      <c r="G436">
        <v>2</v>
      </c>
      <c r="H436">
        <v>480</v>
      </c>
      <c r="I436" t="s">
        <v>19</v>
      </c>
      <c r="J436" t="str">
        <f>_xlfn.XLOOKUP(branches[[#This Row],[Филиал]], tbl_Filialy[Филиал], tbl_Filialy[Менеджер])</f>
        <v>Сергей Мельников</v>
      </c>
    </row>
    <row r="437" spans="1:10" x14ac:dyDescent="0.3">
      <c r="A437" t="str">
        <f>_xlfn.XLOOKUP(branches[[#This Row],[Филиал]], tbl_Filialy[Филиал], tbl_Filialy[Город])</f>
        <v>Екатеринбург</v>
      </c>
      <c r="B437" s="1" t="s">
        <v>7</v>
      </c>
      <c r="C437" s="2">
        <v>45660</v>
      </c>
      <c r="D437" s="2" t="str">
        <f>CHOOSE(MONTH(branches[[#This Row],[Дата]]),"Январь","Февраль","Март","Апрель","Май","Июнь","Июль","Август","Сентябрь","Октябрь","Ноябрь","Декабрь")&amp;" "&amp;YEAR(branches[[#This Row],[Дата]])</f>
        <v>Январь 2025</v>
      </c>
      <c r="E437" t="s">
        <v>27</v>
      </c>
      <c r="F437" t="s">
        <v>12</v>
      </c>
      <c r="G437">
        <v>1</v>
      </c>
      <c r="H437">
        <v>229</v>
      </c>
      <c r="I437" t="s">
        <v>13</v>
      </c>
      <c r="J437" t="str">
        <f>_xlfn.XLOOKUP(branches[[#This Row],[Филиал]], tbl_Filialy[Филиал], tbl_Filialy[Менеджер])</f>
        <v>Сергей Мельников</v>
      </c>
    </row>
    <row r="438" spans="1:10" x14ac:dyDescent="0.3">
      <c r="A438" t="str">
        <f>_xlfn.XLOOKUP(branches[[#This Row],[Филиал]], tbl_Filialy[Филиал], tbl_Filialy[Город])</f>
        <v>Екатеринбург</v>
      </c>
      <c r="B438" s="1" t="s">
        <v>7</v>
      </c>
      <c r="C438" s="2">
        <v>45761</v>
      </c>
      <c r="D438" s="2" t="str">
        <f>CHOOSE(MONTH(branches[[#This Row],[Дата]]),"Январь","Февраль","Март","Апрель","Май","Июнь","Июль","Август","Сентябрь","Октябрь","Ноябрь","Декабрь")&amp;" "&amp;YEAR(branches[[#This Row],[Дата]])</f>
        <v>Апрель 2025</v>
      </c>
      <c r="E438" t="s">
        <v>20</v>
      </c>
      <c r="F438" t="s">
        <v>12</v>
      </c>
      <c r="G438">
        <v>1</v>
      </c>
      <c r="H438">
        <v>291</v>
      </c>
      <c r="I438" t="s">
        <v>21</v>
      </c>
      <c r="J438" t="str">
        <f>_xlfn.XLOOKUP(branches[[#This Row],[Филиал]], tbl_Filialy[Филиал], tbl_Filialy[Менеджер])</f>
        <v>Сергей Мельников</v>
      </c>
    </row>
    <row r="439" spans="1:10" x14ac:dyDescent="0.3">
      <c r="A439" t="str">
        <f>_xlfn.XLOOKUP(branches[[#This Row],[Филиал]], tbl_Filialy[Филиал], tbl_Filialy[Город])</f>
        <v>Екатеринбург</v>
      </c>
      <c r="B439" s="1" t="s">
        <v>7</v>
      </c>
      <c r="C439" s="2">
        <v>45670</v>
      </c>
      <c r="D439" s="2" t="str">
        <f>CHOOSE(MONTH(branches[[#This Row],[Дата]]),"Январь","Февраль","Март","Апрель","Май","Июнь","Июль","Август","Сентябрь","Октябрь","Ноябрь","Декабрь")&amp;" "&amp;YEAR(branches[[#This Row],[Дата]])</f>
        <v>Январь 2025</v>
      </c>
      <c r="E439" t="s">
        <v>28</v>
      </c>
      <c r="F439" t="s">
        <v>12</v>
      </c>
      <c r="G439">
        <v>1</v>
      </c>
      <c r="H439">
        <v>225</v>
      </c>
      <c r="I439" t="s">
        <v>21</v>
      </c>
      <c r="J439" t="str">
        <f>_xlfn.XLOOKUP(branches[[#This Row],[Филиал]], tbl_Filialy[Филиал], tbl_Filialy[Менеджер])</f>
        <v>Сергей Мельников</v>
      </c>
    </row>
    <row r="440" spans="1:10" x14ac:dyDescent="0.3">
      <c r="A440" t="str">
        <f>_xlfn.XLOOKUP(branches[[#This Row],[Филиал]], tbl_Filialy[Филиал], tbl_Filialy[Город])</f>
        <v>Екатеринбург</v>
      </c>
      <c r="B440" s="1" t="s">
        <v>7</v>
      </c>
      <c r="C440" s="2">
        <v>45956</v>
      </c>
      <c r="D440" s="2" t="str">
        <f>CHOOSE(MONTH(branches[[#This Row],[Дата]]),"Январь","Февраль","Март","Апрель","Май","Июнь","Июль","Август","Сентябрь","Октябрь","Ноябрь","Декабрь")&amp;" "&amp;YEAR(branches[[#This Row],[Дата]])</f>
        <v>Октябрь 2025</v>
      </c>
      <c r="E440" t="s">
        <v>18</v>
      </c>
      <c r="F440" t="s">
        <v>12</v>
      </c>
      <c r="G440">
        <v>1</v>
      </c>
      <c r="H440">
        <v>123</v>
      </c>
      <c r="I440" t="s">
        <v>15</v>
      </c>
      <c r="J440" t="str">
        <f>_xlfn.XLOOKUP(branches[[#This Row],[Филиал]], tbl_Filialy[Филиал], tbl_Filialy[Менеджер])</f>
        <v>Сергей Мельников</v>
      </c>
    </row>
    <row r="441" spans="1:10" x14ac:dyDescent="0.3">
      <c r="A441" t="str">
        <f>_xlfn.XLOOKUP(branches[[#This Row],[Филиал]], tbl_Filialy[Филиал], tbl_Filialy[Город])</f>
        <v>Екатеринбург</v>
      </c>
      <c r="B441" s="1" t="s">
        <v>7</v>
      </c>
      <c r="C441" s="2">
        <v>45989</v>
      </c>
      <c r="D441" s="2" t="str">
        <f>CHOOSE(MONTH(branches[[#This Row],[Дата]]),"Январь","Февраль","Март","Апрель","Май","Июнь","Июль","Август","Сентябрь","Октябрь","Ноябрь","Декабрь")&amp;" "&amp;YEAR(branches[[#This Row],[Дата]])</f>
        <v>Ноябрь 2025</v>
      </c>
      <c r="E441" t="s">
        <v>11</v>
      </c>
      <c r="F441" t="s">
        <v>12</v>
      </c>
      <c r="G441">
        <v>3</v>
      </c>
      <c r="H441">
        <v>579</v>
      </c>
      <c r="I441" t="s">
        <v>23</v>
      </c>
      <c r="J441" t="str">
        <f>_xlfn.XLOOKUP(branches[[#This Row],[Филиал]], tbl_Filialy[Филиал], tbl_Filialy[Менеджер])</f>
        <v>Сергей Мельников</v>
      </c>
    </row>
    <row r="442" spans="1:10" x14ac:dyDescent="0.3">
      <c r="A442" t="str">
        <f>_xlfn.XLOOKUP(branches[[#This Row],[Филиал]], tbl_Filialy[Филиал], tbl_Filialy[Город])</f>
        <v>Екатеринбург</v>
      </c>
      <c r="B442" s="1" t="s">
        <v>7</v>
      </c>
      <c r="C442" s="2">
        <v>45956</v>
      </c>
      <c r="D442" s="2" t="str">
        <f>CHOOSE(MONTH(branches[[#This Row],[Дата]]),"Январь","Февраль","Март","Апрель","Май","Июнь","Июль","Август","Сентябрь","Октябрь","Ноябрь","Декабрь")&amp;" "&amp;YEAR(branches[[#This Row],[Дата]])</f>
        <v>Октябрь 2025</v>
      </c>
      <c r="E442" t="s">
        <v>24</v>
      </c>
      <c r="F442" t="s">
        <v>17</v>
      </c>
      <c r="G442">
        <v>1</v>
      </c>
      <c r="H442">
        <v>368</v>
      </c>
      <c r="I442" t="s">
        <v>23</v>
      </c>
      <c r="J442" t="str">
        <f>_xlfn.XLOOKUP(branches[[#This Row],[Филиал]], tbl_Filialy[Филиал], tbl_Filialy[Менеджер])</f>
        <v>Сергей Мельников</v>
      </c>
    </row>
    <row r="443" spans="1:10" x14ac:dyDescent="0.3">
      <c r="A443" t="str">
        <f>_xlfn.XLOOKUP(branches[[#This Row],[Филиал]], tbl_Filialy[Филиал], tbl_Filialy[Город])</f>
        <v>Екатеринбург</v>
      </c>
      <c r="B443" s="1" t="s">
        <v>7</v>
      </c>
      <c r="C443" s="2">
        <v>45902</v>
      </c>
      <c r="D443" s="2" t="str">
        <f>CHOOSE(MONTH(branches[[#This Row],[Дата]]),"Январь","Февраль","Март","Апрель","Май","Июнь","Июль","Август","Сентябрь","Октябрь","Ноябрь","Декабрь")&amp;" "&amp;YEAR(branches[[#This Row],[Дата]])</f>
        <v>Сентябрь 2025</v>
      </c>
      <c r="E443" t="s">
        <v>8</v>
      </c>
      <c r="F443" t="s">
        <v>9</v>
      </c>
      <c r="G443">
        <v>2</v>
      </c>
      <c r="H443">
        <v>542</v>
      </c>
      <c r="I443" t="s">
        <v>13</v>
      </c>
      <c r="J443" t="str">
        <f>_xlfn.XLOOKUP(branches[[#This Row],[Филиал]], tbl_Filialy[Филиал], tbl_Filialy[Менеджер])</f>
        <v>Сергей Мельников</v>
      </c>
    </row>
    <row r="444" spans="1:10" x14ac:dyDescent="0.3">
      <c r="A444" t="str">
        <f>_xlfn.XLOOKUP(branches[[#This Row],[Филиал]], tbl_Filialy[Филиал], tbl_Filialy[Город])</f>
        <v>Екатеринбург</v>
      </c>
      <c r="B444" s="1" t="s">
        <v>7</v>
      </c>
      <c r="C444" s="2">
        <v>46018</v>
      </c>
      <c r="D444" s="2" t="str">
        <f>CHOOSE(MONTH(branches[[#This Row],[Дата]]),"Январь","Февраль","Март","Апрель","Май","Июнь","Июль","Август","Сентябрь","Октябрь","Ноябрь","Декабрь")&amp;" "&amp;YEAR(branches[[#This Row],[Дата]])</f>
        <v>Декабрь 2025</v>
      </c>
      <c r="E444" t="s">
        <v>25</v>
      </c>
      <c r="F444" t="s">
        <v>12</v>
      </c>
      <c r="G444">
        <v>1</v>
      </c>
      <c r="H444">
        <v>237</v>
      </c>
      <c r="I444" t="s">
        <v>23</v>
      </c>
      <c r="J444" t="str">
        <f>_xlfn.XLOOKUP(branches[[#This Row],[Филиал]], tbl_Filialy[Филиал], tbl_Filialy[Менеджер])</f>
        <v>Сергей Мельников</v>
      </c>
    </row>
    <row r="445" spans="1:10" x14ac:dyDescent="0.3">
      <c r="A445" t="str">
        <f>_xlfn.XLOOKUP(branches[[#This Row],[Филиал]], tbl_Filialy[Филиал], tbl_Filialy[Город])</f>
        <v>Екатеринбург</v>
      </c>
      <c r="B445" s="1" t="s">
        <v>7</v>
      </c>
      <c r="C445" s="2">
        <v>45852</v>
      </c>
      <c r="D445" s="2" t="str">
        <f>CHOOSE(MONTH(branches[[#This Row],[Дата]]),"Январь","Февраль","Март","Апрель","Май","Июнь","Июль","Август","Сентябрь","Октябрь","Ноябрь","Декабрь")&amp;" "&amp;YEAR(branches[[#This Row],[Дата]])</f>
        <v>Июль 2025</v>
      </c>
      <c r="E445" t="s">
        <v>14</v>
      </c>
      <c r="F445" t="s">
        <v>12</v>
      </c>
      <c r="G445">
        <v>3</v>
      </c>
      <c r="H445">
        <v>732</v>
      </c>
      <c r="I445" t="s">
        <v>21</v>
      </c>
      <c r="J445" t="str">
        <f>_xlfn.XLOOKUP(branches[[#This Row],[Филиал]], tbl_Filialy[Филиал], tbl_Filialy[Менеджер])</f>
        <v>Сергей Мельников</v>
      </c>
    </row>
    <row r="446" spans="1:10" x14ac:dyDescent="0.3">
      <c r="A446" t="str">
        <f>_xlfn.XLOOKUP(branches[[#This Row],[Филиал]], tbl_Filialy[Филиал], tbl_Filialy[Город])</f>
        <v>Екатеринбург</v>
      </c>
      <c r="B446" s="1" t="s">
        <v>7</v>
      </c>
      <c r="C446" s="2">
        <v>45944</v>
      </c>
      <c r="D446" s="2" t="str">
        <f>CHOOSE(MONTH(branches[[#This Row],[Дата]]),"Январь","Февраль","Март","Апрель","Май","Июнь","Июль","Август","Сентябрь","Октябрь","Ноябрь","Декабрь")&amp;" "&amp;YEAR(branches[[#This Row],[Дата]])</f>
        <v>Октябрь 2025</v>
      </c>
      <c r="E446" t="s">
        <v>25</v>
      </c>
      <c r="F446" t="s">
        <v>12</v>
      </c>
      <c r="G446">
        <v>3</v>
      </c>
      <c r="H446">
        <v>729</v>
      </c>
      <c r="I446" t="s">
        <v>10</v>
      </c>
      <c r="J446" t="str">
        <f>_xlfn.XLOOKUP(branches[[#This Row],[Филиал]], tbl_Filialy[Филиал], tbl_Filialy[Менеджер])</f>
        <v>Сергей Мельников</v>
      </c>
    </row>
    <row r="447" spans="1:10" x14ac:dyDescent="0.3">
      <c r="A447" t="str">
        <f>_xlfn.XLOOKUP(branches[[#This Row],[Филиал]], tbl_Filialy[Филиал], tbl_Filialy[Город])</f>
        <v>Екатеринбург</v>
      </c>
      <c r="B447" s="1" t="s">
        <v>7</v>
      </c>
      <c r="C447" s="2">
        <v>45676</v>
      </c>
      <c r="D447" s="2" t="str">
        <f>CHOOSE(MONTH(branches[[#This Row],[Дата]]),"Январь","Февраль","Март","Апрель","Май","Июнь","Июль","Август","Сентябрь","Октябрь","Ноябрь","Декабрь")&amp;" "&amp;YEAR(branches[[#This Row],[Дата]])</f>
        <v>Январь 2025</v>
      </c>
      <c r="E447" t="s">
        <v>25</v>
      </c>
      <c r="F447" t="s">
        <v>12</v>
      </c>
      <c r="G447">
        <v>2</v>
      </c>
      <c r="H447">
        <v>480</v>
      </c>
      <c r="I447" t="s">
        <v>23</v>
      </c>
      <c r="J447" t="str">
        <f>_xlfn.XLOOKUP(branches[[#This Row],[Филиал]], tbl_Filialy[Филиал], tbl_Filialy[Менеджер])</f>
        <v>Сергей Мельников</v>
      </c>
    </row>
    <row r="448" spans="1:10" x14ac:dyDescent="0.3">
      <c r="A448" t="str">
        <f>_xlfn.XLOOKUP(branches[[#This Row],[Филиал]], tbl_Filialy[Филиал], tbl_Filialy[Город])</f>
        <v>Екатеринбург</v>
      </c>
      <c r="B448" s="1" t="s">
        <v>7</v>
      </c>
      <c r="C448" s="2">
        <v>45835</v>
      </c>
      <c r="D448" s="2" t="str">
        <f>CHOOSE(MONTH(branches[[#This Row],[Дата]]),"Январь","Февраль","Март","Апрель","Май","Июнь","Июль","Август","Сентябрь","Октябрь","Ноябрь","Декабрь")&amp;" "&amp;YEAR(branches[[#This Row],[Дата]])</f>
        <v>Июнь 2025</v>
      </c>
      <c r="E448" t="s">
        <v>14</v>
      </c>
      <c r="F448" t="s">
        <v>12</v>
      </c>
      <c r="G448">
        <v>1</v>
      </c>
      <c r="H448">
        <v>262</v>
      </c>
      <c r="I448" t="s">
        <v>15</v>
      </c>
      <c r="J448" t="str">
        <f>_xlfn.XLOOKUP(branches[[#This Row],[Филиал]], tbl_Filialy[Филиал], tbl_Filialy[Менеджер])</f>
        <v>Сергей Мельников</v>
      </c>
    </row>
    <row r="449" spans="1:10" x14ac:dyDescent="0.3">
      <c r="A449" t="str">
        <f>_xlfn.XLOOKUP(branches[[#This Row],[Филиал]], tbl_Filialy[Филиал], tbl_Filialy[Город])</f>
        <v>Екатеринбург</v>
      </c>
      <c r="B449" s="1" t="s">
        <v>7</v>
      </c>
      <c r="C449" s="2">
        <v>46000</v>
      </c>
      <c r="D449" s="2" t="str">
        <f>CHOOSE(MONTH(branches[[#This Row],[Дата]]),"Январь","Февраль","Март","Апрель","Май","Июнь","Июль","Август","Сентябрь","Октябрь","Ноябрь","Декабрь")&amp;" "&amp;YEAR(branches[[#This Row],[Дата]])</f>
        <v>Декабрь 2025</v>
      </c>
      <c r="E449" t="s">
        <v>11</v>
      </c>
      <c r="F449" t="s">
        <v>12</v>
      </c>
      <c r="G449">
        <v>1</v>
      </c>
      <c r="H449">
        <v>179</v>
      </c>
      <c r="I449" t="s">
        <v>19</v>
      </c>
      <c r="J449" t="str">
        <f>_xlfn.XLOOKUP(branches[[#This Row],[Филиал]], tbl_Filialy[Филиал], tbl_Filialy[Менеджер])</f>
        <v>Сергей Мельников</v>
      </c>
    </row>
    <row r="450" spans="1:10" x14ac:dyDescent="0.3">
      <c r="A450" t="str">
        <f>_xlfn.XLOOKUP(branches[[#This Row],[Филиал]], tbl_Filialy[Филиал], tbl_Filialy[Город])</f>
        <v>Екатеринбург</v>
      </c>
      <c r="B450" s="1" t="s">
        <v>7</v>
      </c>
      <c r="C450" s="2">
        <v>45659</v>
      </c>
      <c r="D450" s="2" t="str">
        <f>CHOOSE(MONTH(branches[[#This Row],[Дата]]),"Январь","Февраль","Март","Апрель","Май","Июнь","Июль","Август","Сентябрь","Октябрь","Ноябрь","Декабрь")&amp;" "&amp;YEAR(branches[[#This Row],[Дата]])</f>
        <v>Январь 2025</v>
      </c>
      <c r="E450" t="s">
        <v>24</v>
      </c>
      <c r="F450" t="s">
        <v>17</v>
      </c>
      <c r="G450">
        <v>1</v>
      </c>
      <c r="H450">
        <v>424</v>
      </c>
      <c r="I450" t="s">
        <v>13</v>
      </c>
      <c r="J450" t="str">
        <f>_xlfn.XLOOKUP(branches[[#This Row],[Филиал]], tbl_Filialy[Филиал], tbl_Filialy[Менеджер])</f>
        <v>Сергей Мельников</v>
      </c>
    </row>
    <row r="451" spans="1:10" x14ac:dyDescent="0.3">
      <c r="A451" t="str">
        <f>_xlfn.XLOOKUP(branches[[#This Row],[Филиал]], tbl_Filialy[Филиал], tbl_Filialy[Город])</f>
        <v>Екатеринбург</v>
      </c>
      <c r="B451" s="1" t="s">
        <v>7</v>
      </c>
      <c r="C451" s="2">
        <v>45992</v>
      </c>
      <c r="D451" s="2" t="str">
        <f>CHOOSE(MONTH(branches[[#This Row],[Дата]]),"Январь","Февраль","Март","Апрель","Май","Июнь","Июль","Август","Сентябрь","Октябрь","Ноябрь","Декабрь")&amp;" "&amp;YEAR(branches[[#This Row],[Дата]])</f>
        <v>Декабрь 2025</v>
      </c>
      <c r="E451" t="s">
        <v>28</v>
      </c>
      <c r="F451" t="s">
        <v>12</v>
      </c>
      <c r="G451">
        <v>2</v>
      </c>
      <c r="H451">
        <v>448</v>
      </c>
      <c r="I451" t="s">
        <v>19</v>
      </c>
      <c r="J451" t="str">
        <f>_xlfn.XLOOKUP(branches[[#This Row],[Филиал]], tbl_Filialy[Филиал], tbl_Filialy[Менеджер])</f>
        <v>Сергей Мельников</v>
      </c>
    </row>
    <row r="452" spans="1:10" x14ac:dyDescent="0.3">
      <c r="A452" t="str">
        <f>_xlfn.XLOOKUP(branches[[#This Row],[Филиал]], tbl_Filialy[Филиал], tbl_Filialy[Город])</f>
        <v>Екатеринбург</v>
      </c>
      <c r="B452" s="1" t="s">
        <v>7</v>
      </c>
      <c r="C452" s="2">
        <v>45885</v>
      </c>
      <c r="D452" s="2" t="str">
        <f>CHOOSE(MONTH(branches[[#This Row],[Дата]]),"Январь","Февраль","Март","Апрель","Май","Июнь","Июль","Август","Сентябрь","Октябрь","Ноябрь","Декабрь")&amp;" "&amp;YEAR(branches[[#This Row],[Дата]])</f>
        <v>Август 2025</v>
      </c>
      <c r="E452" t="s">
        <v>20</v>
      </c>
      <c r="F452" t="s">
        <v>12</v>
      </c>
      <c r="G452">
        <v>2</v>
      </c>
      <c r="H452">
        <v>612</v>
      </c>
      <c r="I452" t="s">
        <v>19</v>
      </c>
      <c r="J452" t="str">
        <f>_xlfn.XLOOKUP(branches[[#This Row],[Филиал]], tbl_Filialy[Филиал], tbl_Filialy[Менеджер])</f>
        <v>Сергей Мельников</v>
      </c>
    </row>
    <row r="453" spans="1:10" x14ac:dyDescent="0.3">
      <c r="A453" t="str">
        <f>_xlfn.XLOOKUP(branches[[#This Row],[Филиал]], tbl_Filialy[Филиал], tbl_Filialy[Город])</f>
        <v>Екатеринбург</v>
      </c>
      <c r="B453" s="1" t="s">
        <v>7</v>
      </c>
      <c r="C453" s="2">
        <v>45910</v>
      </c>
      <c r="D453" s="2" t="str">
        <f>CHOOSE(MONTH(branches[[#This Row],[Дата]]),"Январь","Февраль","Март","Апрель","Май","Июнь","Июль","Август","Сентябрь","Октябрь","Ноябрь","Декабрь")&amp;" "&amp;YEAR(branches[[#This Row],[Дата]])</f>
        <v>Сентябрь 2025</v>
      </c>
      <c r="E453" t="s">
        <v>22</v>
      </c>
      <c r="F453" t="s">
        <v>9</v>
      </c>
      <c r="G453">
        <v>1</v>
      </c>
      <c r="H453">
        <v>171</v>
      </c>
      <c r="I453" t="s">
        <v>23</v>
      </c>
      <c r="J453" t="str">
        <f>_xlfn.XLOOKUP(branches[[#This Row],[Филиал]], tbl_Filialy[Филиал], tbl_Filialy[Менеджер])</f>
        <v>Сергей Мельников</v>
      </c>
    </row>
    <row r="454" spans="1:10" x14ac:dyDescent="0.3">
      <c r="A454" t="str">
        <f>_xlfn.XLOOKUP(branches[[#This Row],[Филиал]], tbl_Filialy[Филиал], tbl_Filialy[Город])</f>
        <v>Екатеринбург</v>
      </c>
      <c r="B454" s="1" t="s">
        <v>7</v>
      </c>
      <c r="C454" s="2">
        <v>45763</v>
      </c>
      <c r="D454" s="2" t="str">
        <f>CHOOSE(MONTH(branches[[#This Row],[Дата]]),"Январь","Февраль","Март","Апрель","Май","Июнь","Июль","Август","Сентябрь","Октябрь","Ноябрь","Декабрь")&amp;" "&amp;YEAR(branches[[#This Row],[Дата]])</f>
        <v>Апрель 2025</v>
      </c>
      <c r="E454" t="s">
        <v>28</v>
      </c>
      <c r="F454" t="s">
        <v>12</v>
      </c>
      <c r="G454">
        <v>1</v>
      </c>
      <c r="H454">
        <v>219</v>
      </c>
      <c r="I454" t="s">
        <v>10</v>
      </c>
      <c r="J454" t="str">
        <f>_xlfn.XLOOKUP(branches[[#This Row],[Филиал]], tbl_Filialy[Филиал], tbl_Filialy[Менеджер])</f>
        <v>Сергей Мельников</v>
      </c>
    </row>
    <row r="455" spans="1:10" x14ac:dyDescent="0.3">
      <c r="A455" t="str">
        <f>_xlfn.XLOOKUP(branches[[#This Row],[Филиал]], tbl_Filialy[Филиал], tbl_Filialy[Город])</f>
        <v>Екатеринбург</v>
      </c>
      <c r="B455" s="1" t="s">
        <v>7</v>
      </c>
      <c r="C455" s="2">
        <v>45919</v>
      </c>
      <c r="D455" s="2" t="str">
        <f>CHOOSE(MONTH(branches[[#This Row],[Дата]]),"Январь","Февраль","Март","Апрель","Май","Июнь","Июль","Август","Сентябрь","Октябрь","Ноябрь","Декабрь")&amp;" "&amp;YEAR(branches[[#This Row],[Дата]])</f>
        <v>Сентябрь 2025</v>
      </c>
      <c r="E455" t="s">
        <v>27</v>
      </c>
      <c r="F455" t="s">
        <v>12</v>
      </c>
      <c r="G455">
        <v>3</v>
      </c>
      <c r="H455">
        <v>687</v>
      </c>
      <c r="I455" t="s">
        <v>21</v>
      </c>
      <c r="J455" t="str">
        <f>_xlfn.XLOOKUP(branches[[#This Row],[Филиал]], tbl_Filialy[Филиал], tbl_Filialy[Менеджер])</f>
        <v>Сергей Мельников</v>
      </c>
    </row>
    <row r="456" spans="1:10" x14ac:dyDescent="0.3">
      <c r="A456" t="str">
        <f>_xlfn.XLOOKUP(branches[[#This Row],[Филиал]], tbl_Filialy[Филиал], tbl_Filialy[Город])</f>
        <v>Екатеринбург</v>
      </c>
      <c r="B456" s="1" t="s">
        <v>7</v>
      </c>
      <c r="C456" s="2">
        <v>45941</v>
      </c>
      <c r="D456" s="2" t="str">
        <f>CHOOSE(MONTH(branches[[#This Row],[Дата]]),"Январь","Февраль","Март","Апрель","Май","Июнь","Июль","Август","Сентябрь","Октябрь","Ноябрь","Декабрь")&amp;" "&amp;YEAR(branches[[#This Row],[Дата]])</f>
        <v>Октябрь 2025</v>
      </c>
      <c r="E456" t="s">
        <v>8</v>
      </c>
      <c r="F456" t="s">
        <v>9</v>
      </c>
      <c r="G456">
        <v>2</v>
      </c>
      <c r="H456">
        <v>444</v>
      </c>
      <c r="I456" t="s">
        <v>13</v>
      </c>
      <c r="J456" t="str">
        <f>_xlfn.XLOOKUP(branches[[#This Row],[Филиал]], tbl_Filialy[Филиал], tbl_Filialy[Менеджер])</f>
        <v>Сергей Мельников</v>
      </c>
    </row>
    <row r="457" spans="1:10" x14ac:dyDescent="0.3">
      <c r="A457" t="str">
        <f>_xlfn.XLOOKUP(branches[[#This Row],[Филиал]], tbl_Filialy[Филиал], tbl_Filialy[Город])</f>
        <v>Екатеринбург</v>
      </c>
      <c r="B457" s="1" t="s">
        <v>7</v>
      </c>
      <c r="C457" s="2">
        <v>45841</v>
      </c>
      <c r="D457" s="2" t="str">
        <f>CHOOSE(MONTH(branches[[#This Row],[Дата]]),"Январь","Февраль","Март","Апрель","Май","Июнь","Июль","Август","Сентябрь","Октябрь","Ноябрь","Декабрь")&amp;" "&amp;YEAR(branches[[#This Row],[Дата]])</f>
        <v>Июль 2025</v>
      </c>
      <c r="E457" t="s">
        <v>11</v>
      </c>
      <c r="F457" t="s">
        <v>12</v>
      </c>
      <c r="G457">
        <v>1</v>
      </c>
      <c r="H457">
        <v>160</v>
      </c>
      <c r="I457" t="s">
        <v>23</v>
      </c>
      <c r="J457" t="str">
        <f>_xlfn.XLOOKUP(branches[[#This Row],[Филиал]], tbl_Filialy[Филиал], tbl_Filialy[Менеджер])</f>
        <v>Сергей Мельников</v>
      </c>
    </row>
    <row r="458" spans="1:10" x14ac:dyDescent="0.3">
      <c r="A458" t="str">
        <f>_xlfn.XLOOKUP(branches[[#This Row],[Филиал]], tbl_Filialy[Филиал], tbl_Filialy[Город])</f>
        <v>Екатеринбург</v>
      </c>
      <c r="B458" s="1" t="s">
        <v>7</v>
      </c>
      <c r="C458" s="2">
        <v>45720</v>
      </c>
      <c r="D458" s="2" t="str">
        <f>CHOOSE(MONTH(branches[[#This Row],[Дата]]),"Январь","Февраль","Март","Апрель","Май","Июнь","Июль","Август","Сентябрь","Октябрь","Ноябрь","Декабрь")&amp;" "&amp;YEAR(branches[[#This Row],[Дата]])</f>
        <v>Март 2025</v>
      </c>
      <c r="E458" t="s">
        <v>16</v>
      </c>
      <c r="F458" t="s">
        <v>17</v>
      </c>
      <c r="G458">
        <v>1</v>
      </c>
      <c r="H458">
        <v>287</v>
      </c>
      <c r="I458" t="s">
        <v>10</v>
      </c>
      <c r="J458" t="str">
        <f>_xlfn.XLOOKUP(branches[[#This Row],[Филиал]], tbl_Filialy[Филиал], tbl_Filialy[Менеджер])</f>
        <v>Сергей Мельников</v>
      </c>
    </row>
    <row r="459" spans="1:10" x14ac:dyDescent="0.3">
      <c r="A459" t="str">
        <f>_xlfn.XLOOKUP(branches[[#This Row],[Филиал]], tbl_Filialy[Филиал], tbl_Filialy[Город])</f>
        <v>Екатеринбург</v>
      </c>
      <c r="B459" s="1" t="s">
        <v>7</v>
      </c>
      <c r="C459" s="2">
        <v>45710</v>
      </c>
      <c r="D459" s="2" t="str">
        <f>CHOOSE(MONTH(branches[[#This Row],[Дата]]),"Январь","Февраль","Март","Апрель","Май","Июнь","Июль","Август","Сентябрь","Октябрь","Ноябрь","Декабрь")&amp;" "&amp;YEAR(branches[[#This Row],[Дата]])</f>
        <v>Февраль 2025</v>
      </c>
      <c r="E459" t="s">
        <v>22</v>
      </c>
      <c r="F459" t="s">
        <v>9</v>
      </c>
      <c r="G459">
        <v>1</v>
      </c>
      <c r="H459">
        <v>190</v>
      </c>
      <c r="I459" t="s">
        <v>19</v>
      </c>
      <c r="J459" t="str">
        <f>_xlfn.XLOOKUP(branches[[#This Row],[Филиал]], tbl_Filialy[Филиал], tbl_Filialy[Менеджер])</f>
        <v>Сергей Мельников</v>
      </c>
    </row>
    <row r="460" spans="1:10" x14ac:dyDescent="0.3">
      <c r="A460" t="str">
        <f>_xlfn.XLOOKUP(branches[[#This Row],[Филиал]], tbl_Filialy[Филиал], tbl_Filialy[Город])</f>
        <v>Екатеринбург</v>
      </c>
      <c r="B460" s="1" t="s">
        <v>7</v>
      </c>
      <c r="C460" s="2">
        <v>45931</v>
      </c>
      <c r="D460" s="2" t="str">
        <f>CHOOSE(MONTH(branches[[#This Row],[Дата]]),"Январь","Февраль","Март","Апрель","Май","Июнь","Июль","Август","Сентябрь","Октябрь","Ноябрь","Декабрь")&amp;" "&amp;YEAR(branches[[#This Row],[Дата]])</f>
        <v>Октябрь 2025</v>
      </c>
      <c r="E460" t="s">
        <v>26</v>
      </c>
      <c r="F460" t="s">
        <v>9</v>
      </c>
      <c r="G460">
        <v>1</v>
      </c>
      <c r="H460">
        <v>219</v>
      </c>
      <c r="I460" t="s">
        <v>19</v>
      </c>
      <c r="J460" t="str">
        <f>_xlfn.XLOOKUP(branches[[#This Row],[Филиал]], tbl_Filialy[Филиал], tbl_Filialy[Менеджер])</f>
        <v>Сергей Мельников</v>
      </c>
    </row>
    <row r="461" spans="1:10" x14ac:dyDescent="0.3">
      <c r="A461" t="str">
        <f>_xlfn.XLOOKUP(branches[[#This Row],[Филиал]], tbl_Filialy[Филиал], tbl_Filialy[Город])</f>
        <v>Екатеринбург</v>
      </c>
      <c r="B461" s="1" t="s">
        <v>7</v>
      </c>
      <c r="C461" s="2">
        <v>45969</v>
      </c>
      <c r="D461" s="2" t="str">
        <f>CHOOSE(MONTH(branches[[#This Row],[Дата]]),"Январь","Февраль","Март","Апрель","Май","Июнь","Июль","Август","Сентябрь","Октябрь","Ноябрь","Декабрь")&amp;" "&amp;YEAR(branches[[#This Row],[Дата]])</f>
        <v>Ноябрь 2025</v>
      </c>
      <c r="E461" t="s">
        <v>27</v>
      </c>
      <c r="F461" t="s">
        <v>12</v>
      </c>
      <c r="G461">
        <v>2</v>
      </c>
      <c r="H461">
        <v>394</v>
      </c>
      <c r="I461" t="s">
        <v>23</v>
      </c>
      <c r="J461" t="str">
        <f>_xlfn.XLOOKUP(branches[[#This Row],[Филиал]], tbl_Filialy[Филиал], tbl_Filialy[Менеджер])</f>
        <v>Сергей Мельников</v>
      </c>
    </row>
    <row r="462" spans="1:10" x14ac:dyDescent="0.3">
      <c r="A462" t="str">
        <f>_xlfn.XLOOKUP(branches[[#This Row],[Филиал]], tbl_Filialy[Филиал], tbl_Filialy[Город])</f>
        <v>Екатеринбург</v>
      </c>
      <c r="B462" s="1" t="s">
        <v>7</v>
      </c>
      <c r="C462" s="2">
        <v>45759</v>
      </c>
      <c r="D462" s="2" t="str">
        <f>CHOOSE(MONTH(branches[[#This Row],[Дата]]),"Январь","Февраль","Март","Апрель","Май","Июнь","Июль","Август","Сентябрь","Октябрь","Ноябрь","Декабрь")&amp;" "&amp;YEAR(branches[[#This Row],[Дата]])</f>
        <v>Апрель 2025</v>
      </c>
      <c r="E462" t="s">
        <v>26</v>
      </c>
      <c r="F462" t="s">
        <v>9</v>
      </c>
      <c r="G462">
        <v>2</v>
      </c>
      <c r="H462">
        <v>376</v>
      </c>
      <c r="I462" t="s">
        <v>23</v>
      </c>
      <c r="J462" t="str">
        <f>_xlfn.XLOOKUP(branches[[#This Row],[Филиал]], tbl_Filialy[Филиал], tbl_Filialy[Менеджер])</f>
        <v>Сергей Мельников</v>
      </c>
    </row>
    <row r="463" spans="1:10" x14ac:dyDescent="0.3">
      <c r="A463" t="str">
        <f>_xlfn.XLOOKUP(branches[[#This Row],[Филиал]], tbl_Filialy[Филиал], tbl_Filialy[Город])</f>
        <v>Екатеринбург</v>
      </c>
      <c r="B463" s="1" t="s">
        <v>7</v>
      </c>
      <c r="C463" s="2">
        <v>45689</v>
      </c>
      <c r="D463" s="2" t="str">
        <f>CHOOSE(MONTH(branches[[#This Row],[Дата]]),"Январь","Февраль","Март","Апрель","Май","Июнь","Июль","Август","Сентябрь","Октябрь","Ноябрь","Декабрь")&amp;" "&amp;YEAR(branches[[#This Row],[Дата]])</f>
        <v>Февраль 2025</v>
      </c>
      <c r="E463" t="s">
        <v>24</v>
      </c>
      <c r="F463" t="s">
        <v>17</v>
      </c>
      <c r="G463">
        <v>1</v>
      </c>
      <c r="H463">
        <v>418</v>
      </c>
      <c r="I463" t="s">
        <v>10</v>
      </c>
      <c r="J463" t="str">
        <f>_xlfn.XLOOKUP(branches[[#This Row],[Филиал]], tbl_Filialy[Филиал], tbl_Filialy[Менеджер])</f>
        <v>Сергей Мельников</v>
      </c>
    </row>
    <row r="464" spans="1:10" x14ac:dyDescent="0.3">
      <c r="A464" t="str">
        <f>_xlfn.XLOOKUP(branches[[#This Row],[Филиал]], tbl_Filialy[Филиал], tbl_Filialy[Город])</f>
        <v>Екатеринбург</v>
      </c>
      <c r="B464" s="1" t="s">
        <v>7</v>
      </c>
      <c r="C464" s="2">
        <v>45737</v>
      </c>
      <c r="D464" s="2" t="str">
        <f>CHOOSE(MONTH(branches[[#This Row],[Дата]]),"Январь","Февраль","Март","Апрель","Май","Июнь","Июль","Август","Сентябрь","Октябрь","Ноябрь","Декабрь")&amp;" "&amp;YEAR(branches[[#This Row],[Дата]])</f>
        <v>Март 2025</v>
      </c>
      <c r="E464" t="s">
        <v>14</v>
      </c>
      <c r="F464" t="s">
        <v>12</v>
      </c>
      <c r="G464">
        <v>1</v>
      </c>
      <c r="H464">
        <v>254</v>
      </c>
      <c r="I464" t="s">
        <v>21</v>
      </c>
      <c r="J464" t="str">
        <f>_xlfn.XLOOKUP(branches[[#This Row],[Филиал]], tbl_Filialy[Филиал], tbl_Filialy[Менеджер])</f>
        <v>Сергей Мельников</v>
      </c>
    </row>
    <row r="465" spans="1:10" x14ac:dyDescent="0.3">
      <c r="A465" t="str">
        <f>_xlfn.XLOOKUP(branches[[#This Row],[Филиал]], tbl_Filialy[Филиал], tbl_Filialy[Город])</f>
        <v>Екатеринбург</v>
      </c>
      <c r="B465" s="1" t="s">
        <v>7</v>
      </c>
      <c r="C465" s="2">
        <v>45803</v>
      </c>
      <c r="D465" s="2" t="str">
        <f>CHOOSE(MONTH(branches[[#This Row],[Дата]]),"Январь","Февраль","Март","Апрель","Май","Июнь","Июль","Август","Сентябрь","Октябрь","Ноябрь","Декабрь")&amp;" "&amp;YEAR(branches[[#This Row],[Дата]])</f>
        <v>Май 2025</v>
      </c>
      <c r="E465" t="s">
        <v>25</v>
      </c>
      <c r="F465" t="s">
        <v>12</v>
      </c>
      <c r="G465">
        <v>2</v>
      </c>
      <c r="H465">
        <v>454</v>
      </c>
      <c r="I465" t="s">
        <v>23</v>
      </c>
      <c r="J465" t="str">
        <f>_xlfn.XLOOKUP(branches[[#This Row],[Филиал]], tbl_Filialy[Филиал], tbl_Filialy[Менеджер])</f>
        <v>Сергей Мельников</v>
      </c>
    </row>
    <row r="466" spans="1:10" x14ac:dyDescent="0.3">
      <c r="A466" t="str">
        <f>_xlfn.XLOOKUP(branches[[#This Row],[Филиал]], tbl_Filialy[Филиал], tbl_Filialy[Город])</f>
        <v>Екатеринбург</v>
      </c>
      <c r="B466" s="1" t="s">
        <v>7</v>
      </c>
      <c r="C466" s="2">
        <v>45760</v>
      </c>
      <c r="D466" s="2" t="str">
        <f>CHOOSE(MONTH(branches[[#This Row],[Дата]]),"Январь","Февраль","Март","Апрель","Май","Июнь","Июль","Август","Сентябрь","Октябрь","Ноябрь","Декабрь")&amp;" "&amp;YEAR(branches[[#This Row],[Дата]])</f>
        <v>Апрель 2025</v>
      </c>
      <c r="E466" t="s">
        <v>20</v>
      </c>
      <c r="F466" t="s">
        <v>12</v>
      </c>
      <c r="G466">
        <v>3</v>
      </c>
      <c r="H466">
        <v>804</v>
      </c>
      <c r="I466" t="s">
        <v>10</v>
      </c>
      <c r="J466" t="str">
        <f>_xlfn.XLOOKUP(branches[[#This Row],[Филиал]], tbl_Filialy[Филиал], tbl_Filialy[Менеджер])</f>
        <v>Сергей Мельников</v>
      </c>
    </row>
    <row r="467" spans="1:10" x14ac:dyDescent="0.3">
      <c r="A467" t="str">
        <f>_xlfn.XLOOKUP(branches[[#This Row],[Филиал]], tbl_Filialy[Филиал], tbl_Filialy[Город])</f>
        <v>Екатеринбург</v>
      </c>
      <c r="B467" s="1" t="s">
        <v>7</v>
      </c>
      <c r="C467" s="2">
        <v>45665</v>
      </c>
      <c r="D467" s="2" t="str">
        <f>CHOOSE(MONTH(branches[[#This Row],[Дата]]),"Январь","Февраль","Март","Апрель","Май","Июнь","Июль","Август","Сентябрь","Октябрь","Ноябрь","Декабрь")&amp;" "&amp;YEAR(branches[[#This Row],[Дата]])</f>
        <v>Январь 2025</v>
      </c>
      <c r="E467" t="s">
        <v>25</v>
      </c>
      <c r="F467" t="s">
        <v>12</v>
      </c>
      <c r="G467">
        <v>1</v>
      </c>
      <c r="H467">
        <v>233</v>
      </c>
      <c r="I467" t="s">
        <v>10</v>
      </c>
      <c r="J467" t="str">
        <f>_xlfn.XLOOKUP(branches[[#This Row],[Филиал]], tbl_Filialy[Филиал], tbl_Filialy[Менеджер])</f>
        <v>Сергей Мельников</v>
      </c>
    </row>
    <row r="468" spans="1:10" x14ac:dyDescent="0.3">
      <c r="A468" t="str">
        <f>_xlfn.XLOOKUP(branches[[#This Row],[Филиал]], tbl_Filialy[Филиал], tbl_Filialy[Город])</f>
        <v>Екатеринбург</v>
      </c>
      <c r="B468" s="1" t="s">
        <v>7</v>
      </c>
      <c r="C468" s="2">
        <v>45681</v>
      </c>
      <c r="D468" s="2" t="str">
        <f>CHOOSE(MONTH(branches[[#This Row],[Дата]]),"Январь","Февраль","Март","Апрель","Май","Июнь","Июль","Август","Сентябрь","Октябрь","Ноябрь","Декабрь")&amp;" "&amp;YEAR(branches[[#This Row],[Дата]])</f>
        <v>Январь 2025</v>
      </c>
      <c r="E468" t="s">
        <v>22</v>
      </c>
      <c r="F468" t="s">
        <v>9</v>
      </c>
      <c r="G468">
        <v>1</v>
      </c>
      <c r="H468">
        <v>170</v>
      </c>
      <c r="I468" t="s">
        <v>21</v>
      </c>
      <c r="J468" t="str">
        <f>_xlfn.XLOOKUP(branches[[#This Row],[Филиал]], tbl_Filialy[Филиал], tbl_Filialy[Менеджер])</f>
        <v>Сергей Мельников</v>
      </c>
    </row>
    <row r="469" spans="1:10" x14ac:dyDescent="0.3">
      <c r="A469" t="str">
        <f>_xlfn.XLOOKUP(branches[[#This Row],[Филиал]], tbl_Filialy[Филиал], tbl_Filialy[Город])</f>
        <v>Екатеринбург</v>
      </c>
      <c r="B469" s="1" t="s">
        <v>7</v>
      </c>
      <c r="C469" s="2">
        <v>45878</v>
      </c>
      <c r="D469" s="2" t="str">
        <f>CHOOSE(MONTH(branches[[#This Row],[Дата]]),"Январь","Февраль","Март","Апрель","Май","Июнь","Июль","Август","Сентябрь","Октябрь","Ноябрь","Декабрь")&amp;" "&amp;YEAR(branches[[#This Row],[Дата]])</f>
        <v>Август 2025</v>
      </c>
      <c r="E469" t="s">
        <v>16</v>
      </c>
      <c r="F469" t="s">
        <v>17</v>
      </c>
      <c r="G469">
        <v>2</v>
      </c>
      <c r="H469">
        <v>628</v>
      </c>
      <c r="I469" t="s">
        <v>13</v>
      </c>
      <c r="J469" t="str">
        <f>_xlfn.XLOOKUP(branches[[#This Row],[Филиал]], tbl_Filialy[Филиал], tbl_Filialy[Менеджер])</f>
        <v>Сергей Мельников</v>
      </c>
    </row>
    <row r="470" spans="1:10" x14ac:dyDescent="0.3">
      <c r="A470" t="str">
        <f>_xlfn.XLOOKUP(branches[[#This Row],[Филиал]], tbl_Filialy[Филиал], tbl_Filialy[Город])</f>
        <v>Екатеринбург</v>
      </c>
      <c r="B470" s="1" t="s">
        <v>7</v>
      </c>
      <c r="C470" s="2">
        <v>45738</v>
      </c>
      <c r="D470" s="2" t="str">
        <f>CHOOSE(MONTH(branches[[#This Row],[Дата]]),"Январь","Февраль","Март","Апрель","Май","Июнь","Июль","Август","Сентябрь","Октябрь","Ноябрь","Декабрь")&amp;" "&amp;YEAR(branches[[#This Row],[Дата]])</f>
        <v>Март 2025</v>
      </c>
      <c r="E470" t="s">
        <v>22</v>
      </c>
      <c r="F470" t="s">
        <v>9</v>
      </c>
      <c r="G470">
        <v>1</v>
      </c>
      <c r="H470">
        <v>176</v>
      </c>
      <c r="I470" t="s">
        <v>15</v>
      </c>
      <c r="J470" t="str">
        <f>_xlfn.XLOOKUP(branches[[#This Row],[Филиал]], tbl_Filialy[Филиал], tbl_Filialy[Менеджер])</f>
        <v>Сергей Мельников</v>
      </c>
    </row>
    <row r="471" spans="1:10" x14ac:dyDescent="0.3">
      <c r="A471" t="str">
        <f>_xlfn.XLOOKUP(branches[[#This Row],[Филиал]], tbl_Filialy[Филиал], tbl_Filialy[Город])</f>
        <v>Екатеринбург</v>
      </c>
      <c r="B471" s="1" t="s">
        <v>7</v>
      </c>
      <c r="C471" s="2">
        <v>45979</v>
      </c>
      <c r="D471" s="2" t="str">
        <f>CHOOSE(MONTH(branches[[#This Row],[Дата]]),"Январь","Февраль","Март","Апрель","Май","Июнь","Июль","Август","Сентябрь","Октябрь","Ноябрь","Декабрь")&amp;" "&amp;YEAR(branches[[#This Row],[Дата]])</f>
        <v>Ноябрь 2025</v>
      </c>
      <c r="E471" t="s">
        <v>22</v>
      </c>
      <c r="F471" t="s">
        <v>9</v>
      </c>
      <c r="G471">
        <v>2</v>
      </c>
      <c r="H471">
        <v>364</v>
      </c>
      <c r="I471" t="s">
        <v>10</v>
      </c>
      <c r="J471" t="str">
        <f>_xlfn.XLOOKUP(branches[[#This Row],[Филиал]], tbl_Filialy[Филиал], tbl_Filialy[Менеджер])</f>
        <v>Сергей Мельников</v>
      </c>
    </row>
    <row r="472" spans="1:10" x14ac:dyDescent="0.3">
      <c r="A472" t="str">
        <f>_xlfn.XLOOKUP(branches[[#This Row],[Филиал]], tbl_Filialy[Филиал], tbl_Filialy[Город])</f>
        <v>Екатеринбург</v>
      </c>
      <c r="B472" s="1" t="s">
        <v>7</v>
      </c>
      <c r="C472" s="2">
        <v>45782</v>
      </c>
      <c r="D472" s="2" t="str">
        <f>CHOOSE(MONTH(branches[[#This Row],[Дата]]),"Январь","Февраль","Март","Апрель","Май","Июнь","Июль","Август","Сентябрь","Октябрь","Ноябрь","Декабрь")&amp;" "&amp;YEAR(branches[[#This Row],[Дата]])</f>
        <v>Май 2025</v>
      </c>
      <c r="E472" t="s">
        <v>26</v>
      </c>
      <c r="F472" t="s">
        <v>9</v>
      </c>
      <c r="G472">
        <v>1</v>
      </c>
      <c r="H472">
        <v>189</v>
      </c>
      <c r="I472" t="s">
        <v>23</v>
      </c>
      <c r="J472" t="str">
        <f>_xlfn.XLOOKUP(branches[[#This Row],[Филиал]], tbl_Filialy[Филиал], tbl_Filialy[Менеджер])</f>
        <v>Сергей Мельников</v>
      </c>
    </row>
    <row r="473" spans="1:10" x14ac:dyDescent="0.3">
      <c r="A473" t="str">
        <f>_xlfn.XLOOKUP(branches[[#This Row],[Филиал]], tbl_Filialy[Филиал], tbl_Filialy[Город])</f>
        <v>Екатеринбург</v>
      </c>
      <c r="B473" s="1" t="s">
        <v>7</v>
      </c>
      <c r="C473" s="2">
        <v>45841</v>
      </c>
      <c r="D473" s="2" t="str">
        <f>CHOOSE(MONTH(branches[[#This Row],[Дата]]),"Январь","Февраль","Март","Апрель","Май","Июнь","Июль","Август","Сентябрь","Октябрь","Ноябрь","Декабрь")&amp;" "&amp;YEAR(branches[[#This Row],[Дата]])</f>
        <v>Июль 2025</v>
      </c>
      <c r="E473" t="s">
        <v>27</v>
      </c>
      <c r="F473" t="s">
        <v>12</v>
      </c>
      <c r="G473">
        <v>1</v>
      </c>
      <c r="H473">
        <v>197</v>
      </c>
      <c r="I473" t="s">
        <v>19</v>
      </c>
      <c r="J473" t="str">
        <f>_xlfn.XLOOKUP(branches[[#This Row],[Филиал]], tbl_Filialy[Филиал], tbl_Filialy[Менеджер])</f>
        <v>Сергей Мельников</v>
      </c>
    </row>
    <row r="474" spans="1:10" x14ac:dyDescent="0.3">
      <c r="A474" t="str">
        <f>_xlfn.XLOOKUP(branches[[#This Row],[Филиал]], tbl_Filialy[Филиал], tbl_Filialy[Город])</f>
        <v>Екатеринбург</v>
      </c>
      <c r="B474" s="1" t="s">
        <v>7</v>
      </c>
      <c r="C474" s="2">
        <v>45671</v>
      </c>
      <c r="D474" s="2" t="str">
        <f>CHOOSE(MONTH(branches[[#This Row],[Дата]]),"Январь","Февраль","Март","Апрель","Май","Июнь","Июль","Август","Сентябрь","Октябрь","Ноябрь","Декабрь")&amp;" "&amp;YEAR(branches[[#This Row],[Дата]])</f>
        <v>Январь 2025</v>
      </c>
      <c r="E474" t="s">
        <v>22</v>
      </c>
      <c r="F474" t="s">
        <v>9</v>
      </c>
      <c r="G474">
        <v>1</v>
      </c>
      <c r="H474">
        <v>198</v>
      </c>
      <c r="I474" t="s">
        <v>10</v>
      </c>
      <c r="J474" t="str">
        <f>_xlfn.XLOOKUP(branches[[#This Row],[Филиал]], tbl_Filialy[Филиал], tbl_Filialy[Менеджер])</f>
        <v>Сергей Мельников</v>
      </c>
    </row>
    <row r="475" spans="1:10" x14ac:dyDescent="0.3">
      <c r="A475" t="str">
        <f>_xlfn.XLOOKUP(branches[[#This Row],[Филиал]], tbl_Filialy[Филиал], tbl_Filialy[Город])</f>
        <v>Екатеринбург</v>
      </c>
      <c r="B475" s="1" t="s">
        <v>7</v>
      </c>
      <c r="C475" s="2">
        <v>45965</v>
      </c>
      <c r="D475" s="2" t="str">
        <f>CHOOSE(MONTH(branches[[#This Row],[Дата]]),"Январь","Февраль","Март","Апрель","Май","Июнь","Июль","Август","Сентябрь","Октябрь","Ноябрь","Декабрь")&amp;" "&amp;YEAR(branches[[#This Row],[Дата]])</f>
        <v>Ноябрь 2025</v>
      </c>
      <c r="E475" t="s">
        <v>25</v>
      </c>
      <c r="F475" t="s">
        <v>12</v>
      </c>
      <c r="G475">
        <v>2</v>
      </c>
      <c r="H475">
        <v>440</v>
      </c>
      <c r="I475" t="s">
        <v>21</v>
      </c>
      <c r="J475" t="str">
        <f>_xlfn.XLOOKUP(branches[[#This Row],[Филиал]], tbl_Filialy[Филиал], tbl_Filialy[Менеджер])</f>
        <v>Сергей Мельников</v>
      </c>
    </row>
    <row r="476" spans="1:10" x14ac:dyDescent="0.3">
      <c r="A476" t="str">
        <f>_xlfn.XLOOKUP(branches[[#This Row],[Филиал]], tbl_Filialy[Филиал], tbl_Filialy[Город])</f>
        <v>Екатеринбург</v>
      </c>
      <c r="B476" s="1" t="s">
        <v>7</v>
      </c>
      <c r="C476" s="2">
        <v>45914</v>
      </c>
      <c r="D476" s="2" t="str">
        <f>CHOOSE(MONTH(branches[[#This Row],[Дата]]),"Январь","Февраль","Март","Апрель","Май","Июнь","Июль","Август","Сентябрь","Октябрь","Ноябрь","Декабрь")&amp;" "&amp;YEAR(branches[[#This Row],[Дата]])</f>
        <v>Сентябрь 2025</v>
      </c>
      <c r="E476" t="s">
        <v>16</v>
      </c>
      <c r="F476" t="s">
        <v>17</v>
      </c>
      <c r="G476">
        <v>1</v>
      </c>
      <c r="H476">
        <v>358</v>
      </c>
      <c r="I476" t="s">
        <v>23</v>
      </c>
      <c r="J476" t="str">
        <f>_xlfn.XLOOKUP(branches[[#This Row],[Филиал]], tbl_Filialy[Филиал], tbl_Filialy[Менеджер])</f>
        <v>Сергей Мельников</v>
      </c>
    </row>
    <row r="477" spans="1:10" x14ac:dyDescent="0.3">
      <c r="A477" t="str">
        <f>_xlfn.XLOOKUP(branches[[#This Row],[Филиал]], tbl_Filialy[Филиал], tbl_Filialy[Город])</f>
        <v>Екатеринбург</v>
      </c>
      <c r="B477" s="1" t="s">
        <v>7</v>
      </c>
      <c r="C477" s="2">
        <v>45839</v>
      </c>
      <c r="D477" s="2" t="str">
        <f>CHOOSE(MONTH(branches[[#This Row],[Дата]]),"Январь","Февраль","Март","Апрель","Май","Июнь","Июль","Август","Сентябрь","Октябрь","Ноябрь","Декабрь")&amp;" "&amp;YEAR(branches[[#This Row],[Дата]])</f>
        <v>Июль 2025</v>
      </c>
      <c r="E477" t="s">
        <v>22</v>
      </c>
      <c r="F477" t="s">
        <v>9</v>
      </c>
      <c r="G477">
        <v>2</v>
      </c>
      <c r="H477">
        <v>340</v>
      </c>
      <c r="I477" t="s">
        <v>21</v>
      </c>
      <c r="J477" t="str">
        <f>_xlfn.XLOOKUP(branches[[#This Row],[Филиал]], tbl_Filialy[Филиал], tbl_Filialy[Менеджер])</f>
        <v>Сергей Мельников</v>
      </c>
    </row>
    <row r="478" spans="1:10" x14ac:dyDescent="0.3">
      <c r="A478" t="str">
        <f>_xlfn.XLOOKUP(branches[[#This Row],[Филиал]], tbl_Filialy[Филиал], tbl_Filialy[Город])</f>
        <v>Екатеринбург</v>
      </c>
      <c r="B478" s="1" t="s">
        <v>7</v>
      </c>
      <c r="C478" s="2">
        <v>45682</v>
      </c>
      <c r="D478" s="2" t="str">
        <f>CHOOSE(MONTH(branches[[#This Row],[Дата]]),"Январь","Февраль","Март","Апрель","Май","Июнь","Июль","Август","Сентябрь","Октябрь","Ноябрь","Декабрь")&amp;" "&amp;YEAR(branches[[#This Row],[Дата]])</f>
        <v>Январь 2025</v>
      </c>
      <c r="E478" t="s">
        <v>26</v>
      </c>
      <c r="F478" t="s">
        <v>9</v>
      </c>
      <c r="G478">
        <v>1</v>
      </c>
      <c r="H478">
        <v>197</v>
      </c>
      <c r="I478" t="s">
        <v>15</v>
      </c>
      <c r="J478" t="str">
        <f>_xlfn.XLOOKUP(branches[[#This Row],[Филиал]], tbl_Filialy[Филиал], tbl_Filialy[Менеджер])</f>
        <v>Сергей Мельников</v>
      </c>
    </row>
    <row r="479" spans="1:10" x14ac:dyDescent="0.3">
      <c r="A479" t="str">
        <f>_xlfn.XLOOKUP(branches[[#This Row],[Филиал]], tbl_Filialy[Филиал], tbl_Filialy[Город])</f>
        <v>Екатеринбург</v>
      </c>
      <c r="B479" s="1" t="s">
        <v>7</v>
      </c>
      <c r="C479" s="2">
        <v>45894</v>
      </c>
      <c r="D479" s="2" t="str">
        <f>CHOOSE(MONTH(branches[[#This Row],[Дата]]),"Январь","Февраль","Март","Апрель","Май","Июнь","Июль","Август","Сентябрь","Октябрь","Ноябрь","Декабрь")&amp;" "&amp;YEAR(branches[[#This Row],[Дата]])</f>
        <v>Август 2025</v>
      </c>
      <c r="E479" t="s">
        <v>28</v>
      </c>
      <c r="F479" t="s">
        <v>12</v>
      </c>
      <c r="G479">
        <v>1</v>
      </c>
      <c r="H479">
        <v>245</v>
      </c>
      <c r="I479" t="s">
        <v>15</v>
      </c>
      <c r="J479" t="str">
        <f>_xlfn.XLOOKUP(branches[[#This Row],[Филиал]], tbl_Filialy[Филиал], tbl_Filialy[Менеджер])</f>
        <v>Сергей Мельников</v>
      </c>
    </row>
    <row r="480" spans="1:10" x14ac:dyDescent="0.3">
      <c r="A480" t="str">
        <f>_xlfn.XLOOKUP(branches[[#This Row],[Филиал]], tbl_Filialy[Филиал], tbl_Filialy[Город])</f>
        <v>Екатеринбург</v>
      </c>
      <c r="B480" s="1" t="s">
        <v>7</v>
      </c>
      <c r="C480" s="2">
        <v>45787</v>
      </c>
      <c r="D480" s="2" t="str">
        <f>CHOOSE(MONTH(branches[[#This Row],[Дата]]),"Январь","Февраль","Март","Апрель","Май","Июнь","Июль","Август","Сентябрь","Октябрь","Ноябрь","Декабрь")&amp;" "&amp;YEAR(branches[[#This Row],[Дата]])</f>
        <v>Май 2025</v>
      </c>
      <c r="E480" t="s">
        <v>22</v>
      </c>
      <c r="F480" t="s">
        <v>9</v>
      </c>
      <c r="G480">
        <v>1</v>
      </c>
      <c r="H480">
        <v>181</v>
      </c>
      <c r="I480" t="s">
        <v>29</v>
      </c>
      <c r="J480" t="str">
        <f>_xlfn.XLOOKUP(branches[[#This Row],[Филиал]], tbl_Filialy[Филиал], tbl_Filialy[Менеджер])</f>
        <v>Сергей Мельников</v>
      </c>
    </row>
    <row r="481" spans="1:10" x14ac:dyDescent="0.3">
      <c r="A481" t="str">
        <f>_xlfn.XLOOKUP(branches[[#This Row],[Филиал]], tbl_Filialy[Филиал], tbl_Filialy[Город])</f>
        <v>Екатеринбург</v>
      </c>
      <c r="B481" s="1" t="s">
        <v>7</v>
      </c>
      <c r="C481" s="2">
        <v>45771</v>
      </c>
      <c r="D481" s="2" t="str">
        <f>CHOOSE(MONTH(branches[[#This Row],[Дата]]),"Январь","Февраль","Март","Апрель","Май","Июнь","Июль","Август","Сентябрь","Октябрь","Ноябрь","Декабрь")&amp;" "&amp;YEAR(branches[[#This Row],[Дата]])</f>
        <v>Апрель 2025</v>
      </c>
      <c r="E481" t="s">
        <v>25</v>
      </c>
      <c r="F481" t="s">
        <v>12</v>
      </c>
      <c r="G481">
        <v>3</v>
      </c>
      <c r="H481">
        <v>681</v>
      </c>
      <c r="I481" t="s">
        <v>21</v>
      </c>
      <c r="J481" t="str">
        <f>_xlfn.XLOOKUP(branches[[#This Row],[Филиал]], tbl_Filialy[Филиал], tbl_Filialy[Менеджер])</f>
        <v>Сергей Мельников</v>
      </c>
    </row>
    <row r="482" spans="1:10" x14ac:dyDescent="0.3">
      <c r="A482" t="str">
        <f>_xlfn.XLOOKUP(branches[[#This Row],[Филиал]], tbl_Filialy[Филиал], tbl_Filialy[Город])</f>
        <v>Екатеринбург</v>
      </c>
      <c r="B482" s="1" t="s">
        <v>7</v>
      </c>
      <c r="C482" s="2">
        <v>45812</v>
      </c>
      <c r="D482" s="2" t="str">
        <f>CHOOSE(MONTH(branches[[#This Row],[Дата]]),"Январь","Февраль","Март","Апрель","Май","Июнь","Июль","Август","Сентябрь","Октябрь","Ноябрь","Декабрь")&amp;" "&amp;YEAR(branches[[#This Row],[Дата]])</f>
        <v>Июнь 2025</v>
      </c>
      <c r="E482" t="s">
        <v>11</v>
      </c>
      <c r="F482" t="s">
        <v>12</v>
      </c>
      <c r="G482">
        <v>1</v>
      </c>
      <c r="H482">
        <v>159</v>
      </c>
      <c r="I482" t="s">
        <v>10</v>
      </c>
      <c r="J482" t="str">
        <f>_xlfn.XLOOKUP(branches[[#This Row],[Филиал]], tbl_Filialy[Филиал], tbl_Filialy[Менеджер])</f>
        <v>Сергей Мельников</v>
      </c>
    </row>
    <row r="483" spans="1:10" x14ac:dyDescent="0.3">
      <c r="A483" t="str">
        <f>_xlfn.XLOOKUP(branches[[#This Row],[Филиал]], tbl_Filialy[Филиал], tbl_Filialy[Город])</f>
        <v>Екатеринбург</v>
      </c>
      <c r="B483" s="1" t="s">
        <v>7</v>
      </c>
      <c r="C483" s="2">
        <v>45895</v>
      </c>
      <c r="D483" s="2" t="str">
        <f>CHOOSE(MONTH(branches[[#This Row],[Дата]]),"Январь","Февраль","Март","Апрель","Май","Июнь","Июль","Август","Сентябрь","Октябрь","Ноябрь","Декабрь")&amp;" "&amp;YEAR(branches[[#This Row],[Дата]])</f>
        <v>Август 2025</v>
      </c>
      <c r="E483" t="s">
        <v>16</v>
      </c>
      <c r="F483" t="s">
        <v>17</v>
      </c>
      <c r="G483">
        <v>2</v>
      </c>
      <c r="H483">
        <v>584</v>
      </c>
      <c r="I483" t="s">
        <v>23</v>
      </c>
      <c r="J483" t="str">
        <f>_xlfn.XLOOKUP(branches[[#This Row],[Филиал]], tbl_Filialy[Филиал], tbl_Filialy[Менеджер])</f>
        <v>Сергей Мельников</v>
      </c>
    </row>
    <row r="484" spans="1:10" x14ac:dyDescent="0.3">
      <c r="A484" t="str">
        <f>_xlfn.XLOOKUP(branches[[#This Row],[Филиал]], tbl_Filialy[Филиал], tbl_Filialy[Город])</f>
        <v>Екатеринбург</v>
      </c>
      <c r="B484" s="1" t="s">
        <v>7</v>
      </c>
      <c r="C484" s="2">
        <v>45979</v>
      </c>
      <c r="D484" s="2" t="str">
        <f>CHOOSE(MONTH(branches[[#This Row],[Дата]]),"Январь","Февраль","Март","Апрель","Май","Июнь","Июль","Август","Сентябрь","Октябрь","Ноябрь","Декабрь")&amp;" "&amp;YEAR(branches[[#This Row],[Дата]])</f>
        <v>Ноябрь 2025</v>
      </c>
      <c r="E484" t="s">
        <v>14</v>
      </c>
      <c r="F484" t="s">
        <v>12</v>
      </c>
      <c r="G484">
        <v>3</v>
      </c>
      <c r="H484">
        <v>819</v>
      </c>
      <c r="I484" t="s">
        <v>15</v>
      </c>
      <c r="J484" t="str">
        <f>_xlfn.XLOOKUP(branches[[#This Row],[Филиал]], tbl_Filialy[Филиал], tbl_Filialy[Менеджер])</f>
        <v>Сергей Мельников</v>
      </c>
    </row>
    <row r="485" spans="1:10" x14ac:dyDescent="0.3">
      <c r="A485" t="str">
        <f>_xlfn.XLOOKUP(branches[[#This Row],[Филиал]], tbl_Filialy[Филиал], tbl_Filialy[Город])</f>
        <v>Екатеринбург</v>
      </c>
      <c r="B485" s="1" t="s">
        <v>7</v>
      </c>
      <c r="C485" s="2">
        <v>45811</v>
      </c>
      <c r="D485" s="2" t="str">
        <f>CHOOSE(MONTH(branches[[#This Row],[Дата]]),"Январь","Февраль","Март","Апрель","Май","Июнь","Июль","Август","Сентябрь","Октябрь","Ноябрь","Декабрь")&amp;" "&amp;YEAR(branches[[#This Row],[Дата]])</f>
        <v>Июнь 2025</v>
      </c>
      <c r="E485" t="s">
        <v>24</v>
      </c>
      <c r="F485" t="s">
        <v>17</v>
      </c>
      <c r="G485">
        <v>1</v>
      </c>
      <c r="H485">
        <v>353</v>
      </c>
      <c r="I485" t="s">
        <v>10</v>
      </c>
      <c r="J485" t="str">
        <f>_xlfn.XLOOKUP(branches[[#This Row],[Филиал]], tbl_Filialy[Филиал], tbl_Filialy[Менеджер])</f>
        <v>Сергей Мельников</v>
      </c>
    </row>
    <row r="486" spans="1:10" x14ac:dyDescent="0.3">
      <c r="A486" t="str">
        <f>_xlfn.XLOOKUP(branches[[#This Row],[Филиал]], tbl_Filialy[Филиал], tbl_Filialy[Город])</f>
        <v>Екатеринбург</v>
      </c>
      <c r="B486" s="1" t="s">
        <v>7</v>
      </c>
      <c r="C486" s="2">
        <v>45964</v>
      </c>
      <c r="D486" s="2" t="str">
        <f>CHOOSE(MONTH(branches[[#This Row],[Дата]]),"Январь","Февраль","Март","Апрель","Май","Июнь","Июль","Август","Сентябрь","Октябрь","Ноябрь","Декабрь")&amp;" "&amp;YEAR(branches[[#This Row],[Дата]])</f>
        <v>Ноябрь 2025</v>
      </c>
      <c r="E486" t="s">
        <v>18</v>
      </c>
      <c r="F486" t="s">
        <v>12</v>
      </c>
      <c r="G486">
        <v>3</v>
      </c>
      <c r="H486">
        <v>372</v>
      </c>
      <c r="I486" t="s">
        <v>15</v>
      </c>
      <c r="J486" t="str">
        <f>_xlfn.XLOOKUP(branches[[#This Row],[Филиал]], tbl_Filialy[Филиал], tbl_Filialy[Менеджер])</f>
        <v>Сергей Мельников</v>
      </c>
    </row>
    <row r="487" spans="1:10" x14ac:dyDescent="0.3">
      <c r="A487" t="str">
        <f>_xlfn.XLOOKUP(branches[[#This Row],[Филиал]], tbl_Filialy[Филиал], tbl_Filialy[Город])</f>
        <v>Екатеринбург</v>
      </c>
      <c r="B487" s="1" t="s">
        <v>7</v>
      </c>
      <c r="C487" s="2">
        <v>45734</v>
      </c>
      <c r="D487" s="2" t="str">
        <f>CHOOSE(MONTH(branches[[#This Row],[Дата]]),"Январь","Февраль","Март","Апрель","Май","Июнь","Июль","Август","Сентябрь","Октябрь","Ноябрь","Декабрь")&amp;" "&amp;YEAR(branches[[#This Row],[Дата]])</f>
        <v>Март 2025</v>
      </c>
      <c r="E487" t="s">
        <v>16</v>
      </c>
      <c r="F487" t="s">
        <v>17</v>
      </c>
      <c r="G487">
        <v>1</v>
      </c>
      <c r="H487">
        <v>291</v>
      </c>
      <c r="I487" t="s">
        <v>10</v>
      </c>
      <c r="J487" t="str">
        <f>_xlfn.XLOOKUP(branches[[#This Row],[Филиал]], tbl_Filialy[Филиал], tbl_Filialy[Менеджер])</f>
        <v>Сергей Мельников</v>
      </c>
    </row>
    <row r="488" spans="1:10" x14ac:dyDescent="0.3">
      <c r="A488" t="str">
        <f>_xlfn.XLOOKUP(branches[[#This Row],[Филиал]], tbl_Filialy[Филиал], tbl_Filialy[Город])</f>
        <v>Екатеринбург</v>
      </c>
      <c r="B488" s="1" t="s">
        <v>7</v>
      </c>
      <c r="C488" s="2">
        <v>45842</v>
      </c>
      <c r="D488" s="2" t="str">
        <f>CHOOSE(MONTH(branches[[#This Row],[Дата]]),"Январь","Февраль","Март","Апрель","Май","Июнь","Июль","Август","Сентябрь","Октябрь","Ноябрь","Декабрь")&amp;" "&amp;YEAR(branches[[#This Row],[Дата]])</f>
        <v>Июль 2025</v>
      </c>
      <c r="E488" t="s">
        <v>25</v>
      </c>
      <c r="F488" t="s">
        <v>12</v>
      </c>
      <c r="G488">
        <v>1</v>
      </c>
      <c r="H488">
        <v>212</v>
      </c>
      <c r="I488" t="s">
        <v>23</v>
      </c>
      <c r="J488" t="str">
        <f>_xlfn.XLOOKUP(branches[[#This Row],[Филиал]], tbl_Filialy[Филиал], tbl_Filialy[Менеджер])</f>
        <v>Сергей Мельников</v>
      </c>
    </row>
    <row r="489" spans="1:10" x14ac:dyDescent="0.3">
      <c r="A489" t="str">
        <f>_xlfn.XLOOKUP(branches[[#This Row],[Филиал]], tbl_Filialy[Филиал], tbl_Filialy[Город])</f>
        <v>Екатеринбург</v>
      </c>
      <c r="B489" s="1" t="s">
        <v>7</v>
      </c>
      <c r="C489" s="2">
        <v>45824</v>
      </c>
      <c r="D489" s="2" t="str">
        <f>CHOOSE(MONTH(branches[[#This Row],[Дата]]),"Январь","Февраль","Март","Апрель","Май","Июнь","Июль","Август","Сентябрь","Октябрь","Ноябрь","Декабрь")&amp;" "&amp;YEAR(branches[[#This Row],[Дата]])</f>
        <v>Июнь 2025</v>
      </c>
      <c r="E489" t="s">
        <v>27</v>
      </c>
      <c r="F489" t="s">
        <v>12</v>
      </c>
      <c r="G489">
        <v>1</v>
      </c>
      <c r="H489">
        <v>215</v>
      </c>
      <c r="I489" t="s">
        <v>21</v>
      </c>
      <c r="J489" t="str">
        <f>_xlfn.XLOOKUP(branches[[#This Row],[Филиал]], tbl_Filialy[Филиал], tbl_Filialy[Менеджер])</f>
        <v>Сергей Мельников</v>
      </c>
    </row>
    <row r="490" spans="1:10" x14ac:dyDescent="0.3">
      <c r="A490" t="str">
        <f>_xlfn.XLOOKUP(branches[[#This Row],[Филиал]], tbl_Filialy[Филиал], tbl_Filialy[Город])</f>
        <v>Екатеринбург</v>
      </c>
      <c r="B490" s="1" t="s">
        <v>7</v>
      </c>
      <c r="C490" s="2">
        <v>45684</v>
      </c>
      <c r="D490" s="2" t="str">
        <f>CHOOSE(MONTH(branches[[#This Row],[Дата]]),"Январь","Февраль","Март","Апрель","Май","Июнь","Июль","Август","Сентябрь","Октябрь","Ноябрь","Декабрь")&amp;" "&amp;YEAR(branches[[#This Row],[Дата]])</f>
        <v>Январь 2025</v>
      </c>
      <c r="E490" t="s">
        <v>18</v>
      </c>
      <c r="F490" t="s">
        <v>12</v>
      </c>
      <c r="G490">
        <v>2</v>
      </c>
      <c r="H490">
        <v>260</v>
      </c>
      <c r="I490" t="s">
        <v>15</v>
      </c>
      <c r="J490" t="str">
        <f>_xlfn.XLOOKUP(branches[[#This Row],[Филиал]], tbl_Filialy[Филиал], tbl_Filialy[Менеджер])</f>
        <v>Сергей Мельников</v>
      </c>
    </row>
    <row r="491" spans="1:10" x14ac:dyDescent="0.3">
      <c r="A491" t="str">
        <f>_xlfn.XLOOKUP(branches[[#This Row],[Филиал]], tbl_Filialy[Филиал], tbl_Filialy[Город])</f>
        <v>Екатеринбург</v>
      </c>
      <c r="B491" s="1" t="s">
        <v>7</v>
      </c>
      <c r="C491" s="2">
        <v>45742</v>
      </c>
      <c r="D491" s="2" t="str">
        <f>CHOOSE(MONTH(branches[[#This Row],[Дата]]),"Январь","Февраль","Март","Апрель","Май","Июнь","Июль","Август","Сентябрь","Октябрь","Ноябрь","Декабрь")&amp;" "&amp;YEAR(branches[[#This Row],[Дата]])</f>
        <v>Март 2025</v>
      </c>
      <c r="E491" t="s">
        <v>25</v>
      </c>
      <c r="F491" t="s">
        <v>12</v>
      </c>
      <c r="G491">
        <v>1</v>
      </c>
      <c r="H491">
        <v>217</v>
      </c>
      <c r="I491" t="s">
        <v>13</v>
      </c>
      <c r="J491" t="str">
        <f>_xlfn.XLOOKUP(branches[[#This Row],[Филиал]], tbl_Filialy[Филиал], tbl_Filialy[Менеджер])</f>
        <v>Сергей Мельников</v>
      </c>
    </row>
    <row r="492" spans="1:10" x14ac:dyDescent="0.3">
      <c r="A492" t="str">
        <f>_xlfn.XLOOKUP(branches[[#This Row],[Филиал]], tbl_Filialy[Филиал], tbl_Filialy[Город])</f>
        <v>Екатеринбург</v>
      </c>
      <c r="B492" s="1" t="s">
        <v>7</v>
      </c>
      <c r="C492" s="2">
        <v>46009</v>
      </c>
      <c r="D492" s="2" t="str">
        <f>CHOOSE(MONTH(branches[[#This Row],[Дата]]),"Январь","Февраль","Март","Апрель","Май","Июнь","Июль","Август","Сентябрь","Октябрь","Ноябрь","Декабрь")&amp;" "&amp;YEAR(branches[[#This Row],[Дата]])</f>
        <v>Декабрь 2025</v>
      </c>
      <c r="E492" t="s">
        <v>14</v>
      </c>
      <c r="F492" t="s">
        <v>12</v>
      </c>
      <c r="G492">
        <v>1</v>
      </c>
      <c r="H492">
        <v>256</v>
      </c>
      <c r="I492" t="s">
        <v>21</v>
      </c>
      <c r="J492" t="str">
        <f>_xlfn.XLOOKUP(branches[[#This Row],[Филиал]], tbl_Filialy[Филиал], tbl_Filialy[Менеджер])</f>
        <v>Сергей Мельников</v>
      </c>
    </row>
    <row r="493" spans="1:10" x14ac:dyDescent="0.3">
      <c r="A493" t="str">
        <f>_xlfn.XLOOKUP(branches[[#This Row],[Филиал]], tbl_Filialy[Филиал], tbl_Filialy[Город])</f>
        <v>Екатеринбург</v>
      </c>
      <c r="B493" s="1" t="s">
        <v>7</v>
      </c>
      <c r="C493" s="2">
        <v>46001</v>
      </c>
      <c r="D493" s="2" t="str">
        <f>CHOOSE(MONTH(branches[[#This Row],[Дата]]),"Январь","Февраль","Март","Апрель","Май","Июнь","Июль","Август","Сентябрь","Октябрь","Ноябрь","Декабрь")&amp;" "&amp;YEAR(branches[[#This Row],[Дата]])</f>
        <v>Декабрь 2025</v>
      </c>
      <c r="E493" t="s">
        <v>18</v>
      </c>
      <c r="F493" t="s">
        <v>12</v>
      </c>
      <c r="G493">
        <v>2</v>
      </c>
      <c r="H493">
        <v>300</v>
      </c>
      <c r="I493" t="s">
        <v>10</v>
      </c>
      <c r="J493" t="str">
        <f>_xlfn.XLOOKUP(branches[[#This Row],[Филиал]], tbl_Filialy[Филиал], tbl_Filialy[Менеджер])</f>
        <v>Сергей Мельников</v>
      </c>
    </row>
    <row r="494" spans="1:10" x14ac:dyDescent="0.3">
      <c r="A494" t="str">
        <f>_xlfn.XLOOKUP(branches[[#This Row],[Филиал]], tbl_Filialy[Филиал], tbl_Filialy[Город])</f>
        <v>Екатеринбург</v>
      </c>
      <c r="B494" s="1" t="s">
        <v>7</v>
      </c>
      <c r="C494" s="2">
        <v>46006</v>
      </c>
      <c r="D494" s="2" t="str">
        <f>CHOOSE(MONTH(branches[[#This Row],[Дата]]),"Январь","Февраль","Март","Апрель","Май","Июнь","Июль","Август","Сентябрь","Октябрь","Ноябрь","Декабрь")&amp;" "&amp;YEAR(branches[[#This Row],[Дата]])</f>
        <v>Декабрь 2025</v>
      </c>
      <c r="E494" t="s">
        <v>16</v>
      </c>
      <c r="F494" t="s">
        <v>17</v>
      </c>
      <c r="G494">
        <v>3</v>
      </c>
      <c r="H494">
        <v>975</v>
      </c>
      <c r="I494" t="s">
        <v>10</v>
      </c>
      <c r="J494" t="str">
        <f>_xlfn.XLOOKUP(branches[[#This Row],[Филиал]], tbl_Filialy[Филиал], tbl_Filialy[Менеджер])</f>
        <v>Сергей Мельников</v>
      </c>
    </row>
    <row r="495" spans="1:10" x14ac:dyDescent="0.3">
      <c r="A495" t="str">
        <f>_xlfn.XLOOKUP(branches[[#This Row],[Филиал]], tbl_Filialy[Филиал], tbl_Filialy[Город])</f>
        <v>Екатеринбург</v>
      </c>
      <c r="B495" s="1" t="s">
        <v>7</v>
      </c>
      <c r="C495" s="2">
        <v>45976</v>
      </c>
      <c r="D495" s="2" t="str">
        <f>CHOOSE(MONTH(branches[[#This Row],[Дата]]),"Январь","Февраль","Март","Апрель","Май","Июнь","Июль","Август","Сентябрь","Октябрь","Ноябрь","Декабрь")&amp;" "&amp;YEAR(branches[[#This Row],[Дата]])</f>
        <v>Ноябрь 2025</v>
      </c>
      <c r="E495" t="s">
        <v>22</v>
      </c>
      <c r="F495" t="s">
        <v>9</v>
      </c>
      <c r="G495">
        <v>3</v>
      </c>
      <c r="H495">
        <v>579</v>
      </c>
      <c r="I495" t="s">
        <v>10</v>
      </c>
      <c r="J495" t="str">
        <f>_xlfn.XLOOKUP(branches[[#This Row],[Филиал]], tbl_Filialy[Филиал], tbl_Filialy[Менеджер])</f>
        <v>Сергей Мельников</v>
      </c>
    </row>
    <row r="496" spans="1:10" x14ac:dyDescent="0.3">
      <c r="A496" t="str">
        <f>_xlfn.XLOOKUP(branches[[#This Row],[Филиал]], tbl_Filialy[Филиал], tbl_Filialy[Город])</f>
        <v>Екатеринбург</v>
      </c>
      <c r="B496" s="1" t="s">
        <v>7</v>
      </c>
      <c r="C496" s="2">
        <v>45765</v>
      </c>
      <c r="D496" s="2" t="str">
        <f>CHOOSE(MONTH(branches[[#This Row],[Дата]]),"Январь","Февраль","Март","Апрель","Май","Июнь","Июль","Август","Сентябрь","Октябрь","Ноябрь","Декабрь")&amp;" "&amp;YEAR(branches[[#This Row],[Дата]])</f>
        <v>Апрель 2025</v>
      </c>
      <c r="E496" t="s">
        <v>28</v>
      </c>
      <c r="F496" t="s">
        <v>12</v>
      </c>
      <c r="G496">
        <v>2</v>
      </c>
      <c r="H496">
        <v>462</v>
      </c>
      <c r="I496" t="s">
        <v>15</v>
      </c>
      <c r="J496" t="str">
        <f>_xlfn.XLOOKUP(branches[[#This Row],[Филиал]], tbl_Filialy[Филиал], tbl_Filialy[Менеджер])</f>
        <v>Сергей Мельников</v>
      </c>
    </row>
    <row r="497" spans="1:10" x14ac:dyDescent="0.3">
      <c r="A497" t="str">
        <f>_xlfn.XLOOKUP(branches[[#This Row],[Филиал]], tbl_Filialy[Филиал], tbl_Filialy[Город])</f>
        <v>Екатеринбург</v>
      </c>
      <c r="B497" s="1" t="s">
        <v>7</v>
      </c>
      <c r="C497" s="2">
        <v>46004</v>
      </c>
      <c r="D497" s="2" t="str">
        <f>CHOOSE(MONTH(branches[[#This Row],[Дата]]),"Январь","Февраль","Март","Апрель","Май","Июнь","Июль","Август","Сентябрь","Октябрь","Ноябрь","Декабрь")&amp;" "&amp;YEAR(branches[[#This Row],[Дата]])</f>
        <v>Декабрь 2025</v>
      </c>
      <c r="E497" t="s">
        <v>18</v>
      </c>
      <c r="F497" t="s">
        <v>12</v>
      </c>
      <c r="G497">
        <v>1</v>
      </c>
      <c r="H497">
        <v>153</v>
      </c>
      <c r="I497" t="s">
        <v>19</v>
      </c>
      <c r="J497" t="str">
        <f>_xlfn.XLOOKUP(branches[[#This Row],[Филиал]], tbl_Filialy[Филиал], tbl_Filialy[Менеджер])</f>
        <v>Сергей Мельников</v>
      </c>
    </row>
    <row r="498" spans="1:10" x14ac:dyDescent="0.3">
      <c r="A498" t="str">
        <f>_xlfn.XLOOKUP(branches[[#This Row],[Филиал]], tbl_Filialy[Филиал], tbl_Filialy[Город])</f>
        <v>Екатеринбург</v>
      </c>
      <c r="B498" s="1" t="s">
        <v>7</v>
      </c>
      <c r="C498" s="2">
        <v>45787</v>
      </c>
      <c r="D498" s="2" t="str">
        <f>CHOOSE(MONTH(branches[[#This Row],[Дата]]),"Январь","Февраль","Март","Апрель","Май","Июнь","Июль","Август","Сентябрь","Октябрь","Ноябрь","Декабрь")&amp;" "&amp;YEAR(branches[[#This Row],[Дата]])</f>
        <v>Май 2025</v>
      </c>
      <c r="E498" t="s">
        <v>25</v>
      </c>
      <c r="F498" t="s">
        <v>12</v>
      </c>
      <c r="G498">
        <v>3</v>
      </c>
      <c r="H498">
        <v>594</v>
      </c>
      <c r="I498" t="s">
        <v>23</v>
      </c>
      <c r="J498" t="str">
        <f>_xlfn.XLOOKUP(branches[[#This Row],[Филиал]], tbl_Filialy[Филиал], tbl_Filialy[Менеджер])</f>
        <v>Сергей Мельников</v>
      </c>
    </row>
    <row r="499" spans="1:10" x14ac:dyDescent="0.3">
      <c r="A499" t="str">
        <f>_xlfn.XLOOKUP(branches[[#This Row],[Филиал]], tbl_Filialy[Филиал], tbl_Filialy[Город])</f>
        <v>Екатеринбург</v>
      </c>
      <c r="B499" s="1" t="s">
        <v>7</v>
      </c>
      <c r="C499" s="2">
        <v>45736</v>
      </c>
      <c r="D499" s="2" t="str">
        <f>CHOOSE(MONTH(branches[[#This Row],[Дата]]),"Январь","Февраль","Март","Апрель","Май","Июнь","Июль","Август","Сентябрь","Октябрь","Ноябрь","Декабрь")&amp;" "&amp;YEAR(branches[[#This Row],[Дата]])</f>
        <v>Март 2025</v>
      </c>
      <c r="E499" t="s">
        <v>20</v>
      </c>
      <c r="F499" t="s">
        <v>12</v>
      </c>
      <c r="G499">
        <v>2</v>
      </c>
      <c r="H499">
        <v>580</v>
      </c>
      <c r="I499" t="s">
        <v>19</v>
      </c>
      <c r="J499" t="str">
        <f>_xlfn.XLOOKUP(branches[[#This Row],[Филиал]], tbl_Filialy[Филиал], tbl_Filialy[Менеджер])</f>
        <v>Сергей Мельников</v>
      </c>
    </row>
    <row r="500" spans="1:10" x14ac:dyDescent="0.3">
      <c r="A500" t="str">
        <f>_xlfn.XLOOKUP(branches[[#This Row],[Филиал]], tbl_Filialy[Филиал], tbl_Filialy[Город])</f>
        <v>Екатеринбург</v>
      </c>
      <c r="B500" s="1" t="s">
        <v>7</v>
      </c>
      <c r="C500" s="2">
        <v>45935</v>
      </c>
      <c r="D500" s="2" t="str">
        <f>CHOOSE(MONTH(branches[[#This Row],[Дата]]),"Январь","Февраль","Март","Апрель","Май","Июнь","Июль","Август","Сентябрь","Октябрь","Ноябрь","Декабрь")&amp;" "&amp;YEAR(branches[[#This Row],[Дата]])</f>
        <v>Октябрь 2025</v>
      </c>
      <c r="E500" t="s">
        <v>18</v>
      </c>
      <c r="F500" t="s">
        <v>12</v>
      </c>
      <c r="G500">
        <v>1</v>
      </c>
      <c r="H500">
        <v>120</v>
      </c>
      <c r="I500" t="s">
        <v>23</v>
      </c>
      <c r="J500" t="str">
        <f>_xlfn.XLOOKUP(branches[[#This Row],[Филиал]], tbl_Filialy[Филиал], tbl_Filialy[Менеджер])</f>
        <v>Сергей Мельников</v>
      </c>
    </row>
    <row r="501" spans="1:10" x14ac:dyDescent="0.3">
      <c r="A501" t="str">
        <f>_xlfn.XLOOKUP(branches[[#This Row],[Филиал]], tbl_Filialy[Филиал], tbl_Filialy[Город])</f>
        <v>Екатеринбург</v>
      </c>
      <c r="B501" s="1" t="s">
        <v>7</v>
      </c>
      <c r="C501" s="2">
        <v>45983</v>
      </c>
      <c r="D501" s="2" t="str">
        <f>CHOOSE(MONTH(branches[[#This Row],[Дата]]),"Январь","Февраль","Март","Апрель","Май","Июнь","Июль","Август","Сентябрь","Октябрь","Ноябрь","Декабрь")&amp;" "&amp;YEAR(branches[[#This Row],[Дата]])</f>
        <v>Ноябрь 2025</v>
      </c>
      <c r="E501" t="s">
        <v>22</v>
      </c>
      <c r="F501" t="s">
        <v>9</v>
      </c>
      <c r="G501">
        <v>1</v>
      </c>
      <c r="H501">
        <v>177</v>
      </c>
      <c r="I501" t="s">
        <v>19</v>
      </c>
      <c r="J501" t="str">
        <f>_xlfn.XLOOKUP(branches[[#This Row],[Филиал]], tbl_Filialy[Филиал], tbl_Filialy[Менеджер])</f>
        <v>Сергей Мельников</v>
      </c>
    </row>
    <row r="502" spans="1:10" x14ac:dyDescent="0.3">
      <c r="A502" t="str">
        <f>_xlfn.XLOOKUP(branches[[#This Row],[Филиал]], tbl_Filialy[Филиал], tbl_Filialy[Город])</f>
        <v>Екатеринбург</v>
      </c>
      <c r="B502" s="1" t="s">
        <v>7</v>
      </c>
      <c r="C502" s="2">
        <v>45744</v>
      </c>
      <c r="D502" s="2" t="str">
        <f>CHOOSE(MONTH(branches[[#This Row],[Дата]]),"Январь","Февраль","Март","Апрель","Май","Июнь","Июль","Август","Сентябрь","Октябрь","Ноябрь","Декабрь")&amp;" "&amp;YEAR(branches[[#This Row],[Дата]])</f>
        <v>Март 2025</v>
      </c>
      <c r="E502" t="s">
        <v>8</v>
      </c>
      <c r="F502" t="s">
        <v>9</v>
      </c>
      <c r="G502">
        <v>2</v>
      </c>
      <c r="H502">
        <v>516</v>
      </c>
      <c r="I502" t="s">
        <v>15</v>
      </c>
      <c r="J502" t="str">
        <f>_xlfn.XLOOKUP(branches[[#This Row],[Филиал]], tbl_Filialy[Филиал], tbl_Filialy[Менеджер])</f>
        <v>Сергей Мельников</v>
      </c>
    </row>
    <row r="503" spans="1:10" x14ac:dyDescent="0.3">
      <c r="A503" t="str">
        <f>_xlfn.XLOOKUP(branches[[#This Row],[Филиал]], tbl_Filialy[Филиал], tbl_Filialy[Город])</f>
        <v>Екатеринбург</v>
      </c>
      <c r="B503" s="1" t="s">
        <v>7</v>
      </c>
      <c r="C503" s="2">
        <v>46017</v>
      </c>
      <c r="D503" s="2" t="str">
        <f>CHOOSE(MONTH(branches[[#This Row],[Дата]]),"Январь","Февраль","Март","Апрель","Май","Июнь","Июль","Август","Сентябрь","Октябрь","Ноябрь","Декабрь")&amp;" "&amp;YEAR(branches[[#This Row],[Дата]])</f>
        <v>Декабрь 2025</v>
      </c>
      <c r="E503" t="s">
        <v>25</v>
      </c>
      <c r="F503" t="s">
        <v>12</v>
      </c>
      <c r="G503">
        <v>2</v>
      </c>
      <c r="H503">
        <v>462</v>
      </c>
      <c r="I503" t="s">
        <v>10</v>
      </c>
      <c r="J503" t="str">
        <f>_xlfn.XLOOKUP(branches[[#This Row],[Филиал]], tbl_Filialy[Филиал], tbl_Filialy[Менеджер])</f>
        <v>Сергей Мельников</v>
      </c>
    </row>
    <row r="504" spans="1:10" x14ac:dyDescent="0.3">
      <c r="A504" t="str">
        <f>_xlfn.XLOOKUP(branches[[#This Row],[Филиал]], tbl_Filialy[Филиал], tbl_Filialy[Город])</f>
        <v>Екатеринбург</v>
      </c>
      <c r="B504" s="1" t="s">
        <v>7</v>
      </c>
      <c r="C504" s="2">
        <v>45955</v>
      </c>
      <c r="D504" s="2" t="str">
        <f>CHOOSE(MONTH(branches[[#This Row],[Дата]]),"Январь","Февраль","Март","Апрель","Май","Июнь","Июль","Август","Сентябрь","Октябрь","Ноябрь","Декабрь")&amp;" "&amp;YEAR(branches[[#This Row],[Дата]])</f>
        <v>Октябрь 2025</v>
      </c>
      <c r="E504" t="s">
        <v>14</v>
      </c>
      <c r="F504" t="s">
        <v>12</v>
      </c>
      <c r="G504">
        <v>1</v>
      </c>
      <c r="H504">
        <v>250</v>
      </c>
      <c r="I504" t="s">
        <v>10</v>
      </c>
      <c r="J504" t="str">
        <f>_xlfn.XLOOKUP(branches[[#This Row],[Филиал]], tbl_Filialy[Филиал], tbl_Filialy[Менеджер])</f>
        <v>Сергей Мельников</v>
      </c>
    </row>
    <row r="505" spans="1:10" x14ac:dyDescent="0.3">
      <c r="A505" t="str">
        <f>_xlfn.XLOOKUP(branches[[#This Row],[Филиал]], tbl_Filialy[Филиал], tbl_Filialy[Город])</f>
        <v>Екатеринбург</v>
      </c>
      <c r="B505" s="1" t="s">
        <v>7</v>
      </c>
      <c r="C505" s="2">
        <v>45742</v>
      </c>
      <c r="D505" s="2" t="str">
        <f>CHOOSE(MONTH(branches[[#This Row],[Дата]]),"Январь","Февраль","Март","Апрель","Май","Июнь","Июль","Август","Сентябрь","Октябрь","Ноябрь","Декабрь")&amp;" "&amp;YEAR(branches[[#This Row],[Дата]])</f>
        <v>Март 2025</v>
      </c>
      <c r="E505" t="s">
        <v>24</v>
      </c>
      <c r="F505" t="s">
        <v>17</v>
      </c>
      <c r="G505">
        <v>3</v>
      </c>
      <c r="H505">
        <v>1041</v>
      </c>
      <c r="I505" t="s">
        <v>19</v>
      </c>
      <c r="J505" t="str">
        <f>_xlfn.XLOOKUP(branches[[#This Row],[Филиал]], tbl_Filialy[Филиал], tbl_Filialy[Менеджер])</f>
        <v>Сергей Мельников</v>
      </c>
    </row>
    <row r="506" spans="1:10" x14ac:dyDescent="0.3">
      <c r="A506" t="str">
        <f>_xlfn.XLOOKUP(branches[[#This Row],[Филиал]], tbl_Filialy[Филиал], tbl_Filialy[Город])</f>
        <v>Екатеринбург</v>
      </c>
      <c r="B506" s="1" t="s">
        <v>7</v>
      </c>
      <c r="C506" s="2">
        <v>45675</v>
      </c>
      <c r="D506" s="2" t="str">
        <f>CHOOSE(MONTH(branches[[#This Row],[Дата]]),"Январь","Февраль","Март","Апрель","Май","Июнь","Июль","Август","Сентябрь","Октябрь","Ноябрь","Декабрь")&amp;" "&amp;YEAR(branches[[#This Row],[Дата]])</f>
        <v>Январь 2025</v>
      </c>
      <c r="E506" t="s">
        <v>22</v>
      </c>
      <c r="F506" t="s">
        <v>9</v>
      </c>
      <c r="G506">
        <v>1</v>
      </c>
      <c r="H506">
        <v>184</v>
      </c>
      <c r="I506" t="s">
        <v>19</v>
      </c>
      <c r="J506" t="str">
        <f>_xlfn.XLOOKUP(branches[[#This Row],[Филиал]], tbl_Filialy[Филиал], tbl_Filialy[Менеджер])</f>
        <v>Сергей Мельников</v>
      </c>
    </row>
    <row r="507" spans="1:10" x14ac:dyDescent="0.3">
      <c r="A507" t="str">
        <f>_xlfn.XLOOKUP(branches[[#This Row],[Филиал]], tbl_Filialy[Филиал], tbl_Filialy[Город])</f>
        <v>Екатеринбург</v>
      </c>
      <c r="B507" s="1" t="s">
        <v>7</v>
      </c>
      <c r="C507" s="2">
        <v>45879</v>
      </c>
      <c r="D507" s="2" t="str">
        <f>CHOOSE(MONTH(branches[[#This Row],[Дата]]),"Январь","Февраль","Март","Апрель","Май","Июнь","Июль","Август","Сентябрь","Октябрь","Ноябрь","Декабрь")&amp;" "&amp;YEAR(branches[[#This Row],[Дата]])</f>
        <v>Август 2025</v>
      </c>
      <c r="E507" t="s">
        <v>25</v>
      </c>
      <c r="F507" t="s">
        <v>12</v>
      </c>
      <c r="G507">
        <v>1</v>
      </c>
      <c r="H507">
        <v>243</v>
      </c>
      <c r="I507" t="s">
        <v>21</v>
      </c>
      <c r="J507" t="str">
        <f>_xlfn.XLOOKUP(branches[[#This Row],[Филиал]], tbl_Filialy[Филиал], tbl_Filialy[Менеджер])</f>
        <v>Сергей Мельников</v>
      </c>
    </row>
    <row r="508" spans="1:10" x14ac:dyDescent="0.3">
      <c r="A508" t="str">
        <f>_xlfn.XLOOKUP(branches[[#This Row],[Филиал]], tbl_Filialy[Филиал], tbl_Filialy[Город])</f>
        <v>Екатеринбург</v>
      </c>
      <c r="B508" s="1" t="s">
        <v>7</v>
      </c>
      <c r="C508" s="2">
        <v>45673</v>
      </c>
      <c r="D508" s="2" t="str">
        <f>CHOOSE(MONTH(branches[[#This Row],[Дата]]),"Январь","Февраль","Март","Апрель","Май","Июнь","Июль","Август","Сентябрь","Октябрь","Ноябрь","Декабрь")&amp;" "&amp;YEAR(branches[[#This Row],[Дата]])</f>
        <v>Январь 2025</v>
      </c>
      <c r="E508" t="s">
        <v>26</v>
      </c>
      <c r="F508" t="s">
        <v>9</v>
      </c>
      <c r="G508">
        <v>1</v>
      </c>
      <c r="H508">
        <v>215</v>
      </c>
      <c r="I508" t="s">
        <v>13</v>
      </c>
      <c r="J508" t="str">
        <f>_xlfn.XLOOKUP(branches[[#This Row],[Филиал]], tbl_Filialy[Филиал], tbl_Filialy[Менеджер])</f>
        <v>Сергей Мельников</v>
      </c>
    </row>
    <row r="509" spans="1:10" x14ac:dyDescent="0.3">
      <c r="A509" t="str">
        <f>_xlfn.XLOOKUP(branches[[#This Row],[Филиал]], tbl_Filialy[Филиал], tbl_Filialy[Город])</f>
        <v>Екатеринбург</v>
      </c>
      <c r="B509" s="1" t="s">
        <v>7</v>
      </c>
      <c r="C509" s="2">
        <v>45785</v>
      </c>
      <c r="D509" s="2" t="str">
        <f>CHOOSE(MONTH(branches[[#This Row],[Дата]]),"Январь","Февраль","Март","Апрель","Май","Июнь","Июль","Август","Сентябрь","Октябрь","Ноябрь","Декабрь")&amp;" "&amp;YEAR(branches[[#This Row],[Дата]])</f>
        <v>Май 2025</v>
      </c>
      <c r="E509" t="s">
        <v>25</v>
      </c>
      <c r="F509" t="s">
        <v>12</v>
      </c>
      <c r="G509">
        <v>1</v>
      </c>
      <c r="H509">
        <v>223</v>
      </c>
      <c r="I509" t="s">
        <v>13</v>
      </c>
      <c r="J509" t="str">
        <f>_xlfn.XLOOKUP(branches[[#This Row],[Филиал]], tbl_Filialy[Филиал], tbl_Filialy[Менеджер])</f>
        <v>Сергей Мельников</v>
      </c>
    </row>
    <row r="510" spans="1:10" x14ac:dyDescent="0.3">
      <c r="A510" t="str">
        <f>_xlfn.XLOOKUP(branches[[#This Row],[Филиал]], tbl_Filialy[Филиал], tbl_Filialy[Город])</f>
        <v>Екатеринбург</v>
      </c>
      <c r="B510" s="1" t="s">
        <v>7</v>
      </c>
      <c r="C510" s="2">
        <v>45999</v>
      </c>
      <c r="D510" s="2" t="str">
        <f>CHOOSE(MONTH(branches[[#This Row],[Дата]]),"Январь","Февраль","Март","Апрель","Май","Июнь","Июль","Август","Сентябрь","Октябрь","Ноябрь","Декабрь")&amp;" "&amp;YEAR(branches[[#This Row],[Дата]])</f>
        <v>Декабрь 2025</v>
      </c>
      <c r="E510" t="s">
        <v>24</v>
      </c>
      <c r="F510" t="s">
        <v>17</v>
      </c>
      <c r="G510">
        <v>2</v>
      </c>
      <c r="H510">
        <v>704</v>
      </c>
      <c r="I510" t="s">
        <v>13</v>
      </c>
      <c r="J510" t="str">
        <f>_xlfn.XLOOKUP(branches[[#This Row],[Филиал]], tbl_Filialy[Филиал], tbl_Filialy[Менеджер])</f>
        <v>Сергей Мельников</v>
      </c>
    </row>
    <row r="511" spans="1:10" x14ac:dyDescent="0.3">
      <c r="A511" t="str">
        <f>_xlfn.XLOOKUP(branches[[#This Row],[Филиал]], tbl_Filialy[Филиал], tbl_Filialy[Город])</f>
        <v>Екатеринбург</v>
      </c>
      <c r="B511" s="1" t="s">
        <v>7</v>
      </c>
      <c r="C511" s="2">
        <v>45738</v>
      </c>
      <c r="D511" s="2" t="str">
        <f>CHOOSE(MONTH(branches[[#This Row],[Дата]]),"Январь","Февраль","Март","Апрель","Май","Июнь","Июль","Август","Сентябрь","Октябрь","Ноябрь","Декабрь")&amp;" "&amp;YEAR(branches[[#This Row],[Дата]])</f>
        <v>Март 2025</v>
      </c>
      <c r="E511" t="s">
        <v>16</v>
      </c>
      <c r="F511" t="s">
        <v>17</v>
      </c>
      <c r="G511">
        <v>1</v>
      </c>
      <c r="H511">
        <v>306</v>
      </c>
      <c r="I511" t="s">
        <v>23</v>
      </c>
      <c r="J511" t="str">
        <f>_xlfn.XLOOKUP(branches[[#This Row],[Филиал]], tbl_Filialy[Филиал], tbl_Filialy[Менеджер])</f>
        <v>Сергей Мельников</v>
      </c>
    </row>
    <row r="512" spans="1:10" x14ac:dyDescent="0.3">
      <c r="A512" t="str">
        <f>_xlfn.XLOOKUP(branches[[#This Row],[Филиал]], tbl_Filialy[Филиал], tbl_Filialy[Город])</f>
        <v>Екатеринбург</v>
      </c>
      <c r="B512" s="1" t="s">
        <v>7</v>
      </c>
      <c r="C512" s="2">
        <v>45714</v>
      </c>
      <c r="D512" s="2" t="str">
        <f>CHOOSE(MONTH(branches[[#This Row],[Дата]]),"Январь","Февраль","Март","Апрель","Май","Июнь","Июль","Август","Сентябрь","Октябрь","Ноябрь","Декабрь")&amp;" "&amp;YEAR(branches[[#This Row],[Дата]])</f>
        <v>Февраль 2025</v>
      </c>
      <c r="E512" t="s">
        <v>26</v>
      </c>
      <c r="F512" t="s">
        <v>9</v>
      </c>
      <c r="G512">
        <v>1</v>
      </c>
      <c r="H512">
        <v>228</v>
      </c>
      <c r="I512" t="s">
        <v>21</v>
      </c>
      <c r="J512" t="str">
        <f>_xlfn.XLOOKUP(branches[[#This Row],[Филиал]], tbl_Filialy[Филиал], tbl_Filialy[Менеджер])</f>
        <v>Сергей Мельников</v>
      </c>
    </row>
    <row r="513" spans="1:10" x14ac:dyDescent="0.3">
      <c r="A513" t="str">
        <f>_xlfn.XLOOKUP(branches[[#This Row],[Филиал]], tbl_Filialy[Филиал], tbl_Filialy[Город])</f>
        <v>Екатеринбург</v>
      </c>
      <c r="B513" s="1" t="s">
        <v>7</v>
      </c>
      <c r="C513" s="2">
        <v>45884</v>
      </c>
      <c r="D513" s="2" t="str">
        <f>CHOOSE(MONTH(branches[[#This Row],[Дата]]),"Январь","Февраль","Март","Апрель","Май","Июнь","Июль","Август","Сентябрь","Октябрь","Ноябрь","Декабрь")&amp;" "&amp;YEAR(branches[[#This Row],[Дата]])</f>
        <v>Август 2025</v>
      </c>
      <c r="E513" t="s">
        <v>11</v>
      </c>
      <c r="F513" t="s">
        <v>12</v>
      </c>
      <c r="G513">
        <v>1</v>
      </c>
      <c r="H513">
        <v>188</v>
      </c>
      <c r="I513" t="s">
        <v>23</v>
      </c>
      <c r="J513" t="str">
        <f>_xlfn.XLOOKUP(branches[[#This Row],[Филиал]], tbl_Filialy[Филиал], tbl_Filialy[Менеджер])</f>
        <v>Сергей Мельников</v>
      </c>
    </row>
    <row r="514" spans="1:10" x14ac:dyDescent="0.3">
      <c r="A514" t="str">
        <f>_xlfn.XLOOKUP(branches[[#This Row],[Филиал]], tbl_Filialy[Филиал], tbl_Filialy[Город])</f>
        <v>Екатеринбург</v>
      </c>
      <c r="B514" s="1" t="s">
        <v>7</v>
      </c>
      <c r="C514" s="2">
        <v>45726</v>
      </c>
      <c r="D514" s="2" t="str">
        <f>CHOOSE(MONTH(branches[[#This Row],[Дата]]),"Январь","Февраль","Март","Апрель","Май","Июнь","Июль","Август","Сентябрь","Октябрь","Ноябрь","Декабрь")&amp;" "&amp;YEAR(branches[[#This Row],[Дата]])</f>
        <v>Март 2025</v>
      </c>
      <c r="E514" t="s">
        <v>27</v>
      </c>
      <c r="F514" t="s">
        <v>12</v>
      </c>
      <c r="G514">
        <v>1</v>
      </c>
      <c r="H514">
        <v>189</v>
      </c>
      <c r="I514" t="s">
        <v>21</v>
      </c>
      <c r="J514" t="str">
        <f>_xlfn.XLOOKUP(branches[[#This Row],[Филиал]], tbl_Filialy[Филиал], tbl_Filialy[Менеджер])</f>
        <v>Сергей Мельников</v>
      </c>
    </row>
    <row r="515" spans="1:10" x14ac:dyDescent="0.3">
      <c r="A515" t="str">
        <f>_xlfn.XLOOKUP(branches[[#This Row],[Филиал]], tbl_Filialy[Филиал], tbl_Filialy[Город])</f>
        <v>Екатеринбург</v>
      </c>
      <c r="B515" s="1" t="s">
        <v>7</v>
      </c>
      <c r="C515" s="2">
        <v>45698</v>
      </c>
      <c r="D515" s="2" t="str">
        <f>CHOOSE(MONTH(branches[[#This Row],[Дата]]),"Январь","Февраль","Март","Апрель","Май","Июнь","Июль","Август","Сентябрь","Октябрь","Ноябрь","Декабрь")&amp;" "&amp;YEAR(branches[[#This Row],[Дата]])</f>
        <v>Февраль 2025</v>
      </c>
      <c r="E515" t="s">
        <v>18</v>
      </c>
      <c r="F515" t="s">
        <v>12</v>
      </c>
      <c r="G515">
        <v>1</v>
      </c>
      <c r="H515">
        <v>127</v>
      </c>
      <c r="I515" t="s">
        <v>23</v>
      </c>
      <c r="J515" t="str">
        <f>_xlfn.XLOOKUP(branches[[#This Row],[Филиал]], tbl_Filialy[Филиал], tbl_Filialy[Менеджер])</f>
        <v>Сергей Мельников</v>
      </c>
    </row>
    <row r="516" spans="1:10" x14ac:dyDescent="0.3">
      <c r="A516" t="str">
        <f>_xlfn.XLOOKUP(branches[[#This Row],[Филиал]], tbl_Filialy[Филиал], tbl_Filialy[Город])</f>
        <v>Екатеринбург</v>
      </c>
      <c r="B516" s="1" t="s">
        <v>7</v>
      </c>
      <c r="C516" s="2">
        <v>45713</v>
      </c>
      <c r="D516" s="2" t="str">
        <f>CHOOSE(MONTH(branches[[#This Row],[Дата]]),"Январь","Февраль","Март","Апрель","Май","Июнь","Июль","Август","Сентябрь","Октябрь","Ноябрь","Декабрь")&amp;" "&amp;YEAR(branches[[#This Row],[Дата]])</f>
        <v>Февраль 2025</v>
      </c>
      <c r="E516" t="s">
        <v>18</v>
      </c>
      <c r="F516" t="s">
        <v>12</v>
      </c>
      <c r="G516">
        <v>1</v>
      </c>
      <c r="H516">
        <v>130</v>
      </c>
      <c r="I516" t="s">
        <v>13</v>
      </c>
      <c r="J516" t="str">
        <f>_xlfn.XLOOKUP(branches[[#This Row],[Филиал]], tbl_Filialy[Филиал], tbl_Filialy[Менеджер])</f>
        <v>Сергей Мельников</v>
      </c>
    </row>
    <row r="517" spans="1:10" x14ac:dyDescent="0.3">
      <c r="A517" t="str">
        <f>_xlfn.XLOOKUP(branches[[#This Row],[Филиал]], tbl_Filialy[Филиал], tbl_Filialy[Город])</f>
        <v>Екатеринбург</v>
      </c>
      <c r="B517" s="1" t="s">
        <v>7</v>
      </c>
      <c r="C517" s="2">
        <v>45916</v>
      </c>
      <c r="D517" s="2" t="str">
        <f>CHOOSE(MONTH(branches[[#This Row],[Дата]]),"Январь","Февраль","Март","Апрель","Май","Июнь","Июль","Август","Сентябрь","Октябрь","Ноябрь","Декабрь")&amp;" "&amp;YEAR(branches[[#This Row],[Дата]])</f>
        <v>Сентябрь 2025</v>
      </c>
      <c r="E517" t="s">
        <v>27</v>
      </c>
      <c r="F517" t="s">
        <v>12</v>
      </c>
      <c r="G517">
        <v>2</v>
      </c>
      <c r="H517">
        <v>368</v>
      </c>
      <c r="I517" t="s">
        <v>13</v>
      </c>
      <c r="J517" t="str">
        <f>_xlfn.XLOOKUP(branches[[#This Row],[Филиал]], tbl_Filialy[Филиал], tbl_Filialy[Менеджер])</f>
        <v>Сергей Мельников</v>
      </c>
    </row>
    <row r="518" spans="1:10" x14ac:dyDescent="0.3">
      <c r="A518" t="str">
        <f>_xlfn.XLOOKUP(branches[[#This Row],[Филиал]], tbl_Filialy[Филиал], tbl_Filialy[Город])</f>
        <v>Екатеринбург</v>
      </c>
      <c r="B518" s="1" t="s">
        <v>7</v>
      </c>
      <c r="C518" s="2">
        <v>45976</v>
      </c>
      <c r="D518" s="2" t="str">
        <f>CHOOSE(MONTH(branches[[#This Row],[Дата]]),"Январь","Февраль","Март","Апрель","Май","Июнь","Июль","Август","Сентябрь","Октябрь","Ноябрь","Декабрь")&amp;" "&amp;YEAR(branches[[#This Row],[Дата]])</f>
        <v>Ноябрь 2025</v>
      </c>
      <c r="E518" t="s">
        <v>18</v>
      </c>
      <c r="F518" t="s">
        <v>12</v>
      </c>
      <c r="G518">
        <v>1</v>
      </c>
      <c r="H518">
        <v>133</v>
      </c>
      <c r="I518" t="s">
        <v>15</v>
      </c>
      <c r="J518" t="str">
        <f>_xlfn.XLOOKUP(branches[[#This Row],[Филиал]], tbl_Filialy[Филиал], tbl_Filialy[Менеджер])</f>
        <v>Сергей Мельников</v>
      </c>
    </row>
    <row r="519" spans="1:10" x14ac:dyDescent="0.3">
      <c r="A519" t="str">
        <f>_xlfn.XLOOKUP(branches[[#This Row],[Филиал]], tbl_Filialy[Филиал], tbl_Filialy[Город])</f>
        <v>Екатеринбург</v>
      </c>
      <c r="B519" s="1" t="s">
        <v>7</v>
      </c>
      <c r="C519" s="2">
        <v>45973</v>
      </c>
      <c r="D519" s="2" t="str">
        <f>CHOOSE(MONTH(branches[[#This Row],[Дата]]),"Январь","Февраль","Март","Апрель","Май","Июнь","Июль","Август","Сентябрь","Октябрь","Ноябрь","Декабрь")&amp;" "&amp;YEAR(branches[[#This Row],[Дата]])</f>
        <v>Ноябрь 2025</v>
      </c>
      <c r="E519" t="s">
        <v>27</v>
      </c>
      <c r="F519" t="s">
        <v>12</v>
      </c>
      <c r="G519">
        <v>2</v>
      </c>
      <c r="H519">
        <v>394</v>
      </c>
      <c r="I519" t="s">
        <v>23</v>
      </c>
      <c r="J519" t="str">
        <f>_xlfn.XLOOKUP(branches[[#This Row],[Филиал]], tbl_Filialy[Филиал], tbl_Filialy[Менеджер])</f>
        <v>Сергей Мельников</v>
      </c>
    </row>
    <row r="520" spans="1:10" x14ac:dyDescent="0.3">
      <c r="A520" t="str">
        <f>_xlfn.XLOOKUP(branches[[#This Row],[Филиал]], tbl_Filialy[Филиал], tbl_Filialy[Город])</f>
        <v>Екатеринбург</v>
      </c>
      <c r="B520" s="1" t="s">
        <v>7</v>
      </c>
      <c r="C520" s="2">
        <v>45693</v>
      </c>
      <c r="D520" s="2" t="str">
        <f>CHOOSE(MONTH(branches[[#This Row],[Дата]]),"Январь","Февраль","Март","Апрель","Май","Июнь","Июль","Август","Сентябрь","Октябрь","Ноябрь","Декабрь")&amp;" "&amp;YEAR(branches[[#This Row],[Дата]])</f>
        <v>Февраль 2025</v>
      </c>
      <c r="E520" t="s">
        <v>26</v>
      </c>
      <c r="F520" t="s">
        <v>9</v>
      </c>
      <c r="G520">
        <v>1</v>
      </c>
      <c r="H520">
        <v>230</v>
      </c>
      <c r="I520" t="s">
        <v>19</v>
      </c>
      <c r="J520" t="str">
        <f>_xlfn.XLOOKUP(branches[[#This Row],[Филиал]], tbl_Filialy[Филиал], tbl_Filialy[Менеджер])</f>
        <v>Сергей Мельников</v>
      </c>
    </row>
    <row r="521" spans="1:10" x14ac:dyDescent="0.3">
      <c r="A521" t="str">
        <f>_xlfn.XLOOKUP(branches[[#This Row],[Филиал]], tbl_Filialy[Филиал], tbl_Filialy[Город])</f>
        <v>Екатеринбург</v>
      </c>
      <c r="B521" s="1" t="s">
        <v>7</v>
      </c>
      <c r="C521" s="2">
        <v>45727</v>
      </c>
      <c r="D521" s="2" t="str">
        <f>CHOOSE(MONTH(branches[[#This Row],[Дата]]),"Январь","Февраль","Март","Апрель","Май","Июнь","Июль","Август","Сентябрь","Октябрь","Ноябрь","Декабрь")&amp;" "&amp;YEAR(branches[[#This Row],[Дата]])</f>
        <v>Март 2025</v>
      </c>
      <c r="E521" t="s">
        <v>16</v>
      </c>
      <c r="F521" t="s">
        <v>17</v>
      </c>
      <c r="G521">
        <v>1</v>
      </c>
      <c r="H521">
        <v>326</v>
      </c>
      <c r="I521" t="s">
        <v>10</v>
      </c>
      <c r="J521" t="str">
        <f>_xlfn.XLOOKUP(branches[[#This Row],[Филиал]], tbl_Filialy[Филиал], tbl_Filialy[Менеджер])</f>
        <v>Сергей Мельников</v>
      </c>
    </row>
    <row r="522" spans="1:10" x14ac:dyDescent="0.3">
      <c r="A522" t="str">
        <f>_xlfn.XLOOKUP(branches[[#This Row],[Филиал]], tbl_Filialy[Филиал], tbl_Filialy[Город])</f>
        <v>Екатеринбург</v>
      </c>
      <c r="B522" s="1" t="s">
        <v>7</v>
      </c>
      <c r="C522" s="2">
        <v>45901</v>
      </c>
      <c r="D522" s="2" t="str">
        <f>CHOOSE(MONTH(branches[[#This Row],[Дата]]),"Январь","Февраль","Март","Апрель","Май","Июнь","Июль","Август","Сентябрь","Октябрь","Ноябрь","Декабрь")&amp;" "&amp;YEAR(branches[[#This Row],[Дата]])</f>
        <v>Сентябрь 2025</v>
      </c>
      <c r="E522" t="s">
        <v>25</v>
      </c>
      <c r="F522" t="s">
        <v>12</v>
      </c>
      <c r="G522">
        <v>3</v>
      </c>
      <c r="H522">
        <v>630</v>
      </c>
      <c r="I522" t="s">
        <v>15</v>
      </c>
      <c r="J522" t="str">
        <f>_xlfn.XLOOKUP(branches[[#This Row],[Филиал]], tbl_Filialy[Филиал], tbl_Filialy[Менеджер])</f>
        <v>Сергей Мельников</v>
      </c>
    </row>
    <row r="523" spans="1:10" x14ac:dyDescent="0.3">
      <c r="A523" t="str">
        <f>_xlfn.XLOOKUP(branches[[#This Row],[Филиал]], tbl_Filialy[Филиал], tbl_Filialy[Город])</f>
        <v>Екатеринбург</v>
      </c>
      <c r="B523" s="1" t="s">
        <v>7</v>
      </c>
      <c r="C523" s="2">
        <v>45925</v>
      </c>
      <c r="D523" s="2" t="str">
        <f>CHOOSE(MONTH(branches[[#This Row],[Дата]]),"Январь","Февраль","Март","Апрель","Май","Июнь","Июль","Август","Сентябрь","Октябрь","Ноябрь","Декабрь")&amp;" "&amp;YEAR(branches[[#This Row],[Дата]])</f>
        <v>Сентябрь 2025</v>
      </c>
      <c r="E523" t="s">
        <v>25</v>
      </c>
      <c r="F523" t="s">
        <v>12</v>
      </c>
      <c r="G523">
        <v>1</v>
      </c>
      <c r="H523">
        <v>209</v>
      </c>
      <c r="I523" t="s">
        <v>15</v>
      </c>
      <c r="J523" t="str">
        <f>_xlfn.XLOOKUP(branches[[#This Row],[Филиал]], tbl_Filialy[Филиал], tbl_Filialy[Менеджер])</f>
        <v>Сергей Мельников</v>
      </c>
    </row>
    <row r="524" spans="1:10" x14ac:dyDescent="0.3">
      <c r="A524" t="str">
        <f>_xlfn.XLOOKUP(branches[[#This Row],[Филиал]], tbl_Filialy[Филиал], tbl_Filialy[Город])</f>
        <v>Екатеринбург</v>
      </c>
      <c r="B524" s="1" t="s">
        <v>7</v>
      </c>
      <c r="C524" s="2">
        <v>45995</v>
      </c>
      <c r="D524" s="2" t="str">
        <f>CHOOSE(MONTH(branches[[#This Row],[Дата]]),"Январь","Февраль","Март","Апрель","Май","Июнь","Июль","Август","Сентябрь","Октябрь","Ноябрь","Декабрь")&amp;" "&amp;YEAR(branches[[#This Row],[Дата]])</f>
        <v>Декабрь 2025</v>
      </c>
      <c r="E524" t="s">
        <v>22</v>
      </c>
      <c r="F524" t="s">
        <v>9</v>
      </c>
      <c r="G524">
        <v>2</v>
      </c>
      <c r="H524">
        <v>344</v>
      </c>
      <c r="I524" t="s">
        <v>23</v>
      </c>
      <c r="J524" t="str">
        <f>_xlfn.XLOOKUP(branches[[#This Row],[Филиал]], tbl_Filialy[Филиал], tbl_Filialy[Менеджер])</f>
        <v>Сергей Мельников</v>
      </c>
    </row>
    <row r="525" spans="1:10" x14ac:dyDescent="0.3">
      <c r="A525" t="str">
        <f>_xlfn.XLOOKUP(branches[[#This Row],[Филиал]], tbl_Filialy[Филиал], tbl_Filialy[Город])</f>
        <v>Екатеринбург</v>
      </c>
      <c r="B525" s="1" t="s">
        <v>7</v>
      </c>
      <c r="C525" s="2">
        <v>45993</v>
      </c>
      <c r="D525" s="2" t="str">
        <f>CHOOSE(MONTH(branches[[#This Row],[Дата]]),"Январь","Февраль","Март","Апрель","Май","Июнь","Июль","Август","Сентябрь","Октябрь","Ноябрь","Декабрь")&amp;" "&amp;YEAR(branches[[#This Row],[Дата]])</f>
        <v>Декабрь 2025</v>
      </c>
      <c r="E525" t="s">
        <v>14</v>
      </c>
      <c r="F525" t="s">
        <v>12</v>
      </c>
      <c r="G525">
        <v>1</v>
      </c>
      <c r="H525">
        <v>259</v>
      </c>
      <c r="I525" t="s">
        <v>21</v>
      </c>
      <c r="J525" t="str">
        <f>_xlfn.XLOOKUP(branches[[#This Row],[Филиал]], tbl_Filialy[Филиал], tbl_Filialy[Менеджер])</f>
        <v>Сергей Мельников</v>
      </c>
    </row>
    <row r="526" spans="1:10" x14ac:dyDescent="0.3">
      <c r="A526" t="str">
        <f>_xlfn.XLOOKUP(branches[[#This Row],[Филиал]], tbl_Filialy[Филиал], tbl_Filialy[Город])</f>
        <v>Екатеринбург</v>
      </c>
      <c r="B526" s="1" t="s">
        <v>7</v>
      </c>
      <c r="C526" s="2">
        <v>45779</v>
      </c>
      <c r="D526" s="2" t="str">
        <f>CHOOSE(MONTH(branches[[#This Row],[Дата]]),"Январь","Февраль","Март","Апрель","Май","Июнь","Июль","Август","Сентябрь","Октябрь","Ноябрь","Декабрь")&amp;" "&amp;YEAR(branches[[#This Row],[Дата]])</f>
        <v>Май 2025</v>
      </c>
      <c r="E526" t="s">
        <v>8</v>
      </c>
      <c r="F526" t="s">
        <v>9</v>
      </c>
      <c r="G526">
        <v>3</v>
      </c>
      <c r="H526">
        <v>687</v>
      </c>
      <c r="I526" t="s">
        <v>21</v>
      </c>
      <c r="J526" t="str">
        <f>_xlfn.XLOOKUP(branches[[#This Row],[Филиал]], tbl_Filialy[Филиал], tbl_Filialy[Менеджер])</f>
        <v>Сергей Мельников</v>
      </c>
    </row>
    <row r="527" spans="1:10" x14ac:dyDescent="0.3">
      <c r="A527" t="str">
        <f>_xlfn.XLOOKUP(branches[[#This Row],[Филиал]], tbl_Filialy[Филиал], tbl_Filialy[Город])</f>
        <v>Екатеринбург</v>
      </c>
      <c r="B527" s="1" t="s">
        <v>7</v>
      </c>
      <c r="C527" s="2">
        <v>45752</v>
      </c>
      <c r="D527" s="2" t="str">
        <f>CHOOSE(MONTH(branches[[#This Row],[Дата]]),"Январь","Февраль","Март","Апрель","Май","Июнь","Июль","Август","Сентябрь","Октябрь","Ноябрь","Декабрь")&amp;" "&amp;YEAR(branches[[#This Row],[Дата]])</f>
        <v>Апрель 2025</v>
      </c>
      <c r="E527" t="s">
        <v>26</v>
      </c>
      <c r="F527" t="s">
        <v>9</v>
      </c>
      <c r="G527">
        <v>3</v>
      </c>
      <c r="H527">
        <v>675</v>
      </c>
      <c r="I527" t="s">
        <v>21</v>
      </c>
      <c r="J527" t="str">
        <f>_xlfn.XLOOKUP(branches[[#This Row],[Филиал]], tbl_Filialy[Филиал], tbl_Filialy[Менеджер])</f>
        <v>Сергей Мельников</v>
      </c>
    </row>
    <row r="528" spans="1:10" x14ac:dyDescent="0.3">
      <c r="A528" t="str">
        <f>_xlfn.XLOOKUP(branches[[#This Row],[Филиал]], tbl_Filialy[Филиал], tbl_Filialy[Город])</f>
        <v>Екатеринбург</v>
      </c>
      <c r="B528" s="1" t="s">
        <v>7</v>
      </c>
      <c r="C528" s="2">
        <v>46008</v>
      </c>
      <c r="D528" s="2" t="str">
        <f>CHOOSE(MONTH(branches[[#This Row],[Дата]]),"Январь","Февраль","Март","Апрель","Май","Июнь","Июль","Август","Сентябрь","Октябрь","Ноябрь","Декабрь")&amp;" "&amp;YEAR(branches[[#This Row],[Дата]])</f>
        <v>Декабрь 2025</v>
      </c>
      <c r="E528" t="s">
        <v>24</v>
      </c>
      <c r="F528" t="s">
        <v>17</v>
      </c>
      <c r="G528">
        <v>2</v>
      </c>
      <c r="H528">
        <v>842</v>
      </c>
      <c r="I528" t="s">
        <v>13</v>
      </c>
      <c r="J528" t="str">
        <f>_xlfn.XLOOKUP(branches[[#This Row],[Филиал]], tbl_Filialy[Филиал], tbl_Filialy[Менеджер])</f>
        <v>Сергей Мельников</v>
      </c>
    </row>
    <row r="529" spans="1:10" x14ac:dyDescent="0.3">
      <c r="A529" t="str">
        <f>_xlfn.XLOOKUP(branches[[#This Row],[Филиал]], tbl_Filialy[Филиал], tbl_Filialy[Город])</f>
        <v>Екатеринбург</v>
      </c>
      <c r="B529" s="1" t="s">
        <v>7</v>
      </c>
      <c r="C529" s="2">
        <v>45772</v>
      </c>
      <c r="D529" s="2" t="str">
        <f>CHOOSE(MONTH(branches[[#This Row],[Дата]]),"Январь","Февраль","Март","Апрель","Май","Июнь","Июль","Август","Сентябрь","Октябрь","Ноябрь","Декабрь")&amp;" "&amp;YEAR(branches[[#This Row],[Дата]])</f>
        <v>Апрель 2025</v>
      </c>
      <c r="E529" t="s">
        <v>14</v>
      </c>
      <c r="F529" t="s">
        <v>12</v>
      </c>
      <c r="G529">
        <v>2</v>
      </c>
      <c r="H529">
        <v>470</v>
      </c>
      <c r="I529" t="s">
        <v>15</v>
      </c>
      <c r="J529" t="str">
        <f>_xlfn.XLOOKUP(branches[[#This Row],[Филиал]], tbl_Filialy[Филиал], tbl_Filialy[Менеджер])</f>
        <v>Сергей Мельников</v>
      </c>
    </row>
    <row r="530" spans="1:10" x14ac:dyDescent="0.3">
      <c r="A530" t="str">
        <f>_xlfn.XLOOKUP(branches[[#This Row],[Филиал]], tbl_Filialy[Филиал], tbl_Filialy[Город])</f>
        <v>Екатеринбург</v>
      </c>
      <c r="B530" s="1" t="s">
        <v>7</v>
      </c>
      <c r="C530" s="2">
        <v>45912</v>
      </c>
      <c r="D530" s="2" t="str">
        <f>CHOOSE(MONTH(branches[[#This Row],[Дата]]),"Январь","Февраль","Март","Апрель","Май","Июнь","Июль","Август","Сентябрь","Октябрь","Ноябрь","Декабрь")&amp;" "&amp;YEAR(branches[[#This Row],[Дата]])</f>
        <v>Сентябрь 2025</v>
      </c>
      <c r="E530" t="s">
        <v>26</v>
      </c>
      <c r="F530" t="s">
        <v>9</v>
      </c>
      <c r="G530">
        <v>2</v>
      </c>
      <c r="H530">
        <v>396</v>
      </c>
      <c r="I530" t="s">
        <v>21</v>
      </c>
      <c r="J530" t="str">
        <f>_xlfn.XLOOKUP(branches[[#This Row],[Филиал]], tbl_Filialy[Филиал], tbl_Filialy[Менеджер])</f>
        <v>Сергей Мельников</v>
      </c>
    </row>
    <row r="531" spans="1:10" x14ac:dyDescent="0.3">
      <c r="A531" t="str">
        <f>_xlfn.XLOOKUP(branches[[#This Row],[Филиал]], tbl_Filialy[Филиал], tbl_Filialy[Город])</f>
        <v>Екатеринбург</v>
      </c>
      <c r="B531" s="1" t="s">
        <v>7</v>
      </c>
      <c r="C531" s="2">
        <v>45711</v>
      </c>
      <c r="D531" s="2" t="str">
        <f>CHOOSE(MONTH(branches[[#This Row],[Дата]]),"Январь","Февраль","Март","Апрель","Май","Июнь","Июль","Август","Сентябрь","Октябрь","Ноябрь","Декабрь")&amp;" "&amp;YEAR(branches[[#This Row],[Дата]])</f>
        <v>Февраль 2025</v>
      </c>
      <c r="E531" t="s">
        <v>28</v>
      </c>
      <c r="F531" t="s">
        <v>12</v>
      </c>
      <c r="G531">
        <v>1</v>
      </c>
      <c r="H531">
        <v>227</v>
      </c>
      <c r="I531" t="s">
        <v>23</v>
      </c>
      <c r="J531" t="str">
        <f>_xlfn.XLOOKUP(branches[[#This Row],[Филиал]], tbl_Filialy[Филиал], tbl_Filialy[Менеджер])</f>
        <v>Сергей Мельников</v>
      </c>
    </row>
    <row r="532" spans="1:10" x14ac:dyDescent="0.3">
      <c r="A532" t="str">
        <f>_xlfn.XLOOKUP(branches[[#This Row],[Филиал]], tbl_Filialy[Филиал], tbl_Filialy[Город])</f>
        <v>Екатеринбург</v>
      </c>
      <c r="B532" s="1" t="s">
        <v>7</v>
      </c>
      <c r="C532" s="2">
        <v>45935</v>
      </c>
      <c r="D532" s="2" t="str">
        <f>CHOOSE(MONTH(branches[[#This Row],[Дата]]),"Январь","Февраль","Март","Апрель","Май","Июнь","Июль","Август","Сентябрь","Октябрь","Ноябрь","Декабрь")&amp;" "&amp;YEAR(branches[[#This Row],[Дата]])</f>
        <v>Октябрь 2025</v>
      </c>
      <c r="E532" t="s">
        <v>27</v>
      </c>
      <c r="F532" t="s">
        <v>12</v>
      </c>
      <c r="G532">
        <v>2</v>
      </c>
      <c r="H532">
        <v>396</v>
      </c>
      <c r="I532" t="s">
        <v>15</v>
      </c>
      <c r="J532" t="str">
        <f>_xlfn.XLOOKUP(branches[[#This Row],[Филиал]], tbl_Filialy[Филиал], tbl_Filialy[Менеджер])</f>
        <v>Сергей Мельников</v>
      </c>
    </row>
    <row r="533" spans="1:10" x14ac:dyDescent="0.3">
      <c r="A533" t="str">
        <f>_xlfn.XLOOKUP(branches[[#This Row],[Филиал]], tbl_Filialy[Филиал], tbl_Filialy[Город])</f>
        <v>Екатеринбург</v>
      </c>
      <c r="B533" s="1" t="s">
        <v>7</v>
      </c>
      <c r="C533" s="2">
        <v>45913</v>
      </c>
      <c r="D533" s="2" t="str">
        <f>CHOOSE(MONTH(branches[[#This Row],[Дата]]),"Январь","Февраль","Март","Апрель","Май","Июнь","Июль","Август","Сентябрь","Октябрь","Ноябрь","Декабрь")&amp;" "&amp;YEAR(branches[[#This Row],[Дата]])</f>
        <v>Сентябрь 2025</v>
      </c>
      <c r="E533" t="s">
        <v>25</v>
      </c>
      <c r="F533" t="s">
        <v>12</v>
      </c>
      <c r="G533">
        <v>1</v>
      </c>
      <c r="H533">
        <v>230</v>
      </c>
      <c r="I533" t="s">
        <v>21</v>
      </c>
      <c r="J533" t="str">
        <f>_xlfn.XLOOKUP(branches[[#This Row],[Филиал]], tbl_Filialy[Филиал], tbl_Filialy[Менеджер])</f>
        <v>Сергей Мельников</v>
      </c>
    </row>
    <row r="534" spans="1:10" x14ac:dyDescent="0.3">
      <c r="A534" t="str">
        <f>_xlfn.XLOOKUP(branches[[#This Row],[Филиал]], tbl_Filialy[Филиал], tbl_Filialy[Город])</f>
        <v>Екатеринбург</v>
      </c>
      <c r="B534" s="1" t="s">
        <v>7</v>
      </c>
      <c r="C534" s="2">
        <v>45659</v>
      </c>
      <c r="D534" s="2" t="str">
        <f>CHOOSE(MONTH(branches[[#This Row],[Дата]]),"Январь","Февраль","Март","Апрель","Май","Июнь","Июль","Август","Сентябрь","Октябрь","Ноябрь","Декабрь")&amp;" "&amp;YEAR(branches[[#This Row],[Дата]])</f>
        <v>Январь 2025</v>
      </c>
      <c r="E534" t="s">
        <v>25</v>
      </c>
      <c r="F534" t="s">
        <v>12</v>
      </c>
      <c r="G534">
        <v>1</v>
      </c>
      <c r="H534">
        <v>236</v>
      </c>
      <c r="I534" t="s">
        <v>21</v>
      </c>
      <c r="J534" t="str">
        <f>_xlfn.XLOOKUP(branches[[#This Row],[Филиал]], tbl_Filialy[Филиал], tbl_Filialy[Менеджер])</f>
        <v>Сергей Мельников</v>
      </c>
    </row>
    <row r="535" spans="1:10" x14ac:dyDescent="0.3">
      <c r="A535" t="str">
        <f>_xlfn.XLOOKUP(branches[[#This Row],[Филиал]], tbl_Filialy[Филиал], tbl_Filialy[Город])</f>
        <v>Екатеринбург</v>
      </c>
      <c r="B535" s="1" t="s">
        <v>7</v>
      </c>
      <c r="C535" s="2">
        <v>45720</v>
      </c>
      <c r="D535" s="2" t="str">
        <f>CHOOSE(MONTH(branches[[#This Row],[Дата]]),"Январь","Февраль","Март","Апрель","Май","Июнь","Июль","Август","Сентябрь","Октябрь","Ноябрь","Декабрь")&amp;" "&amp;YEAR(branches[[#This Row],[Дата]])</f>
        <v>Март 2025</v>
      </c>
      <c r="E535" t="s">
        <v>25</v>
      </c>
      <c r="F535" t="s">
        <v>12</v>
      </c>
      <c r="G535">
        <v>1</v>
      </c>
      <c r="H535">
        <v>245</v>
      </c>
      <c r="I535" t="s">
        <v>21</v>
      </c>
      <c r="J535" t="str">
        <f>_xlfn.XLOOKUP(branches[[#This Row],[Филиал]], tbl_Filialy[Филиал], tbl_Filialy[Менеджер])</f>
        <v>Сергей Мельников</v>
      </c>
    </row>
    <row r="536" spans="1:10" x14ac:dyDescent="0.3">
      <c r="A536" t="str">
        <f>_xlfn.XLOOKUP(branches[[#This Row],[Филиал]], tbl_Filialy[Филиал], tbl_Filialy[Город])</f>
        <v>Екатеринбург</v>
      </c>
      <c r="B536" s="1" t="s">
        <v>7</v>
      </c>
      <c r="C536" s="2">
        <v>45672</v>
      </c>
      <c r="D536" s="2" t="str">
        <f>CHOOSE(MONTH(branches[[#This Row],[Дата]]),"Январь","Февраль","Март","Апрель","Май","Июнь","Июль","Август","Сентябрь","Октябрь","Ноябрь","Декабрь")&amp;" "&amp;YEAR(branches[[#This Row],[Дата]])</f>
        <v>Январь 2025</v>
      </c>
      <c r="E536" t="s">
        <v>11</v>
      </c>
      <c r="F536" t="s">
        <v>12</v>
      </c>
      <c r="G536">
        <v>1</v>
      </c>
      <c r="H536">
        <v>183</v>
      </c>
      <c r="I536" t="s">
        <v>13</v>
      </c>
      <c r="J536" t="str">
        <f>_xlfn.XLOOKUP(branches[[#This Row],[Филиал]], tbl_Filialy[Филиал], tbl_Filialy[Менеджер])</f>
        <v>Сергей Мельников</v>
      </c>
    </row>
    <row r="537" spans="1:10" x14ac:dyDescent="0.3">
      <c r="A537" t="str">
        <f>_xlfn.XLOOKUP(branches[[#This Row],[Филиал]], tbl_Filialy[Филиал], tbl_Filialy[Город])</f>
        <v>Екатеринбург</v>
      </c>
      <c r="B537" s="1" t="s">
        <v>7</v>
      </c>
      <c r="C537" s="2">
        <v>45781</v>
      </c>
      <c r="D537" s="2" t="str">
        <f>CHOOSE(MONTH(branches[[#This Row],[Дата]]),"Январь","Февраль","Март","Апрель","Май","Июнь","Июль","Август","Сентябрь","Октябрь","Ноябрь","Декабрь")&amp;" "&amp;YEAR(branches[[#This Row],[Дата]])</f>
        <v>Май 2025</v>
      </c>
      <c r="E537" t="s">
        <v>26</v>
      </c>
      <c r="F537" t="s">
        <v>9</v>
      </c>
      <c r="G537">
        <v>2</v>
      </c>
      <c r="H537">
        <v>380</v>
      </c>
      <c r="I537" t="s">
        <v>21</v>
      </c>
      <c r="J537" t="str">
        <f>_xlfn.XLOOKUP(branches[[#This Row],[Филиал]], tbl_Filialy[Филиал], tbl_Filialy[Менеджер])</f>
        <v>Сергей Мельников</v>
      </c>
    </row>
    <row r="538" spans="1:10" x14ac:dyDescent="0.3">
      <c r="A538" t="str">
        <f>_xlfn.XLOOKUP(branches[[#This Row],[Филиал]], tbl_Filialy[Филиал], tbl_Filialy[Город])</f>
        <v>Екатеринбург</v>
      </c>
      <c r="B538" s="1" t="s">
        <v>7</v>
      </c>
      <c r="C538" s="2">
        <v>45701</v>
      </c>
      <c r="D538" s="2" t="str">
        <f>CHOOSE(MONTH(branches[[#This Row],[Дата]]),"Январь","Февраль","Март","Апрель","Май","Июнь","Июль","Август","Сентябрь","Октябрь","Ноябрь","Декабрь")&amp;" "&amp;YEAR(branches[[#This Row],[Дата]])</f>
        <v>Февраль 2025</v>
      </c>
      <c r="E538" t="s">
        <v>18</v>
      </c>
      <c r="F538" t="s">
        <v>12</v>
      </c>
      <c r="G538">
        <v>3</v>
      </c>
      <c r="H538">
        <v>465</v>
      </c>
      <c r="I538" t="s">
        <v>23</v>
      </c>
      <c r="J538" t="str">
        <f>_xlfn.XLOOKUP(branches[[#This Row],[Филиал]], tbl_Filialy[Филиал], tbl_Filialy[Менеджер])</f>
        <v>Сергей Мельников</v>
      </c>
    </row>
    <row r="539" spans="1:10" x14ac:dyDescent="0.3">
      <c r="A539" t="str">
        <f>_xlfn.XLOOKUP(branches[[#This Row],[Филиал]], tbl_Filialy[Филиал], tbl_Filialy[Город])</f>
        <v>Екатеринбург</v>
      </c>
      <c r="B539" s="1" t="s">
        <v>7</v>
      </c>
      <c r="C539" s="2">
        <v>45680</v>
      </c>
      <c r="D539" s="2" t="str">
        <f>CHOOSE(MONTH(branches[[#This Row],[Дата]]),"Январь","Февраль","Март","Апрель","Май","Июнь","Июль","Август","Сентябрь","Октябрь","Ноябрь","Декабрь")&amp;" "&amp;YEAR(branches[[#This Row],[Дата]])</f>
        <v>Январь 2025</v>
      </c>
      <c r="E539" t="s">
        <v>28</v>
      </c>
      <c r="F539" t="s">
        <v>12</v>
      </c>
      <c r="G539">
        <v>1</v>
      </c>
      <c r="H539">
        <v>208</v>
      </c>
      <c r="I539" t="s">
        <v>15</v>
      </c>
      <c r="J539" t="str">
        <f>_xlfn.XLOOKUP(branches[[#This Row],[Филиал]], tbl_Filialy[Филиал], tbl_Filialy[Менеджер])</f>
        <v>Сергей Мельников</v>
      </c>
    </row>
    <row r="540" spans="1:10" x14ac:dyDescent="0.3">
      <c r="A540" t="str">
        <f>_xlfn.XLOOKUP(branches[[#This Row],[Филиал]], tbl_Filialy[Филиал], tbl_Filialy[Город])</f>
        <v>Екатеринбург</v>
      </c>
      <c r="B540" s="1" t="s">
        <v>7</v>
      </c>
      <c r="C540" s="2">
        <v>45693</v>
      </c>
      <c r="D540" s="2" t="str">
        <f>CHOOSE(MONTH(branches[[#This Row],[Дата]]),"Январь","Февраль","Март","Апрель","Май","Июнь","Июль","Август","Сентябрь","Октябрь","Ноябрь","Декабрь")&amp;" "&amp;YEAR(branches[[#This Row],[Дата]])</f>
        <v>Февраль 2025</v>
      </c>
      <c r="E540" t="s">
        <v>22</v>
      </c>
      <c r="F540" t="s">
        <v>9</v>
      </c>
      <c r="G540">
        <v>3</v>
      </c>
      <c r="H540">
        <v>567</v>
      </c>
      <c r="I540" t="s">
        <v>19</v>
      </c>
      <c r="J540" t="str">
        <f>_xlfn.XLOOKUP(branches[[#This Row],[Филиал]], tbl_Filialy[Филиал], tbl_Filialy[Менеджер])</f>
        <v>Сергей Мельников</v>
      </c>
    </row>
    <row r="541" spans="1:10" x14ac:dyDescent="0.3">
      <c r="A541" t="str">
        <f>_xlfn.XLOOKUP(branches[[#This Row],[Филиал]], tbl_Filialy[Филиал], tbl_Filialy[Город])</f>
        <v>Екатеринбург</v>
      </c>
      <c r="B541" s="1" t="s">
        <v>7</v>
      </c>
      <c r="C541" s="2">
        <v>45754</v>
      </c>
      <c r="D541" s="2" t="str">
        <f>CHOOSE(MONTH(branches[[#This Row],[Дата]]),"Январь","Февраль","Март","Апрель","Май","Июнь","Июль","Август","Сентябрь","Октябрь","Ноябрь","Декабрь")&amp;" "&amp;YEAR(branches[[#This Row],[Дата]])</f>
        <v>Апрель 2025</v>
      </c>
      <c r="E541" t="s">
        <v>25</v>
      </c>
      <c r="F541" t="s">
        <v>12</v>
      </c>
      <c r="G541">
        <v>1</v>
      </c>
      <c r="H541">
        <v>234</v>
      </c>
      <c r="I541" t="s">
        <v>23</v>
      </c>
      <c r="J541" t="str">
        <f>_xlfn.XLOOKUP(branches[[#This Row],[Филиал]], tbl_Filialy[Филиал], tbl_Filialy[Менеджер])</f>
        <v>Сергей Мельников</v>
      </c>
    </row>
    <row r="542" spans="1:10" x14ac:dyDescent="0.3">
      <c r="A542" t="str">
        <f>_xlfn.XLOOKUP(branches[[#This Row],[Филиал]], tbl_Filialy[Филиал], tbl_Filialy[Город])</f>
        <v>Казань</v>
      </c>
      <c r="B542" s="1" t="s">
        <v>30</v>
      </c>
      <c r="C542" s="2">
        <v>45888</v>
      </c>
      <c r="D542" s="2" t="str">
        <f>CHOOSE(MONTH(branches[[#This Row],[Дата]]),"Январь","Февраль","Март","Апрель","Май","Июнь","Июль","Август","Сентябрь","Октябрь","Ноябрь","Декабрь")&amp;" "&amp;YEAR(branches[[#This Row],[Дата]])</f>
        <v>Август 2025</v>
      </c>
      <c r="E542" t="s">
        <v>28</v>
      </c>
      <c r="F542" t="s">
        <v>12</v>
      </c>
      <c r="G542">
        <v>1</v>
      </c>
      <c r="H542">
        <v>210</v>
      </c>
      <c r="I542" t="s">
        <v>23</v>
      </c>
      <c r="J542" t="str">
        <f>_xlfn.XLOOKUP(branches[[#This Row],[Филиал]], tbl_Filialy[Филиал], tbl_Filialy[Менеджер])</f>
        <v>Алия Гайнутдинова</v>
      </c>
    </row>
    <row r="543" spans="1:10" x14ac:dyDescent="0.3">
      <c r="A543" t="str">
        <f>_xlfn.XLOOKUP(branches[[#This Row],[Филиал]], tbl_Filialy[Филиал], tbl_Filialy[Город])</f>
        <v>Казань</v>
      </c>
      <c r="B543" s="1" t="s">
        <v>30</v>
      </c>
      <c r="C543" s="2">
        <v>45847</v>
      </c>
      <c r="D543" s="2" t="str">
        <f>CHOOSE(MONTH(branches[[#This Row],[Дата]]),"Январь","Февраль","Март","Апрель","Май","Июнь","Июль","Август","Сентябрь","Октябрь","Ноябрь","Декабрь")&amp;" "&amp;YEAR(branches[[#This Row],[Дата]])</f>
        <v>Июль 2025</v>
      </c>
      <c r="E543" t="s">
        <v>24</v>
      </c>
      <c r="F543" t="s">
        <v>17</v>
      </c>
      <c r="G543">
        <v>3</v>
      </c>
      <c r="H543">
        <v>1095</v>
      </c>
      <c r="I543" t="s">
        <v>19</v>
      </c>
      <c r="J543" t="str">
        <f>_xlfn.XLOOKUP(branches[[#This Row],[Филиал]], tbl_Filialy[Филиал], tbl_Filialy[Менеджер])</f>
        <v>Алия Гайнутдинова</v>
      </c>
    </row>
    <row r="544" spans="1:10" x14ac:dyDescent="0.3">
      <c r="A544" t="str">
        <f>_xlfn.XLOOKUP(branches[[#This Row],[Филиал]], tbl_Filialy[Филиал], tbl_Filialy[Город])</f>
        <v>Казань</v>
      </c>
      <c r="B544" s="1" t="s">
        <v>30</v>
      </c>
      <c r="C544" s="2">
        <v>45727</v>
      </c>
      <c r="D544" s="2" t="str">
        <f>CHOOSE(MONTH(branches[[#This Row],[Дата]]),"Январь","Февраль","Март","Апрель","Май","Июнь","Июль","Август","Сентябрь","Октябрь","Ноябрь","Декабрь")&amp;" "&amp;YEAR(branches[[#This Row],[Дата]])</f>
        <v>Март 2025</v>
      </c>
      <c r="E544" t="s">
        <v>28</v>
      </c>
      <c r="F544" t="s">
        <v>12</v>
      </c>
      <c r="G544">
        <v>1</v>
      </c>
      <c r="H544">
        <v>227</v>
      </c>
      <c r="I544" t="s">
        <v>13</v>
      </c>
      <c r="J544" t="str">
        <f>_xlfn.XLOOKUP(branches[[#This Row],[Филиал]], tbl_Filialy[Филиал], tbl_Filialy[Менеджер])</f>
        <v>Алия Гайнутдинова</v>
      </c>
    </row>
    <row r="545" spans="1:10" x14ac:dyDescent="0.3">
      <c r="A545" t="str">
        <f>_xlfn.XLOOKUP(branches[[#This Row],[Филиал]], tbl_Filialy[Филиал], tbl_Filialy[Город])</f>
        <v>Казань</v>
      </c>
      <c r="B545" s="1" t="s">
        <v>30</v>
      </c>
      <c r="C545" s="2">
        <v>45931</v>
      </c>
      <c r="D545" s="2" t="str">
        <f>CHOOSE(MONTH(branches[[#This Row],[Дата]]),"Январь","Февраль","Март","Апрель","Май","Июнь","Июль","Август","Сентябрь","Октябрь","Ноябрь","Декабрь")&amp;" "&amp;YEAR(branches[[#This Row],[Дата]])</f>
        <v>Октябрь 2025</v>
      </c>
      <c r="E545" t="s">
        <v>22</v>
      </c>
      <c r="F545" t="s">
        <v>9</v>
      </c>
      <c r="G545">
        <v>3</v>
      </c>
      <c r="H545">
        <v>561</v>
      </c>
      <c r="I545" t="s">
        <v>21</v>
      </c>
      <c r="J545" t="str">
        <f>_xlfn.XLOOKUP(branches[[#This Row],[Филиал]], tbl_Filialy[Филиал], tbl_Filialy[Менеджер])</f>
        <v>Алия Гайнутдинова</v>
      </c>
    </row>
    <row r="546" spans="1:10" x14ac:dyDescent="0.3">
      <c r="A546" t="str">
        <f>_xlfn.XLOOKUP(branches[[#This Row],[Филиал]], tbl_Filialy[Филиал], tbl_Filialy[Город])</f>
        <v>Казань</v>
      </c>
      <c r="B546" s="1" t="s">
        <v>30</v>
      </c>
      <c r="C546" s="2">
        <v>45999</v>
      </c>
      <c r="D546" s="2" t="str">
        <f>CHOOSE(MONTH(branches[[#This Row],[Дата]]),"Январь","Февраль","Март","Апрель","Май","Июнь","Июль","Август","Сентябрь","Октябрь","Ноябрь","Декабрь")&amp;" "&amp;YEAR(branches[[#This Row],[Дата]])</f>
        <v>Декабрь 2025</v>
      </c>
      <c r="E546" t="s">
        <v>27</v>
      </c>
      <c r="F546" t="s">
        <v>12</v>
      </c>
      <c r="G546">
        <v>2</v>
      </c>
      <c r="H546">
        <v>440</v>
      </c>
      <c r="I546" t="s">
        <v>23</v>
      </c>
      <c r="J546" t="str">
        <f>_xlfn.XLOOKUP(branches[[#This Row],[Филиал]], tbl_Filialy[Филиал], tbl_Filialy[Менеджер])</f>
        <v>Алия Гайнутдинова</v>
      </c>
    </row>
    <row r="547" spans="1:10" x14ac:dyDescent="0.3">
      <c r="A547" t="str">
        <f>_xlfn.XLOOKUP(branches[[#This Row],[Филиал]], tbl_Filialy[Филиал], tbl_Filialy[Город])</f>
        <v>Казань</v>
      </c>
      <c r="B547" s="1" t="s">
        <v>30</v>
      </c>
      <c r="C547" s="2">
        <v>45850</v>
      </c>
      <c r="D547" s="2" t="str">
        <f>CHOOSE(MONTH(branches[[#This Row],[Дата]]),"Январь","Февраль","Март","Апрель","Май","Июнь","Июль","Август","Сентябрь","Октябрь","Ноябрь","Декабрь")&amp;" "&amp;YEAR(branches[[#This Row],[Дата]])</f>
        <v>Июль 2025</v>
      </c>
      <c r="E547" t="s">
        <v>11</v>
      </c>
      <c r="F547" t="s">
        <v>12</v>
      </c>
      <c r="G547">
        <v>2</v>
      </c>
      <c r="H547">
        <v>328</v>
      </c>
      <c r="I547" t="s">
        <v>15</v>
      </c>
      <c r="J547" t="str">
        <f>_xlfn.XLOOKUP(branches[[#This Row],[Филиал]], tbl_Filialy[Филиал], tbl_Filialy[Менеджер])</f>
        <v>Алия Гайнутдинова</v>
      </c>
    </row>
    <row r="548" spans="1:10" x14ac:dyDescent="0.3">
      <c r="A548" t="str">
        <f>_xlfn.XLOOKUP(branches[[#This Row],[Филиал]], tbl_Filialy[Филиал], tbl_Filialy[Город])</f>
        <v>Казань</v>
      </c>
      <c r="B548" s="1" t="s">
        <v>30</v>
      </c>
      <c r="C548" s="2">
        <v>45674</v>
      </c>
      <c r="D548" s="2" t="str">
        <f>CHOOSE(MONTH(branches[[#This Row],[Дата]]),"Январь","Февраль","Март","Апрель","Май","Июнь","Июль","Август","Сентябрь","Октябрь","Ноябрь","Декабрь")&amp;" "&amp;YEAR(branches[[#This Row],[Дата]])</f>
        <v>Январь 2025</v>
      </c>
      <c r="E548" t="s">
        <v>26</v>
      </c>
      <c r="F548" t="s">
        <v>9</v>
      </c>
      <c r="G548">
        <v>1</v>
      </c>
      <c r="H548">
        <v>214</v>
      </c>
      <c r="I548" t="s">
        <v>15</v>
      </c>
      <c r="J548" t="str">
        <f>_xlfn.XLOOKUP(branches[[#This Row],[Филиал]], tbl_Filialy[Филиал], tbl_Filialy[Менеджер])</f>
        <v>Алия Гайнутдинова</v>
      </c>
    </row>
    <row r="549" spans="1:10" x14ac:dyDescent="0.3">
      <c r="A549" t="str">
        <f>_xlfn.XLOOKUP(branches[[#This Row],[Филиал]], tbl_Filialy[Филиал], tbl_Filialy[Город])</f>
        <v>Казань</v>
      </c>
      <c r="B549" s="1" t="s">
        <v>30</v>
      </c>
      <c r="C549" s="2">
        <v>46017</v>
      </c>
      <c r="D549" s="2" t="str">
        <f>CHOOSE(MONTH(branches[[#This Row],[Дата]]),"Январь","Февраль","Март","Апрель","Май","Июнь","Июль","Август","Сентябрь","Октябрь","Ноябрь","Декабрь")&amp;" "&amp;YEAR(branches[[#This Row],[Дата]])</f>
        <v>Декабрь 2025</v>
      </c>
      <c r="E549" t="s">
        <v>25</v>
      </c>
      <c r="F549" t="s">
        <v>12</v>
      </c>
      <c r="G549">
        <v>1</v>
      </c>
      <c r="H549">
        <v>232</v>
      </c>
      <c r="I549" t="s">
        <v>13</v>
      </c>
      <c r="J549" t="str">
        <f>_xlfn.XLOOKUP(branches[[#This Row],[Филиал]], tbl_Filialy[Филиал], tbl_Filialy[Менеджер])</f>
        <v>Алия Гайнутдинова</v>
      </c>
    </row>
    <row r="550" spans="1:10" x14ac:dyDescent="0.3">
      <c r="A550" t="str">
        <f>_xlfn.XLOOKUP(branches[[#This Row],[Филиал]], tbl_Filialy[Филиал], tbl_Filialy[Город])</f>
        <v>Казань</v>
      </c>
      <c r="B550" s="1" t="s">
        <v>30</v>
      </c>
      <c r="C550" s="2">
        <v>45725</v>
      </c>
      <c r="D550" s="2" t="str">
        <f>CHOOSE(MONTH(branches[[#This Row],[Дата]]),"Январь","Февраль","Март","Апрель","Май","Июнь","Июль","Август","Сентябрь","Октябрь","Ноябрь","Декабрь")&amp;" "&amp;YEAR(branches[[#This Row],[Дата]])</f>
        <v>Март 2025</v>
      </c>
      <c r="E550" t="s">
        <v>18</v>
      </c>
      <c r="F550" t="s">
        <v>12</v>
      </c>
      <c r="G550">
        <v>1</v>
      </c>
      <c r="H550">
        <v>160</v>
      </c>
      <c r="I550" t="s">
        <v>19</v>
      </c>
      <c r="J550" t="str">
        <f>_xlfn.XLOOKUP(branches[[#This Row],[Филиал]], tbl_Filialy[Филиал], tbl_Filialy[Менеджер])</f>
        <v>Алия Гайнутдинова</v>
      </c>
    </row>
    <row r="551" spans="1:10" x14ac:dyDescent="0.3">
      <c r="A551" t="str">
        <f>_xlfn.XLOOKUP(branches[[#This Row],[Филиал]], tbl_Filialy[Филиал], tbl_Filialy[Город])</f>
        <v>Казань</v>
      </c>
      <c r="B551" s="1" t="s">
        <v>30</v>
      </c>
      <c r="C551" s="2">
        <v>45814</v>
      </c>
      <c r="D551" s="2" t="str">
        <f>CHOOSE(MONTH(branches[[#This Row],[Дата]]),"Январь","Февраль","Март","Апрель","Май","Июнь","Июль","Август","Сентябрь","Октябрь","Ноябрь","Декабрь")&amp;" "&amp;YEAR(branches[[#This Row],[Дата]])</f>
        <v>Июнь 2025</v>
      </c>
      <c r="E551" t="s">
        <v>24</v>
      </c>
      <c r="F551" t="s">
        <v>17</v>
      </c>
      <c r="G551">
        <v>1</v>
      </c>
      <c r="H551">
        <v>371</v>
      </c>
      <c r="I551" t="s">
        <v>19</v>
      </c>
      <c r="J551" t="str">
        <f>_xlfn.XLOOKUP(branches[[#This Row],[Филиал]], tbl_Filialy[Филиал], tbl_Filialy[Менеджер])</f>
        <v>Алия Гайнутдинова</v>
      </c>
    </row>
    <row r="552" spans="1:10" x14ac:dyDescent="0.3">
      <c r="A552" t="str">
        <f>_xlfn.XLOOKUP(branches[[#This Row],[Филиал]], tbl_Filialy[Филиал], tbl_Filialy[Город])</f>
        <v>Казань</v>
      </c>
      <c r="B552" s="1" t="s">
        <v>30</v>
      </c>
      <c r="C552" s="2">
        <v>45889</v>
      </c>
      <c r="D552" s="2" t="str">
        <f>CHOOSE(MONTH(branches[[#This Row],[Дата]]),"Январь","Февраль","Март","Апрель","Май","Июнь","Июль","Август","Сентябрь","Октябрь","Ноябрь","Декабрь")&amp;" "&amp;YEAR(branches[[#This Row],[Дата]])</f>
        <v>Август 2025</v>
      </c>
      <c r="E552" t="s">
        <v>18</v>
      </c>
      <c r="F552" t="s">
        <v>12</v>
      </c>
      <c r="G552">
        <v>2</v>
      </c>
      <c r="H552">
        <v>284</v>
      </c>
      <c r="I552" t="s">
        <v>13</v>
      </c>
      <c r="J552" t="str">
        <f>_xlfn.XLOOKUP(branches[[#This Row],[Филиал]], tbl_Filialy[Филиал], tbl_Filialy[Менеджер])</f>
        <v>Алия Гайнутдинова</v>
      </c>
    </row>
    <row r="553" spans="1:10" x14ac:dyDescent="0.3">
      <c r="A553" t="str">
        <f>_xlfn.XLOOKUP(branches[[#This Row],[Филиал]], tbl_Filialy[Филиал], tbl_Filialy[Город])</f>
        <v>Казань</v>
      </c>
      <c r="B553" s="1" t="s">
        <v>30</v>
      </c>
      <c r="C553" s="2">
        <v>45789</v>
      </c>
      <c r="D553" s="2" t="str">
        <f>CHOOSE(MONTH(branches[[#This Row],[Дата]]),"Январь","Февраль","Март","Апрель","Май","Июнь","Июль","Август","Сентябрь","Октябрь","Ноябрь","Декабрь")&amp;" "&amp;YEAR(branches[[#This Row],[Дата]])</f>
        <v>Май 2025</v>
      </c>
      <c r="E553" t="s">
        <v>22</v>
      </c>
      <c r="F553" t="s">
        <v>9</v>
      </c>
      <c r="G553">
        <v>3</v>
      </c>
      <c r="H553">
        <v>504</v>
      </c>
      <c r="I553" t="s">
        <v>21</v>
      </c>
      <c r="J553" t="str">
        <f>_xlfn.XLOOKUP(branches[[#This Row],[Филиал]], tbl_Filialy[Филиал], tbl_Filialy[Менеджер])</f>
        <v>Алия Гайнутдинова</v>
      </c>
    </row>
    <row r="554" spans="1:10" x14ac:dyDescent="0.3">
      <c r="A554" t="str">
        <f>_xlfn.XLOOKUP(branches[[#This Row],[Филиал]], tbl_Filialy[Филиал], tbl_Filialy[Город])</f>
        <v>Казань</v>
      </c>
      <c r="B554" s="1" t="s">
        <v>30</v>
      </c>
      <c r="C554" s="2">
        <v>45830</v>
      </c>
      <c r="D554" s="2" t="str">
        <f>CHOOSE(MONTH(branches[[#This Row],[Дата]]),"Январь","Февраль","Март","Апрель","Май","Июнь","Июль","Август","Сентябрь","Октябрь","Ноябрь","Декабрь")&amp;" "&amp;YEAR(branches[[#This Row],[Дата]])</f>
        <v>Июнь 2025</v>
      </c>
      <c r="E554" t="s">
        <v>25</v>
      </c>
      <c r="F554" t="s">
        <v>12</v>
      </c>
      <c r="G554">
        <v>2</v>
      </c>
      <c r="H554">
        <v>456</v>
      </c>
      <c r="I554" t="s">
        <v>13</v>
      </c>
      <c r="J554" t="str">
        <f>_xlfn.XLOOKUP(branches[[#This Row],[Филиал]], tbl_Filialy[Филиал], tbl_Filialy[Менеджер])</f>
        <v>Алия Гайнутдинова</v>
      </c>
    </row>
    <row r="555" spans="1:10" x14ac:dyDescent="0.3">
      <c r="A555" t="str">
        <f>_xlfn.XLOOKUP(branches[[#This Row],[Филиал]], tbl_Filialy[Филиал], tbl_Filialy[Город])</f>
        <v>Казань</v>
      </c>
      <c r="B555" s="1" t="s">
        <v>30</v>
      </c>
      <c r="C555" s="2">
        <v>45766</v>
      </c>
      <c r="D555" s="2" t="str">
        <f>CHOOSE(MONTH(branches[[#This Row],[Дата]]),"Январь","Февраль","Март","Апрель","Май","Июнь","Июль","Август","Сентябрь","Октябрь","Ноябрь","Декабрь")&amp;" "&amp;YEAR(branches[[#This Row],[Дата]])</f>
        <v>Апрель 2025</v>
      </c>
      <c r="E555" t="s">
        <v>20</v>
      </c>
      <c r="F555" t="s">
        <v>12</v>
      </c>
      <c r="G555">
        <v>2</v>
      </c>
      <c r="H555">
        <v>546</v>
      </c>
      <c r="I555" t="s">
        <v>21</v>
      </c>
      <c r="J555" t="str">
        <f>_xlfn.XLOOKUP(branches[[#This Row],[Филиал]], tbl_Filialy[Филиал], tbl_Filialy[Менеджер])</f>
        <v>Алия Гайнутдинова</v>
      </c>
    </row>
    <row r="556" spans="1:10" x14ac:dyDescent="0.3">
      <c r="A556" t="str">
        <f>_xlfn.XLOOKUP(branches[[#This Row],[Филиал]], tbl_Filialy[Филиал], tbl_Filialy[Город])</f>
        <v>Казань</v>
      </c>
      <c r="B556" s="1" t="s">
        <v>30</v>
      </c>
      <c r="C556" s="2">
        <v>45778</v>
      </c>
      <c r="D556" s="2" t="str">
        <f>CHOOSE(MONTH(branches[[#This Row],[Дата]]),"Январь","Февраль","Март","Апрель","Май","Июнь","Июль","Август","Сентябрь","Октябрь","Ноябрь","Декабрь")&amp;" "&amp;YEAR(branches[[#This Row],[Дата]])</f>
        <v>Май 2025</v>
      </c>
      <c r="E556" t="s">
        <v>8</v>
      </c>
      <c r="F556" t="s">
        <v>9</v>
      </c>
      <c r="G556">
        <v>1</v>
      </c>
      <c r="H556">
        <v>227</v>
      </c>
      <c r="I556" t="s">
        <v>15</v>
      </c>
      <c r="J556" t="str">
        <f>_xlfn.XLOOKUP(branches[[#This Row],[Филиал]], tbl_Filialy[Филиал], tbl_Filialy[Менеджер])</f>
        <v>Алия Гайнутдинова</v>
      </c>
    </row>
    <row r="557" spans="1:10" x14ac:dyDescent="0.3">
      <c r="A557" t="str">
        <f>_xlfn.XLOOKUP(branches[[#This Row],[Филиал]], tbl_Filialy[Филиал], tbl_Filialy[Город])</f>
        <v>Казань</v>
      </c>
      <c r="B557" s="1" t="s">
        <v>30</v>
      </c>
      <c r="C557" s="2">
        <v>46019</v>
      </c>
      <c r="D557" s="2" t="str">
        <f>CHOOSE(MONTH(branches[[#This Row],[Дата]]),"Январь","Февраль","Март","Апрель","Май","Июнь","Июль","Август","Сентябрь","Октябрь","Ноябрь","Декабрь")&amp;" "&amp;YEAR(branches[[#This Row],[Дата]])</f>
        <v>Декабрь 2025</v>
      </c>
      <c r="E557" t="s">
        <v>16</v>
      </c>
      <c r="F557" t="s">
        <v>17</v>
      </c>
      <c r="G557">
        <v>2</v>
      </c>
      <c r="H557">
        <v>588</v>
      </c>
      <c r="I557" t="s">
        <v>10</v>
      </c>
      <c r="J557" t="str">
        <f>_xlfn.XLOOKUP(branches[[#This Row],[Филиал]], tbl_Filialy[Филиал], tbl_Filialy[Менеджер])</f>
        <v>Алия Гайнутдинова</v>
      </c>
    </row>
    <row r="558" spans="1:10" x14ac:dyDescent="0.3">
      <c r="A558" t="str">
        <f>_xlfn.XLOOKUP(branches[[#This Row],[Филиал]], tbl_Filialy[Филиал], tbl_Filialy[Город])</f>
        <v>Казань</v>
      </c>
      <c r="B558" s="1" t="s">
        <v>30</v>
      </c>
      <c r="C558" s="2">
        <v>45851</v>
      </c>
      <c r="D558" s="2" t="str">
        <f>CHOOSE(MONTH(branches[[#This Row],[Дата]]),"Январь","Февраль","Март","Апрель","Май","Июнь","Июль","Август","Сентябрь","Октябрь","Ноябрь","Декабрь")&amp;" "&amp;YEAR(branches[[#This Row],[Дата]])</f>
        <v>Июль 2025</v>
      </c>
      <c r="E558" t="s">
        <v>16</v>
      </c>
      <c r="F558" t="s">
        <v>17</v>
      </c>
      <c r="G558">
        <v>2</v>
      </c>
      <c r="H558">
        <v>620</v>
      </c>
      <c r="I558" t="s">
        <v>21</v>
      </c>
      <c r="J558" t="str">
        <f>_xlfn.XLOOKUP(branches[[#This Row],[Филиал]], tbl_Filialy[Филиал], tbl_Filialy[Менеджер])</f>
        <v>Алия Гайнутдинова</v>
      </c>
    </row>
    <row r="559" spans="1:10" x14ac:dyDescent="0.3">
      <c r="A559" t="str">
        <f>_xlfn.XLOOKUP(branches[[#This Row],[Филиал]], tbl_Filialy[Филиал], tbl_Filialy[Город])</f>
        <v>Казань</v>
      </c>
      <c r="B559" s="1" t="s">
        <v>30</v>
      </c>
      <c r="C559" s="2">
        <v>45949</v>
      </c>
      <c r="D559" s="2" t="str">
        <f>CHOOSE(MONTH(branches[[#This Row],[Дата]]),"Январь","Февраль","Март","Апрель","Май","Июнь","Июль","Август","Сентябрь","Октябрь","Ноябрь","Декабрь")&amp;" "&amp;YEAR(branches[[#This Row],[Дата]])</f>
        <v>Октябрь 2025</v>
      </c>
      <c r="E559" t="s">
        <v>25</v>
      </c>
      <c r="F559" t="s">
        <v>12</v>
      </c>
      <c r="G559">
        <v>2</v>
      </c>
      <c r="H559">
        <v>484</v>
      </c>
      <c r="I559" t="s">
        <v>19</v>
      </c>
      <c r="J559" t="str">
        <f>_xlfn.XLOOKUP(branches[[#This Row],[Филиал]], tbl_Filialy[Филиал], tbl_Filialy[Менеджер])</f>
        <v>Алия Гайнутдинова</v>
      </c>
    </row>
    <row r="560" spans="1:10" x14ac:dyDescent="0.3">
      <c r="A560" t="str">
        <f>_xlfn.XLOOKUP(branches[[#This Row],[Филиал]], tbl_Filialy[Филиал], tbl_Filialy[Город])</f>
        <v>Казань</v>
      </c>
      <c r="B560" s="1" t="s">
        <v>30</v>
      </c>
      <c r="C560" s="2">
        <v>45753</v>
      </c>
      <c r="D560" s="2" t="str">
        <f>CHOOSE(MONTH(branches[[#This Row],[Дата]]),"Январь","Февраль","Март","Апрель","Май","Июнь","Июль","Август","Сентябрь","Октябрь","Ноябрь","Декабрь")&amp;" "&amp;YEAR(branches[[#This Row],[Дата]])</f>
        <v>Апрель 2025</v>
      </c>
      <c r="E560" t="s">
        <v>22</v>
      </c>
      <c r="F560" t="s">
        <v>9</v>
      </c>
      <c r="G560">
        <v>1</v>
      </c>
      <c r="H560">
        <v>183</v>
      </c>
      <c r="I560" t="s">
        <v>21</v>
      </c>
      <c r="J560" t="str">
        <f>_xlfn.XLOOKUP(branches[[#This Row],[Филиал]], tbl_Filialy[Филиал], tbl_Filialy[Менеджер])</f>
        <v>Алия Гайнутдинова</v>
      </c>
    </row>
    <row r="561" spans="1:10" x14ac:dyDescent="0.3">
      <c r="A561" t="str">
        <f>_xlfn.XLOOKUP(branches[[#This Row],[Филиал]], tbl_Filialy[Филиал], tbl_Filialy[Город])</f>
        <v>Казань</v>
      </c>
      <c r="B561" s="1" t="s">
        <v>30</v>
      </c>
      <c r="C561" s="2">
        <v>45895</v>
      </c>
      <c r="D561" s="2" t="str">
        <f>CHOOSE(MONTH(branches[[#This Row],[Дата]]),"Январь","Февраль","Март","Апрель","Май","Июнь","Июль","Август","Сентябрь","Октябрь","Ноябрь","Декабрь")&amp;" "&amp;YEAR(branches[[#This Row],[Дата]])</f>
        <v>Август 2025</v>
      </c>
      <c r="E561" t="s">
        <v>16</v>
      </c>
      <c r="F561" t="s">
        <v>17</v>
      </c>
      <c r="G561">
        <v>3</v>
      </c>
      <c r="H561">
        <v>978</v>
      </c>
      <c r="I561" t="s">
        <v>13</v>
      </c>
      <c r="J561" t="str">
        <f>_xlfn.XLOOKUP(branches[[#This Row],[Филиал]], tbl_Filialy[Филиал], tbl_Filialy[Менеджер])</f>
        <v>Алия Гайнутдинова</v>
      </c>
    </row>
    <row r="562" spans="1:10" x14ac:dyDescent="0.3">
      <c r="A562" t="str">
        <f>_xlfn.XLOOKUP(branches[[#This Row],[Филиал]], tbl_Filialy[Филиал], tbl_Filialy[Город])</f>
        <v>Казань</v>
      </c>
      <c r="B562" s="1" t="s">
        <v>30</v>
      </c>
      <c r="C562" s="2">
        <v>45871</v>
      </c>
      <c r="D562" s="2" t="str">
        <f>CHOOSE(MONTH(branches[[#This Row],[Дата]]),"Январь","Февраль","Март","Апрель","Май","Июнь","Июль","Август","Сентябрь","Октябрь","Ноябрь","Декабрь")&amp;" "&amp;YEAR(branches[[#This Row],[Дата]])</f>
        <v>Август 2025</v>
      </c>
      <c r="E562" t="s">
        <v>28</v>
      </c>
      <c r="F562" t="s">
        <v>12</v>
      </c>
      <c r="G562">
        <v>1</v>
      </c>
      <c r="H562">
        <v>235</v>
      </c>
      <c r="I562" t="s">
        <v>23</v>
      </c>
      <c r="J562" t="str">
        <f>_xlfn.XLOOKUP(branches[[#This Row],[Филиал]], tbl_Filialy[Филиал], tbl_Filialy[Менеджер])</f>
        <v>Алия Гайнутдинова</v>
      </c>
    </row>
    <row r="563" spans="1:10" x14ac:dyDescent="0.3">
      <c r="A563" t="str">
        <f>_xlfn.XLOOKUP(branches[[#This Row],[Филиал]], tbl_Filialy[Филиал], tbl_Filialy[Город])</f>
        <v>Казань</v>
      </c>
      <c r="B563" s="1" t="s">
        <v>30</v>
      </c>
      <c r="C563" s="2">
        <v>45714</v>
      </c>
      <c r="D563" s="2" t="str">
        <f>CHOOSE(MONTH(branches[[#This Row],[Дата]]),"Январь","Февраль","Март","Апрель","Май","Июнь","Июль","Август","Сентябрь","Октябрь","Ноябрь","Декабрь")&amp;" "&amp;YEAR(branches[[#This Row],[Дата]])</f>
        <v>Февраль 2025</v>
      </c>
      <c r="E563" t="s">
        <v>16</v>
      </c>
      <c r="F563" t="s">
        <v>17</v>
      </c>
      <c r="G563">
        <v>2</v>
      </c>
      <c r="H563">
        <v>654</v>
      </c>
      <c r="I563" t="s">
        <v>21</v>
      </c>
      <c r="J563" t="str">
        <f>_xlfn.XLOOKUP(branches[[#This Row],[Филиал]], tbl_Filialy[Филиал], tbl_Filialy[Менеджер])</f>
        <v>Алия Гайнутдинова</v>
      </c>
    </row>
    <row r="564" spans="1:10" x14ac:dyDescent="0.3">
      <c r="A564" t="str">
        <f>_xlfn.XLOOKUP(branches[[#This Row],[Филиал]], tbl_Filialy[Филиал], tbl_Filialy[Город])</f>
        <v>Казань</v>
      </c>
      <c r="B564" s="1" t="s">
        <v>30</v>
      </c>
      <c r="C564" s="2">
        <v>45828</v>
      </c>
      <c r="D564" s="2" t="str">
        <f>CHOOSE(MONTH(branches[[#This Row],[Дата]]),"Январь","Февраль","Март","Апрель","Май","Июнь","Июль","Август","Сентябрь","Октябрь","Ноябрь","Декабрь")&amp;" "&amp;YEAR(branches[[#This Row],[Дата]])</f>
        <v>Июнь 2025</v>
      </c>
      <c r="E564" t="s">
        <v>11</v>
      </c>
      <c r="F564" t="s">
        <v>12</v>
      </c>
      <c r="G564">
        <v>1</v>
      </c>
      <c r="H564">
        <v>184</v>
      </c>
      <c r="I564" t="s">
        <v>23</v>
      </c>
      <c r="J564" t="str">
        <f>_xlfn.XLOOKUP(branches[[#This Row],[Филиал]], tbl_Filialy[Филиал], tbl_Filialy[Менеджер])</f>
        <v>Алия Гайнутдинова</v>
      </c>
    </row>
    <row r="565" spans="1:10" x14ac:dyDescent="0.3">
      <c r="A565" t="str">
        <f>_xlfn.XLOOKUP(branches[[#This Row],[Филиал]], tbl_Filialy[Филиал], tbl_Filialy[Город])</f>
        <v>Казань</v>
      </c>
      <c r="B565" s="1" t="s">
        <v>30</v>
      </c>
      <c r="C565" s="2">
        <v>45743</v>
      </c>
      <c r="D565" s="2" t="str">
        <f>CHOOSE(MONTH(branches[[#This Row],[Дата]]),"Январь","Февраль","Март","Апрель","Май","Июнь","Июль","Август","Сентябрь","Октябрь","Ноябрь","Декабрь")&amp;" "&amp;YEAR(branches[[#This Row],[Дата]])</f>
        <v>Март 2025</v>
      </c>
      <c r="E565" t="s">
        <v>8</v>
      </c>
      <c r="F565" t="s">
        <v>9</v>
      </c>
      <c r="G565">
        <v>1</v>
      </c>
      <c r="H565">
        <v>225</v>
      </c>
      <c r="I565" t="s">
        <v>15</v>
      </c>
      <c r="J565" t="str">
        <f>_xlfn.XLOOKUP(branches[[#This Row],[Филиал]], tbl_Filialy[Филиал], tbl_Filialy[Менеджер])</f>
        <v>Алия Гайнутдинова</v>
      </c>
    </row>
    <row r="566" spans="1:10" x14ac:dyDescent="0.3">
      <c r="A566" t="str">
        <f>_xlfn.XLOOKUP(branches[[#This Row],[Филиал]], tbl_Filialy[Филиал], tbl_Filialy[Город])</f>
        <v>Казань</v>
      </c>
      <c r="B566" s="1" t="s">
        <v>30</v>
      </c>
      <c r="C566" s="2">
        <v>45798</v>
      </c>
      <c r="D566" s="2" t="str">
        <f>CHOOSE(MONTH(branches[[#This Row],[Дата]]),"Январь","Февраль","Март","Апрель","Май","Июнь","Июль","Август","Сентябрь","Октябрь","Ноябрь","Декабрь")&amp;" "&amp;YEAR(branches[[#This Row],[Дата]])</f>
        <v>Май 2025</v>
      </c>
      <c r="E566" t="s">
        <v>11</v>
      </c>
      <c r="F566" t="s">
        <v>12</v>
      </c>
      <c r="G566">
        <v>1</v>
      </c>
      <c r="H566">
        <v>164</v>
      </c>
      <c r="I566" t="s">
        <v>13</v>
      </c>
      <c r="J566" t="str">
        <f>_xlfn.XLOOKUP(branches[[#This Row],[Филиал]], tbl_Filialy[Филиал], tbl_Filialy[Менеджер])</f>
        <v>Алия Гайнутдинова</v>
      </c>
    </row>
    <row r="567" spans="1:10" x14ac:dyDescent="0.3">
      <c r="A567" t="str">
        <f>_xlfn.XLOOKUP(branches[[#This Row],[Филиал]], tbl_Filialy[Филиал], tbl_Filialy[Город])</f>
        <v>Казань</v>
      </c>
      <c r="B567" s="1" t="s">
        <v>30</v>
      </c>
      <c r="C567" s="2">
        <v>45798</v>
      </c>
      <c r="D567" s="2" t="str">
        <f>CHOOSE(MONTH(branches[[#This Row],[Дата]]),"Январь","Февраль","Март","Апрель","Май","Июнь","Июль","Август","Сентябрь","Октябрь","Ноябрь","Декабрь")&amp;" "&amp;YEAR(branches[[#This Row],[Дата]])</f>
        <v>Май 2025</v>
      </c>
      <c r="E567" t="s">
        <v>26</v>
      </c>
      <c r="F567" t="s">
        <v>9</v>
      </c>
      <c r="G567">
        <v>2</v>
      </c>
      <c r="H567">
        <v>402</v>
      </c>
      <c r="I567" t="s">
        <v>13</v>
      </c>
      <c r="J567" t="str">
        <f>_xlfn.XLOOKUP(branches[[#This Row],[Филиал]], tbl_Filialy[Филиал], tbl_Filialy[Менеджер])</f>
        <v>Алия Гайнутдинова</v>
      </c>
    </row>
    <row r="568" spans="1:10" x14ac:dyDescent="0.3">
      <c r="A568" t="str">
        <f>_xlfn.XLOOKUP(branches[[#This Row],[Филиал]], tbl_Filialy[Филиал], tbl_Filialy[Город])</f>
        <v>Казань</v>
      </c>
      <c r="B568" s="1" t="s">
        <v>30</v>
      </c>
      <c r="C568" s="2">
        <v>46012</v>
      </c>
      <c r="D568" s="2" t="str">
        <f>CHOOSE(MONTH(branches[[#This Row],[Дата]]),"Январь","Февраль","Март","Апрель","Май","Июнь","Июль","Август","Сентябрь","Октябрь","Ноябрь","Декабрь")&amp;" "&amp;YEAR(branches[[#This Row],[Дата]])</f>
        <v>Декабрь 2025</v>
      </c>
      <c r="E568" t="s">
        <v>18</v>
      </c>
      <c r="F568" t="s">
        <v>12</v>
      </c>
      <c r="G568">
        <v>1</v>
      </c>
      <c r="H568">
        <v>159</v>
      </c>
      <c r="I568" t="s">
        <v>10</v>
      </c>
      <c r="J568" t="str">
        <f>_xlfn.XLOOKUP(branches[[#This Row],[Филиал]], tbl_Filialy[Филиал], tbl_Filialy[Менеджер])</f>
        <v>Алия Гайнутдинова</v>
      </c>
    </row>
    <row r="569" spans="1:10" x14ac:dyDescent="0.3">
      <c r="A569" t="str">
        <f>_xlfn.XLOOKUP(branches[[#This Row],[Филиал]], tbl_Filialy[Филиал], tbl_Filialy[Город])</f>
        <v>Казань</v>
      </c>
      <c r="B569" s="1" t="s">
        <v>30</v>
      </c>
      <c r="C569" s="2">
        <v>45948</v>
      </c>
      <c r="D569" s="2" t="str">
        <f>CHOOSE(MONTH(branches[[#This Row],[Дата]]),"Январь","Февраль","Март","Апрель","Май","Июнь","Июль","Август","Сентябрь","Октябрь","Ноябрь","Декабрь")&amp;" "&amp;YEAR(branches[[#This Row],[Дата]])</f>
        <v>Октябрь 2025</v>
      </c>
      <c r="E569" t="s">
        <v>14</v>
      </c>
      <c r="F569" t="s">
        <v>12</v>
      </c>
      <c r="G569">
        <v>1</v>
      </c>
      <c r="H569">
        <v>243</v>
      </c>
      <c r="I569" t="s">
        <v>23</v>
      </c>
      <c r="J569" t="str">
        <f>_xlfn.XLOOKUP(branches[[#This Row],[Филиал]], tbl_Filialy[Филиал], tbl_Filialy[Менеджер])</f>
        <v>Алия Гайнутдинова</v>
      </c>
    </row>
    <row r="570" spans="1:10" x14ac:dyDescent="0.3">
      <c r="A570" t="str">
        <f>_xlfn.XLOOKUP(branches[[#This Row],[Филиал]], tbl_Filialy[Филиал], tbl_Filialy[Город])</f>
        <v>Казань</v>
      </c>
      <c r="B570" s="1" t="s">
        <v>30</v>
      </c>
      <c r="C570" s="2">
        <v>45707</v>
      </c>
      <c r="D570" s="2" t="str">
        <f>CHOOSE(MONTH(branches[[#This Row],[Дата]]),"Январь","Февраль","Март","Апрель","Май","Июнь","Июль","Август","Сентябрь","Октябрь","Ноябрь","Декабрь")&amp;" "&amp;YEAR(branches[[#This Row],[Дата]])</f>
        <v>Февраль 2025</v>
      </c>
      <c r="E570" t="s">
        <v>27</v>
      </c>
      <c r="F570" t="s">
        <v>12</v>
      </c>
      <c r="G570">
        <v>3</v>
      </c>
      <c r="H570">
        <v>630</v>
      </c>
      <c r="I570" t="s">
        <v>21</v>
      </c>
      <c r="J570" t="str">
        <f>_xlfn.XLOOKUP(branches[[#This Row],[Филиал]], tbl_Filialy[Филиал], tbl_Filialy[Менеджер])</f>
        <v>Алия Гайнутдинова</v>
      </c>
    </row>
    <row r="571" spans="1:10" x14ac:dyDescent="0.3">
      <c r="A571" t="str">
        <f>_xlfn.XLOOKUP(branches[[#This Row],[Филиал]], tbl_Filialy[Филиал], tbl_Filialy[Город])</f>
        <v>Казань</v>
      </c>
      <c r="B571" s="1" t="s">
        <v>30</v>
      </c>
      <c r="C571" s="2">
        <v>45965</v>
      </c>
      <c r="D571" s="2" t="str">
        <f>CHOOSE(MONTH(branches[[#This Row],[Дата]]),"Январь","Февраль","Март","Апрель","Май","Июнь","Июль","Август","Сентябрь","Октябрь","Ноябрь","Декабрь")&amp;" "&amp;YEAR(branches[[#This Row],[Дата]])</f>
        <v>Ноябрь 2025</v>
      </c>
      <c r="E571" t="s">
        <v>8</v>
      </c>
      <c r="F571" t="s">
        <v>9</v>
      </c>
      <c r="G571">
        <v>1</v>
      </c>
      <c r="H571">
        <v>278</v>
      </c>
      <c r="I571" t="s">
        <v>19</v>
      </c>
      <c r="J571" t="str">
        <f>_xlfn.XLOOKUP(branches[[#This Row],[Филиал]], tbl_Filialy[Филиал], tbl_Filialy[Менеджер])</f>
        <v>Алия Гайнутдинова</v>
      </c>
    </row>
    <row r="572" spans="1:10" x14ac:dyDescent="0.3">
      <c r="A572" t="str">
        <f>_xlfn.XLOOKUP(branches[[#This Row],[Филиал]], tbl_Filialy[Филиал], tbl_Filialy[Город])</f>
        <v>Казань</v>
      </c>
      <c r="B572" s="1" t="s">
        <v>30</v>
      </c>
      <c r="C572" s="2">
        <v>45789</v>
      </c>
      <c r="D572" s="2" t="str">
        <f>CHOOSE(MONTH(branches[[#This Row],[Дата]]),"Январь","Февраль","Март","Апрель","Май","Июнь","Июль","Август","Сентябрь","Октябрь","Ноябрь","Декабрь")&amp;" "&amp;YEAR(branches[[#This Row],[Дата]])</f>
        <v>Май 2025</v>
      </c>
      <c r="E572" t="s">
        <v>28</v>
      </c>
      <c r="F572" t="s">
        <v>12</v>
      </c>
      <c r="G572">
        <v>2</v>
      </c>
      <c r="H572">
        <v>474</v>
      </c>
      <c r="I572" t="s">
        <v>21</v>
      </c>
      <c r="J572" t="str">
        <f>_xlfn.XLOOKUP(branches[[#This Row],[Филиал]], tbl_Filialy[Филиал], tbl_Filialy[Менеджер])</f>
        <v>Алия Гайнутдинова</v>
      </c>
    </row>
    <row r="573" spans="1:10" x14ac:dyDescent="0.3">
      <c r="A573" t="str">
        <f>_xlfn.XLOOKUP(branches[[#This Row],[Филиал]], tbl_Filialy[Филиал], tbl_Filialy[Город])</f>
        <v>Казань</v>
      </c>
      <c r="B573" s="1" t="s">
        <v>30</v>
      </c>
      <c r="C573" s="2">
        <v>45782</v>
      </c>
      <c r="D573" s="2" t="str">
        <f>CHOOSE(MONTH(branches[[#This Row],[Дата]]),"Январь","Февраль","Март","Апрель","Май","Июнь","Июль","Август","Сентябрь","Октябрь","Ноябрь","Декабрь")&amp;" "&amp;YEAR(branches[[#This Row],[Дата]])</f>
        <v>Май 2025</v>
      </c>
      <c r="E573" t="s">
        <v>16</v>
      </c>
      <c r="F573" t="s">
        <v>17</v>
      </c>
      <c r="G573">
        <v>1</v>
      </c>
      <c r="H573">
        <v>330</v>
      </c>
      <c r="I573" t="s">
        <v>13</v>
      </c>
      <c r="J573" t="str">
        <f>_xlfn.XLOOKUP(branches[[#This Row],[Филиал]], tbl_Filialy[Филиал], tbl_Filialy[Менеджер])</f>
        <v>Алия Гайнутдинова</v>
      </c>
    </row>
    <row r="574" spans="1:10" x14ac:dyDescent="0.3">
      <c r="A574" t="str">
        <f>_xlfn.XLOOKUP(branches[[#This Row],[Филиал]], tbl_Filialy[Филиал], tbl_Filialy[Город])</f>
        <v>Казань</v>
      </c>
      <c r="B574" s="1" t="s">
        <v>30</v>
      </c>
      <c r="C574" s="2">
        <v>45890</v>
      </c>
      <c r="D574" s="2" t="str">
        <f>CHOOSE(MONTH(branches[[#This Row],[Дата]]),"Январь","Февраль","Март","Апрель","Май","Июнь","Июль","Август","Сентябрь","Октябрь","Ноябрь","Декабрь")&amp;" "&amp;YEAR(branches[[#This Row],[Дата]])</f>
        <v>Август 2025</v>
      </c>
      <c r="E574" t="s">
        <v>18</v>
      </c>
      <c r="F574" t="s">
        <v>12</v>
      </c>
      <c r="G574">
        <v>1</v>
      </c>
      <c r="H574">
        <v>148</v>
      </c>
      <c r="I574" t="s">
        <v>10</v>
      </c>
      <c r="J574" t="str">
        <f>_xlfn.XLOOKUP(branches[[#This Row],[Филиал]], tbl_Filialy[Филиал], tbl_Filialy[Менеджер])</f>
        <v>Алия Гайнутдинова</v>
      </c>
    </row>
    <row r="575" spans="1:10" x14ac:dyDescent="0.3">
      <c r="A575" t="str">
        <f>_xlfn.XLOOKUP(branches[[#This Row],[Филиал]], tbl_Filialy[Филиал], tbl_Filialy[Город])</f>
        <v>Казань</v>
      </c>
      <c r="B575" s="1" t="s">
        <v>30</v>
      </c>
      <c r="C575" s="2">
        <v>45729</v>
      </c>
      <c r="D575" s="2" t="str">
        <f>CHOOSE(MONTH(branches[[#This Row],[Дата]]),"Январь","Февраль","Март","Апрель","Май","Июнь","Июль","Август","Сентябрь","Октябрь","Ноябрь","Декабрь")&amp;" "&amp;YEAR(branches[[#This Row],[Дата]])</f>
        <v>Март 2025</v>
      </c>
      <c r="E575" t="s">
        <v>24</v>
      </c>
      <c r="F575" t="s">
        <v>17</v>
      </c>
      <c r="G575">
        <v>2</v>
      </c>
      <c r="H575">
        <v>720</v>
      </c>
      <c r="I575" t="s">
        <v>21</v>
      </c>
      <c r="J575" t="str">
        <f>_xlfn.XLOOKUP(branches[[#This Row],[Филиал]], tbl_Filialy[Филиал], tbl_Filialy[Менеджер])</f>
        <v>Алия Гайнутдинова</v>
      </c>
    </row>
    <row r="576" spans="1:10" x14ac:dyDescent="0.3">
      <c r="A576" t="str">
        <f>_xlfn.XLOOKUP(branches[[#This Row],[Филиал]], tbl_Filialy[Филиал], tbl_Filialy[Город])</f>
        <v>Казань</v>
      </c>
      <c r="B576" s="1" t="s">
        <v>30</v>
      </c>
      <c r="C576" s="2">
        <v>45967</v>
      </c>
      <c r="D576" s="2" t="str">
        <f>CHOOSE(MONTH(branches[[#This Row],[Дата]]),"Январь","Февраль","Март","Апрель","Май","Июнь","Июль","Август","Сентябрь","Октябрь","Ноябрь","Декабрь")&amp;" "&amp;YEAR(branches[[#This Row],[Дата]])</f>
        <v>Ноябрь 2025</v>
      </c>
      <c r="E576" t="s">
        <v>28</v>
      </c>
      <c r="F576" t="s">
        <v>12</v>
      </c>
      <c r="G576">
        <v>1</v>
      </c>
      <c r="H576">
        <v>234</v>
      </c>
      <c r="I576" t="s">
        <v>10</v>
      </c>
      <c r="J576" t="str">
        <f>_xlfn.XLOOKUP(branches[[#This Row],[Филиал]], tbl_Filialy[Филиал], tbl_Filialy[Менеджер])</f>
        <v>Алия Гайнутдинова</v>
      </c>
    </row>
    <row r="577" spans="1:10" x14ac:dyDescent="0.3">
      <c r="A577" t="str">
        <f>_xlfn.XLOOKUP(branches[[#This Row],[Филиал]], tbl_Filialy[Филиал], tbl_Filialy[Город])</f>
        <v>Казань</v>
      </c>
      <c r="B577" s="1" t="s">
        <v>30</v>
      </c>
      <c r="C577" s="2">
        <v>45925</v>
      </c>
      <c r="D577" s="2" t="str">
        <f>CHOOSE(MONTH(branches[[#This Row],[Дата]]),"Январь","Февраль","Март","Апрель","Май","Июнь","Июль","Август","Сентябрь","Октябрь","Ноябрь","Декабрь")&amp;" "&amp;YEAR(branches[[#This Row],[Дата]])</f>
        <v>Сентябрь 2025</v>
      </c>
      <c r="E577" t="s">
        <v>20</v>
      </c>
      <c r="F577" t="s">
        <v>12</v>
      </c>
      <c r="G577">
        <v>3</v>
      </c>
      <c r="H577">
        <v>921</v>
      </c>
      <c r="I577" t="s">
        <v>21</v>
      </c>
      <c r="J577" t="str">
        <f>_xlfn.XLOOKUP(branches[[#This Row],[Филиал]], tbl_Filialy[Филиал], tbl_Filialy[Менеджер])</f>
        <v>Алия Гайнутдинова</v>
      </c>
    </row>
    <row r="578" spans="1:10" x14ac:dyDescent="0.3">
      <c r="A578" t="str">
        <f>_xlfn.XLOOKUP(branches[[#This Row],[Филиал]], tbl_Filialy[Филиал], tbl_Filialy[Город])</f>
        <v>Казань</v>
      </c>
      <c r="B578" s="1" t="s">
        <v>30</v>
      </c>
      <c r="C578" s="2">
        <v>45903</v>
      </c>
      <c r="D578" s="2" t="str">
        <f>CHOOSE(MONTH(branches[[#This Row],[Дата]]),"Январь","Февраль","Март","Апрель","Май","Июнь","Июль","Август","Сентябрь","Октябрь","Ноябрь","Декабрь")&amp;" "&amp;YEAR(branches[[#This Row],[Дата]])</f>
        <v>Сентябрь 2025</v>
      </c>
      <c r="E578" t="s">
        <v>20</v>
      </c>
      <c r="F578" t="s">
        <v>12</v>
      </c>
      <c r="G578">
        <v>1</v>
      </c>
      <c r="H578">
        <v>248</v>
      </c>
      <c r="I578" t="s">
        <v>15</v>
      </c>
      <c r="J578" t="str">
        <f>_xlfn.XLOOKUP(branches[[#This Row],[Филиал]], tbl_Filialy[Филиал], tbl_Filialy[Менеджер])</f>
        <v>Алия Гайнутдинова</v>
      </c>
    </row>
    <row r="579" spans="1:10" x14ac:dyDescent="0.3">
      <c r="A579" t="str">
        <f>_xlfn.XLOOKUP(branches[[#This Row],[Филиал]], tbl_Filialy[Филиал], tbl_Filialy[Город])</f>
        <v>Казань</v>
      </c>
      <c r="B579" s="1" t="s">
        <v>30</v>
      </c>
      <c r="C579" s="2">
        <v>45691</v>
      </c>
      <c r="D579" s="2" t="str">
        <f>CHOOSE(MONTH(branches[[#This Row],[Дата]]),"Январь","Февраль","Март","Апрель","Май","Июнь","Июль","Август","Сентябрь","Октябрь","Ноябрь","Декабрь")&amp;" "&amp;YEAR(branches[[#This Row],[Дата]])</f>
        <v>Февраль 2025</v>
      </c>
      <c r="E579" t="s">
        <v>28</v>
      </c>
      <c r="F579" t="s">
        <v>12</v>
      </c>
      <c r="G579">
        <v>1</v>
      </c>
      <c r="H579">
        <v>232</v>
      </c>
      <c r="I579" t="s">
        <v>10</v>
      </c>
      <c r="J579" t="str">
        <f>_xlfn.XLOOKUP(branches[[#This Row],[Филиал]], tbl_Filialy[Филиал], tbl_Filialy[Менеджер])</f>
        <v>Алия Гайнутдинова</v>
      </c>
    </row>
    <row r="580" spans="1:10" x14ac:dyDescent="0.3">
      <c r="A580" t="str">
        <f>_xlfn.XLOOKUP(branches[[#This Row],[Филиал]], tbl_Filialy[Филиал], tbl_Filialy[Город])</f>
        <v>Казань</v>
      </c>
      <c r="B580" s="1" t="s">
        <v>30</v>
      </c>
      <c r="C580" s="2">
        <v>45724</v>
      </c>
      <c r="D580" s="2" t="str">
        <f>CHOOSE(MONTH(branches[[#This Row],[Дата]]),"Январь","Февраль","Март","Апрель","Май","Июнь","Июль","Август","Сентябрь","Октябрь","Ноябрь","Декабрь")&amp;" "&amp;YEAR(branches[[#This Row],[Дата]])</f>
        <v>Март 2025</v>
      </c>
      <c r="E580" t="s">
        <v>8</v>
      </c>
      <c r="F580" t="s">
        <v>9</v>
      </c>
      <c r="G580">
        <v>1</v>
      </c>
      <c r="H580">
        <v>248</v>
      </c>
      <c r="I580" t="s">
        <v>19</v>
      </c>
      <c r="J580" t="str">
        <f>_xlfn.XLOOKUP(branches[[#This Row],[Филиал]], tbl_Filialy[Филиал], tbl_Filialy[Менеджер])</f>
        <v>Алия Гайнутдинова</v>
      </c>
    </row>
    <row r="581" spans="1:10" x14ac:dyDescent="0.3">
      <c r="A581" t="str">
        <f>_xlfn.XLOOKUP(branches[[#This Row],[Филиал]], tbl_Filialy[Филиал], tbl_Filialy[Город])</f>
        <v>Казань</v>
      </c>
      <c r="B581" s="1" t="s">
        <v>30</v>
      </c>
      <c r="C581" s="2">
        <v>45999</v>
      </c>
      <c r="D581" s="2" t="str">
        <f>CHOOSE(MONTH(branches[[#This Row],[Дата]]),"Январь","Февраль","Март","Апрель","Май","Июнь","Июль","Август","Сентябрь","Октябрь","Ноябрь","Декабрь")&amp;" "&amp;YEAR(branches[[#This Row],[Дата]])</f>
        <v>Декабрь 2025</v>
      </c>
      <c r="E581" t="s">
        <v>14</v>
      </c>
      <c r="F581" t="s">
        <v>12</v>
      </c>
      <c r="G581">
        <v>2</v>
      </c>
      <c r="H581">
        <v>568</v>
      </c>
      <c r="I581" t="s">
        <v>19</v>
      </c>
      <c r="J581" t="str">
        <f>_xlfn.XLOOKUP(branches[[#This Row],[Филиал]], tbl_Filialy[Филиал], tbl_Filialy[Менеджер])</f>
        <v>Алия Гайнутдинова</v>
      </c>
    </row>
    <row r="582" spans="1:10" x14ac:dyDescent="0.3">
      <c r="A582" t="str">
        <f>_xlfn.XLOOKUP(branches[[#This Row],[Филиал]], tbl_Filialy[Филиал], tbl_Filialy[Город])</f>
        <v>Казань</v>
      </c>
      <c r="B582" s="1" t="s">
        <v>30</v>
      </c>
      <c r="C582" s="2">
        <v>45803</v>
      </c>
      <c r="D582" s="2" t="str">
        <f>CHOOSE(MONTH(branches[[#This Row],[Дата]]),"Январь","Февраль","Март","Апрель","Май","Июнь","Июль","Август","Сентябрь","Октябрь","Ноябрь","Декабрь")&amp;" "&amp;YEAR(branches[[#This Row],[Дата]])</f>
        <v>Май 2025</v>
      </c>
      <c r="E582" t="s">
        <v>26</v>
      </c>
      <c r="F582" t="s">
        <v>9</v>
      </c>
      <c r="G582">
        <v>2</v>
      </c>
      <c r="H582">
        <v>398</v>
      </c>
      <c r="I582" t="s">
        <v>10</v>
      </c>
      <c r="J582" t="str">
        <f>_xlfn.XLOOKUP(branches[[#This Row],[Филиал]], tbl_Filialy[Филиал], tbl_Filialy[Менеджер])</f>
        <v>Алия Гайнутдинова</v>
      </c>
    </row>
    <row r="583" spans="1:10" x14ac:dyDescent="0.3">
      <c r="A583" t="str">
        <f>_xlfn.XLOOKUP(branches[[#This Row],[Филиал]], tbl_Filialy[Филиал], tbl_Filialy[Город])</f>
        <v>Казань</v>
      </c>
      <c r="B583" s="1" t="s">
        <v>30</v>
      </c>
      <c r="C583" s="2">
        <v>45720</v>
      </c>
      <c r="D583" s="2" t="str">
        <f>CHOOSE(MONTH(branches[[#This Row],[Дата]]),"Январь","Февраль","Март","Апрель","Май","Июнь","Июль","Август","Сентябрь","Октябрь","Ноябрь","Декабрь")&amp;" "&amp;YEAR(branches[[#This Row],[Дата]])</f>
        <v>Март 2025</v>
      </c>
      <c r="E583" t="s">
        <v>14</v>
      </c>
      <c r="F583" t="s">
        <v>12</v>
      </c>
      <c r="G583">
        <v>1</v>
      </c>
      <c r="H583">
        <v>242</v>
      </c>
      <c r="I583" t="s">
        <v>21</v>
      </c>
      <c r="J583" t="str">
        <f>_xlfn.XLOOKUP(branches[[#This Row],[Филиал]], tbl_Filialy[Филиал], tbl_Filialy[Менеджер])</f>
        <v>Алия Гайнутдинова</v>
      </c>
    </row>
    <row r="584" spans="1:10" x14ac:dyDescent="0.3">
      <c r="A584" t="str">
        <f>_xlfn.XLOOKUP(branches[[#This Row],[Филиал]], tbl_Filialy[Филиал], tbl_Filialy[Город])</f>
        <v>Казань</v>
      </c>
      <c r="B584" s="1" t="s">
        <v>30</v>
      </c>
      <c r="C584" s="2">
        <v>46002</v>
      </c>
      <c r="D584" s="2" t="str">
        <f>CHOOSE(MONTH(branches[[#This Row],[Дата]]),"Январь","Февраль","Март","Апрель","Май","Июнь","Июль","Август","Сентябрь","Октябрь","Ноябрь","Декабрь")&amp;" "&amp;YEAR(branches[[#This Row],[Дата]])</f>
        <v>Декабрь 2025</v>
      </c>
      <c r="E584" t="s">
        <v>22</v>
      </c>
      <c r="F584" t="s">
        <v>9</v>
      </c>
      <c r="G584">
        <v>1</v>
      </c>
      <c r="H584">
        <v>198</v>
      </c>
      <c r="I584" t="s">
        <v>10</v>
      </c>
      <c r="J584" t="str">
        <f>_xlfn.XLOOKUP(branches[[#This Row],[Филиал]], tbl_Filialy[Филиал], tbl_Filialy[Менеджер])</f>
        <v>Алия Гайнутдинова</v>
      </c>
    </row>
    <row r="585" spans="1:10" x14ac:dyDescent="0.3">
      <c r="A585" t="str">
        <f>_xlfn.XLOOKUP(branches[[#This Row],[Филиал]], tbl_Filialy[Филиал], tbl_Filialy[Город])</f>
        <v>Казань</v>
      </c>
      <c r="B585" s="1" t="s">
        <v>30</v>
      </c>
      <c r="C585" s="2">
        <v>45700</v>
      </c>
      <c r="D585" s="2" t="str">
        <f>CHOOSE(MONTH(branches[[#This Row],[Дата]]),"Январь","Февраль","Март","Апрель","Май","Июнь","Июль","Август","Сентябрь","Октябрь","Ноябрь","Декабрь")&amp;" "&amp;YEAR(branches[[#This Row],[Дата]])</f>
        <v>Февраль 2025</v>
      </c>
      <c r="E585" t="s">
        <v>25</v>
      </c>
      <c r="F585" t="s">
        <v>12</v>
      </c>
      <c r="G585">
        <v>2</v>
      </c>
      <c r="H585">
        <v>462</v>
      </c>
      <c r="I585" t="s">
        <v>23</v>
      </c>
      <c r="J585" t="str">
        <f>_xlfn.XLOOKUP(branches[[#This Row],[Филиал]], tbl_Filialy[Филиал], tbl_Filialy[Менеджер])</f>
        <v>Алия Гайнутдинова</v>
      </c>
    </row>
    <row r="586" spans="1:10" x14ac:dyDescent="0.3">
      <c r="A586" t="str">
        <f>_xlfn.XLOOKUP(branches[[#This Row],[Филиал]], tbl_Filialy[Филиал], tbl_Filialy[Город])</f>
        <v>Казань</v>
      </c>
      <c r="B586" s="1" t="s">
        <v>30</v>
      </c>
      <c r="C586" s="2">
        <v>45820</v>
      </c>
      <c r="D586" s="2" t="str">
        <f>CHOOSE(MONTH(branches[[#This Row],[Дата]]),"Январь","Февраль","Март","Апрель","Май","Июнь","Июль","Август","Сентябрь","Октябрь","Ноябрь","Декабрь")&amp;" "&amp;YEAR(branches[[#This Row],[Дата]])</f>
        <v>Июнь 2025</v>
      </c>
      <c r="E586" t="s">
        <v>24</v>
      </c>
      <c r="F586" t="s">
        <v>17</v>
      </c>
      <c r="G586">
        <v>1</v>
      </c>
      <c r="H586">
        <v>343</v>
      </c>
      <c r="I586" t="s">
        <v>21</v>
      </c>
      <c r="J586" t="str">
        <f>_xlfn.XLOOKUP(branches[[#This Row],[Филиал]], tbl_Filialy[Филиал], tbl_Filialy[Менеджер])</f>
        <v>Алия Гайнутдинова</v>
      </c>
    </row>
    <row r="587" spans="1:10" x14ac:dyDescent="0.3">
      <c r="A587" t="str">
        <f>_xlfn.XLOOKUP(branches[[#This Row],[Филиал]], tbl_Filialy[Филиал], tbl_Filialy[Город])</f>
        <v>Казань</v>
      </c>
      <c r="B587" s="1" t="s">
        <v>30</v>
      </c>
      <c r="C587" s="2">
        <v>45973</v>
      </c>
      <c r="D587" s="2" t="str">
        <f>CHOOSE(MONTH(branches[[#This Row],[Дата]]),"Январь","Февраль","Март","Апрель","Май","Июнь","Июль","Август","Сентябрь","Октябрь","Ноябрь","Декабрь")&amp;" "&amp;YEAR(branches[[#This Row],[Дата]])</f>
        <v>Ноябрь 2025</v>
      </c>
      <c r="E587" t="s">
        <v>8</v>
      </c>
      <c r="F587" t="s">
        <v>9</v>
      </c>
      <c r="G587">
        <v>1</v>
      </c>
      <c r="H587">
        <v>227</v>
      </c>
      <c r="I587" t="s">
        <v>10</v>
      </c>
      <c r="J587" t="str">
        <f>_xlfn.XLOOKUP(branches[[#This Row],[Филиал]], tbl_Filialy[Филиал], tbl_Filialy[Менеджер])</f>
        <v>Алия Гайнутдинова</v>
      </c>
    </row>
    <row r="588" spans="1:10" x14ac:dyDescent="0.3">
      <c r="A588" t="str">
        <f>_xlfn.XLOOKUP(branches[[#This Row],[Филиал]], tbl_Filialy[Филиал], tbl_Filialy[Город])</f>
        <v>Казань</v>
      </c>
      <c r="B588" s="1" t="s">
        <v>30</v>
      </c>
      <c r="C588" s="2">
        <v>45712</v>
      </c>
      <c r="D588" s="2" t="str">
        <f>CHOOSE(MONTH(branches[[#This Row],[Дата]]),"Январь","Февраль","Март","Апрель","Май","Июнь","Июль","Август","Сентябрь","Октябрь","Ноябрь","Декабрь")&amp;" "&amp;YEAR(branches[[#This Row],[Дата]])</f>
        <v>Февраль 2025</v>
      </c>
      <c r="E588" t="s">
        <v>24</v>
      </c>
      <c r="F588" t="s">
        <v>17</v>
      </c>
      <c r="G588">
        <v>1</v>
      </c>
      <c r="H588">
        <v>353</v>
      </c>
      <c r="I588" t="s">
        <v>13</v>
      </c>
      <c r="J588" t="str">
        <f>_xlfn.XLOOKUP(branches[[#This Row],[Филиал]], tbl_Filialy[Филиал], tbl_Filialy[Менеджер])</f>
        <v>Алия Гайнутдинова</v>
      </c>
    </row>
    <row r="589" spans="1:10" x14ac:dyDescent="0.3">
      <c r="A589" t="str">
        <f>_xlfn.XLOOKUP(branches[[#This Row],[Филиал]], tbl_Filialy[Филиал], tbl_Filialy[Город])</f>
        <v>Казань</v>
      </c>
      <c r="B589" s="1" t="s">
        <v>30</v>
      </c>
      <c r="C589" s="2">
        <v>45666</v>
      </c>
      <c r="D589" s="2" t="str">
        <f>CHOOSE(MONTH(branches[[#This Row],[Дата]]),"Январь","Февраль","Март","Апрель","Май","Июнь","Июль","Август","Сентябрь","Октябрь","Ноябрь","Декабрь")&amp;" "&amp;YEAR(branches[[#This Row],[Дата]])</f>
        <v>Январь 2025</v>
      </c>
      <c r="E589" t="s">
        <v>22</v>
      </c>
      <c r="F589" t="s">
        <v>9</v>
      </c>
      <c r="G589">
        <v>3</v>
      </c>
      <c r="H589">
        <v>501</v>
      </c>
      <c r="I589" t="s">
        <v>21</v>
      </c>
      <c r="J589" t="str">
        <f>_xlfn.XLOOKUP(branches[[#This Row],[Филиал]], tbl_Filialy[Филиал], tbl_Filialy[Менеджер])</f>
        <v>Алия Гайнутдинова</v>
      </c>
    </row>
    <row r="590" spans="1:10" x14ac:dyDescent="0.3">
      <c r="A590" t="str">
        <f>_xlfn.XLOOKUP(branches[[#This Row],[Филиал]], tbl_Filialy[Филиал], tbl_Filialy[Город])</f>
        <v>Казань</v>
      </c>
      <c r="B590" s="1" t="s">
        <v>30</v>
      </c>
      <c r="C590" s="2">
        <v>45681</v>
      </c>
      <c r="D590" s="2" t="str">
        <f>CHOOSE(MONTH(branches[[#This Row],[Дата]]),"Январь","Февраль","Март","Апрель","Май","Июнь","Июль","Август","Сентябрь","Октябрь","Ноябрь","Декабрь")&amp;" "&amp;YEAR(branches[[#This Row],[Дата]])</f>
        <v>Январь 2025</v>
      </c>
      <c r="E590" t="s">
        <v>18</v>
      </c>
      <c r="F590" t="s">
        <v>12</v>
      </c>
      <c r="G590">
        <v>1</v>
      </c>
      <c r="H590">
        <v>150</v>
      </c>
      <c r="I590" t="s">
        <v>19</v>
      </c>
      <c r="J590" t="str">
        <f>_xlfn.XLOOKUP(branches[[#This Row],[Филиал]], tbl_Filialy[Филиал], tbl_Filialy[Менеджер])</f>
        <v>Алия Гайнутдинова</v>
      </c>
    </row>
    <row r="591" spans="1:10" x14ac:dyDescent="0.3">
      <c r="A591" t="str">
        <f>_xlfn.XLOOKUP(branches[[#This Row],[Филиал]], tbl_Filialy[Филиал], tbl_Filialy[Город])</f>
        <v>Казань</v>
      </c>
      <c r="B591" s="1" t="s">
        <v>30</v>
      </c>
      <c r="C591" s="2">
        <v>45823</v>
      </c>
      <c r="D591" s="2" t="str">
        <f>CHOOSE(MONTH(branches[[#This Row],[Дата]]),"Январь","Февраль","Март","Апрель","Май","Июнь","Июль","Август","Сентябрь","Октябрь","Ноябрь","Декабрь")&amp;" "&amp;YEAR(branches[[#This Row],[Дата]])</f>
        <v>Июнь 2025</v>
      </c>
      <c r="E591" t="s">
        <v>20</v>
      </c>
      <c r="F591" t="s">
        <v>12</v>
      </c>
      <c r="G591">
        <v>3</v>
      </c>
      <c r="H591">
        <v>804</v>
      </c>
      <c r="I591" t="s">
        <v>13</v>
      </c>
      <c r="J591" t="str">
        <f>_xlfn.XLOOKUP(branches[[#This Row],[Филиал]], tbl_Filialy[Филиал], tbl_Filialy[Менеджер])</f>
        <v>Алия Гайнутдинова</v>
      </c>
    </row>
    <row r="592" spans="1:10" x14ac:dyDescent="0.3">
      <c r="A592" t="str">
        <f>_xlfn.XLOOKUP(branches[[#This Row],[Филиал]], tbl_Filialy[Филиал], tbl_Filialy[Город])</f>
        <v>Казань</v>
      </c>
      <c r="B592" s="1" t="s">
        <v>30</v>
      </c>
      <c r="C592" s="2">
        <v>45821</v>
      </c>
      <c r="D592" s="2" t="str">
        <f>CHOOSE(MONTH(branches[[#This Row],[Дата]]),"Январь","Февраль","Март","Апрель","Май","Июнь","Июль","Август","Сентябрь","Октябрь","Ноябрь","Декабрь")&amp;" "&amp;YEAR(branches[[#This Row],[Дата]])</f>
        <v>Июнь 2025</v>
      </c>
      <c r="E592" t="s">
        <v>14</v>
      </c>
      <c r="F592" t="s">
        <v>12</v>
      </c>
      <c r="G592">
        <v>2</v>
      </c>
      <c r="H592">
        <v>534</v>
      </c>
      <c r="I592" t="s">
        <v>19</v>
      </c>
      <c r="J592" t="str">
        <f>_xlfn.XLOOKUP(branches[[#This Row],[Филиал]], tbl_Filialy[Филиал], tbl_Filialy[Менеджер])</f>
        <v>Алия Гайнутдинова</v>
      </c>
    </row>
    <row r="593" spans="1:10" x14ac:dyDescent="0.3">
      <c r="A593" t="str">
        <f>_xlfn.XLOOKUP(branches[[#This Row],[Филиал]], tbl_Filialy[Филиал], tbl_Filialy[Город])</f>
        <v>Казань</v>
      </c>
      <c r="B593" s="1" t="s">
        <v>30</v>
      </c>
      <c r="C593" s="2">
        <v>45734</v>
      </c>
      <c r="D593" s="2" t="str">
        <f>CHOOSE(MONTH(branches[[#This Row],[Дата]]),"Январь","Февраль","Март","Апрель","Май","Июнь","Июль","Август","Сентябрь","Октябрь","Ноябрь","Декабрь")&amp;" "&amp;YEAR(branches[[#This Row],[Дата]])</f>
        <v>Март 2025</v>
      </c>
      <c r="E593" t="s">
        <v>16</v>
      </c>
      <c r="F593" t="s">
        <v>17</v>
      </c>
      <c r="G593">
        <v>1</v>
      </c>
      <c r="H593">
        <v>302</v>
      </c>
      <c r="I593" t="s">
        <v>23</v>
      </c>
      <c r="J593" t="str">
        <f>_xlfn.XLOOKUP(branches[[#This Row],[Филиал]], tbl_Filialy[Филиал], tbl_Filialy[Менеджер])</f>
        <v>Алия Гайнутдинова</v>
      </c>
    </row>
    <row r="594" spans="1:10" x14ac:dyDescent="0.3">
      <c r="A594" t="str">
        <f>_xlfn.XLOOKUP(branches[[#This Row],[Филиал]], tbl_Filialy[Филиал], tbl_Filialy[Город])</f>
        <v>Казань</v>
      </c>
      <c r="B594" s="1" t="s">
        <v>30</v>
      </c>
      <c r="C594" s="2">
        <v>45741</v>
      </c>
      <c r="D594" s="2" t="str">
        <f>CHOOSE(MONTH(branches[[#This Row],[Дата]]),"Январь","Февраль","Март","Апрель","Май","Июнь","Июль","Август","Сентябрь","Октябрь","Ноябрь","Декабрь")&amp;" "&amp;YEAR(branches[[#This Row],[Дата]])</f>
        <v>Март 2025</v>
      </c>
      <c r="E594" t="s">
        <v>25</v>
      </c>
      <c r="F594" t="s">
        <v>12</v>
      </c>
      <c r="G594">
        <v>3</v>
      </c>
      <c r="H594">
        <v>735</v>
      </c>
      <c r="I594" t="s">
        <v>15</v>
      </c>
      <c r="J594" t="str">
        <f>_xlfn.XLOOKUP(branches[[#This Row],[Филиал]], tbl_Filialy[Филиал], tbl_Filialy[Менеджер])</f>
        <v>Алия Гайнутдинова</v>
      </c>
    </row>
    <row r="595" spans="1:10" x14ac:dyDescent="0.3">
      <c r="A595" t="str">
        <f>_xlfn.XLOOKUP(branches[[#This Row],[Филиал]], tbl_Filialy[Филиал], tbl_Filialy[Город])</f>
        <v>Казань</v>
      </c>
      <c r="B595" s="1" t="s">
        <v>30</v>
      </c>
      <c r="C595" s="2">
        <v>45882</v>
      </c>
      <c r="D595" s="2" t="str">
        <f>CHOOSE(MONTH(branches[[#This Row],[Дата]]),"Январь","Февраль","Март","Апрель","Май","Июнь","Июль","Август","Сентябрь","Октябрь","Ноябрь","Декабрь")&amp;" "&amp;YEAR(branches[[#This Row],[Дата]])</f>
        <v>Август 2025</v>
      </c>
      <c r="E595" t="s">
        <v>11</v>
      </c>
      <c r="F595" t="s">
        <v>12</v>
      </c>
      <c r="G595">
        <v>1</v>
      </c>
      <c r="H595">
        <v>189</v>
      </c>
      <c r="I595" t="s">
        <v>13</v>
      </c>
      <c r="J595" t="str">
        <f>_xlfn.XLOOKUP(branches[[#This Row],[Филиал]], tbl_Filialy[Филиал], tbl_Filialy[Менеджер])</f>
        <v>Алия Гайнутдинова</v>
      </c>
    </row>
    <row r="596" spans="1:10" x14ac:dyDescent="0.3">
      <c r="A596" t="str">
        <f>_xlfn.XLOOKUP(branches[[#This Row],[Филиал]], tbl_Filialy[Филиал], tbl_Filialy[Город])</f>
        <v>Казань</v>
      </c>
      <c r="B596" s="1" t="s">
        <v>30</v>
      </c>
      <c r="C596" s="2">
        <v>45762</v>
      </c>
      <c r="D596" s="2" t="str">
        <f>CHOOSE(MONTH(branches[[#This Row],[Дата]]),"Январь","Февраль","Март","Апрель","Май","Июнь","Июль","Август","Сентябрь","Октябрь","Ноябрь","Декабрь")&amp;" "&amp;YEAR(branches[[#This Row],[Дата]])</f>
        <v>Апрель 2025</v>
      </c>
      <c r="E596" t="s">
        <v>11</v>
      </c>
      <c r="F596" t="s">
        <v>12</v>
      </c>
      <c r="G596">
        <v>1</v>
      </c>
      <c r="H596">
        <v>163</v>
      </c>
      <c r="I596" t="s">
        <v>21</v>
      </c>
      <c r="J596" t="str">
        <f>_xlfn.XLOOKUP(branches[[#This Row],[Филиал]], tbl_Filialy[Филиал], tbl_Filialy[Менеджер])</f>
        <v>Алия Гайнутдинова</v>
      </c>
    </row>
    <row r="597" spans="1:10" x14ac:dyDescent="0.3">
      <c r="A597" t="str">
        <f>_xlfn.XLOOKUP(branches[[#This Row],[Филиал]], tbl_Filialy[Филиал], tbl_Filialy[Город])</f>
        <v>Казань</v>
      </c>
      <c r="B597" s="1" t="s">
        <v>30</v>
      </c>
      <c r="C597" s="2">
        <v>45774</v>
      </c>
      <c r="D597" s="2" t="str">
        <f>CHOOSE(MONTH(branches[[#This Row],[Дата]]),"Январь","Февраль","Март","Апрель","Май","Июнь","Июль","Август","Сентябрь","Октябрь","Ноябрь","Декабрь")&amp;" "&amp;YEAR(branches[[#This Row],[Дата]])</f>
        <v>Апрель 2025</v>
      </c>
      <c r="E597" t="s">
        <v>22</v>
      </c>
      <c r="F597" t="s">
        <v>9</v>
      </c>
      <c r="G597">
        <v>2</v>
      </c>
      <c r="H597">
        <v>386</v>
      </c>
      <c r="I597" t="s">
        <v>23</v>
      </c>
      <c r="J597" t="str">
        <f>_xlfn.XLOOKUP(branches[[#This Row],[Филиал]], tbl_Filialy[Филиал], tbl_Filialy[Менеджер])</f>
        <v>Алия Гайнутдинова</v>
      </c>
    </row>
    <row r="598" spans="1:10" x14ac:dyDescent="0.3">
      <c r="A598" t="str">
        <f>_xlfn.XLOOKUP(branches[[#This Row],[Филиал]], tbl_Filialy[Филиал], tbl_Filialy[Город])</f>
        <v>Казань</v>
      </c>
      <c r="B598" s="1" t="s">
        <v>30</v>
      </c>
      <c r="C598" s="2">
        <v>45956</v>
      </c>
      <c r="D598" s="2" t="str">
        <f>CHOOSE(MONTH(branches[[#This Row],[Дата]]),"Январь","Февраль","Март","Апрель","Май","Июнь","Июль","Август","Сентябрь","Октябрь","Ноябрь","Декабрь")&amp;" "&amp;YEAR(branches[[#This Row],[Дата]])</f>
        <v>Октябрь 2025</v>
      </c>
      <c r="E598" t="s">
        <v>16</v>
      </c>
      <c r="F598" t="s">
        <v>17</v>
      </c>
      <c r="G598">
        <v>3</v>
      </c>
      <c r="H598">
        <v>978</v>
      </c>
      <c r="I598" t="s">
        <v>15</v>
      </c>
      <c r="J598" t="str">
        <f>_xlfn.XLOOKUP(branches[[#This Row],[Филиал]], tbl_Filialy[Филиал], tbl_Filialy[Менеджер])</f>
        <v>Алия Гайнутдинова</v>
      </c>
    </row>
    <row r="599" spans="1:10" x14ac:dyDescent="0.3">
      <c r="A599" t="str">
        <f>_xlfn.XLOOKUP(branches[[#This Row],[Филиал]], tbl_Filialy[Филиал], tbl_Filialy[Город])</f>
        <v>Казань</v>
      </c>
      <c r="B599" s="1" t="s">
        <v>30</v>
      </c>
      <c r="C599" s="2">
        <v>45700</v>
      </c>
      <c r="D599" s="2" t="str">
        <f>CHOOSE(MONTH(branches[[#This Row],[Дата]]),"Январь","Февраль","Март","Апрель","Май","Июнь","Июль","Август","Сентябрь","Октябрь","Ноябрь","Декабрь")&amp;" "&amp;YEAR(branches[[#This Row],[Дата]])</f>
        <v>Февраль 2025</v>
      </c>
      <c r="E599" t="s">
        <v>26</v>
      </c>
      <c r="F599" t="s">
        <v>9</v>
      </c>
      <c r="G599">
        <v>2</v>
      </c>
      <c r="H599">
        <v>460</v>
      </c>
      <c r="I599" t="s">
        <v>23</v>
      </c>
      <c r="J599" t="str">
        <f>_xlfn.XLOOKUP(branches[[#This Row],[Филиал]], tbl_Filialy[Филиал], tbl_Filialy[Менеджер])</f>
        <v>Алия Гайнутдинова</v>
      </c>
    </row>
    <row r="600" spans="1:10" x14ac:dyDescent="0.3">
      <c r="A600" t="str">
        <f>_xlfn.XLOOKUP(branches[[#This Row],[Филиал]], tbl_Filialy[Филиал], tbl_Filialy[Город])</f>
        <v>Казань</v>
      </c>
      <c r="B600" s="1" t="s">
        <v>30</v>
      </c>
      <c r="C600" s="2">
        <v>45660</v>
      </c>
      <c r="D600" s="2" t="str">
        <f>CHOOSE(MONTH(branches[[#This Row],[Дата]]),"Январь","Февраль","Март","Апрель","Май","Июнь","Июль","Август","Сентябрь","Октябрь","Ноябрь","Декабрь")&amp;" "&amp;YEAR(branches[[#This Row],[Дата]])</f>
        <v>Январь 2025</v>
      </c>
      <c r="E600" t="s">
        <v>28</v>
      </c>
      <c r="F600" t="s">
        <v>12</v>
      </c>
      <c r="G600">
        <v>2</v>
      </c>
      <c r="H600">
        <v>406</v>
      </c>
      <c r="I600" t="s">
        <v>15</v>
      </c>
      <c r="J600" t="str">
        <f>_xlfn.XLOOKUP(branches[[#This Row],[Филиал]], tbl_Filialy[Филиал], tbl_Filialy[Менеджер])</f>
        <v>Алия Гайнутдинова</v>
      </c>
    </row>
    <row r="601" spans="1:10" x14ac:dyDescent="0.3">
      <c r="A601" t="str">
        <f>_xlfn.XLOOKUP(branches[[#This Row],[Филиал]], tbl_Filialy[Филиал], tbl_Filialy[Город])</f>
        <v>Казань</v>
      </c>
      <c r="B601" s="1" t="s">
        <v>30</v>
      </c>
      <c r="C601" s="2">
        <v>45896</v>
      </c>
      <c r="D601" s="2" t="str">
        <f>CHOOSE(MONTH(branches[[#This Row],[Дата]]),"Январь","Февраль","Март","Апрель","Май","Июнь","Июль","Август","Сентябрь","Октябрь","Ноябрь","Декабрь")&amp;" "&amp;YEAR(branches[[#This Row],[Дата]])</f>
        <v>Август 2025</v>
      </c>
      <c r="E601" t="s">
        <v>18</v>
      </c>
      <c r="F601" t="s">
        <v>12</v>
      </c>
      <c r="G601">
        <v>2</v>
      </c>
      <c r="H601">
        <v>266</v>
      </c>
      <c r="I601" t="s">
        <v>10</v>
      </c>
      <c r="J601" t="str">
        <f>_xlfn.XLOOKUP(branches[[#This Row],[Филиал]], tbl_Filialy[Филиал], tbl_Filialy[Менеджер])</f>
        <v>Алия Гайнутдинова</v>
      </c>
    </row>
    <row r="602" spans="1:10" x14ac:dyDescent="0.3">
      <c r="A602" t="str">
        <f>_xlfn.XLOOKUP(branches[[#This Row],[Филиал]], tbl_Filialy[Филиал], tbl_Filialy[Город])</f>
        <v>Казань</v>
      </c>
      <c r="B602" s="1" t="s">
        <v>30</v>
      </c>
      <c r="C602" s="2">
        <v>45697</v>
      </c>
      <c r="D602" s="2" t="str">
        <f>CHOOSE(MONTH(branches[[#This Row],[Дата]]),"Январь","Февраль","Март","Апрель","Май","Июнь","Июль","Август","Сентябрь","Октябрь","Ноябрь","Декабрь")&amp;" "&amp;YEAR(branches[[#This Row],[Дата]])</f>
        <v>Февраль 2025</v>
      </c>
      <c r="E602" t="s">
        <v>28</v>
      </c>
      <c r="F602" t="s">
        <v>12</v>
      </c>
      <c r="G602">
        <v>3</v>
      </c>
      <c r="H602">
        <v>633</v>
      </c>
      <c r="I602" t="s">
        <v>10</v>
      </c>
      <c r="J602" t="str">
        <f>_xlfn.XLOOKUP(branches[[#This Row],[Филиал]], tbl_Filialy[Филиал], tbl_Filialy[Менеджер])</f>
        <v>Алия Гайнутдинова</v>
      </c>
    </row>
    <row r="603" spans="1:10" x14ac:dyDescent="0.3">
      <c r="A603" t="str">
        <f>_xlfn.XLOOKUP(branches[[#This Row],[Филиал]], tbl_Filialy[Филиал], tbl_Filialy[Город])</f>
        <v>Казань</v>
      </c>
      <c r="B603" s="1" t="s">
        <v>30</v>
      </c>
      <c r="C603" s="2">
        <v>45865</v>
      </c>
      <c r="D603" s="2" t="str">
        <f>CHOOSE(MONTH(branches[[#This Row],[Дата]]),"Январь","Февраль","Март","Апрель","Май","Июнь","Июль","Август","Сентябрь","Октябрь","Ноябрь","Декабрь")&amp;" "&amp;YEAR(branches[[#This Row],[Дата]])</f>
        <v>Июль 2025</v>
      </c>
      <c r="E603" t="s">
        <v>22</v>
      </c>
      <c r="F603" t="s">
        <v>9</v>
      </c>
      <c r="G603">
        <v>3</v>
      </c>
      <c r="H603">
        <v>492</v>
      </c>
      <c r="I603" t="s">
        <v>19</v>
      </c>
      <c r="J603" t="str">
        <f>_xlfn.XLOOKUP(branches[[#This Row],[Филиал]], tbl_Filialy[Филиал], tbl_Filialy[Менеджер])</f>
        <v>Алия Гайнутдинова</v>
      </c>
    </row>
    <row r="604" spans="1:10" x14ac:dyDescent="0.3">
      <c r="A604" t="str">
        <f>_xlfn.XLOOKUP(branches[[#This Row],[Филиал]], tbl_Filialy[Филиал], tbl_Filialy[Город])</f>
        <v>Казань</v>
      </c>
      <c r="B604" s="1" t="s">
        <v>30</v>
      </c>
      <c r="C604" s="2">
        <v>45925</v>
      </c>
      <c r="D604" s="2" t="str">
        <f>CHOOSE(MONTH(branches[[#This Row],[Дата]]),"Январь","Февраль","Март","Апрель","Май","Июнь","Июль","Август","Сентябрь","Октябрь","Ноябрь","Декабрь")&amp;" "&amp;YEAR(branches[[#This Row],[Дата]])</f>
        <v>Сентябрь 2025</v>
      </c>
      <c r="E604" t="s">
        <v>20</v>
      </c>
      <c r="F604" t="s">
        <v>12</v>
      </c>
      <c r="G604">
        <v>2</v>
      </c>
      <c r="H604">
        <v>606</v>
      </c>
      <c r="I604" t="s">
        <v>13</v>
      </c>
      <c r="J604" t="str">
        <f>_xlfn.XLOOKUP(branches[[#This Row],[Филиал]], tbl_Filialy[Филиал], tbl_Filialy[Менеджер])</f>
        <v>Алия Гайнутдинова</v>
      </c>
    </row>
    <row r="605" spans="1:10" x14ac:dyDescent="0.3">
      <c r="A605" t="str">
        <f>_xlfn.XLOOKUP(branches[[#This Row],[Филиал]], tbl_Filialy[Филиал], tbl_Filialy[Город])</f>
        <v>Казань</v>
      </c>
      <c r="B605" s="1" t="s">
        <v>30</v>
      </c>
      <c r="C605" s="2">
        <v>45833</v>
      </c>
      <c r="D605" s="2" t="str">
        <f>CHOOSE(MONTH(branches[[#This Row],[Дата]]),"Январь","Февраль","Март","Апрель","Май","Июнь","Июль","Август","Сентябрь","Октябрь","Ноябрь","Декабрь")&amp;" "&amp;YEAR(branches[[#This Row],[Дата]])</f>
        <v>Июнь 2025</v>
      </c>
      <c r="E605" t="s">
        <v>24</v>
      </c>
      <c r="F605" t="s">
        <v>17</v>
      </c>
      <c r="G605">
        <v>2</v>
      </c>
      <c r="H605">
        <v>740</v>
      </c>
      <c r="I605" t="s">
        <v>13</v>
      </c>
      <c r="J605" t="str">
        <f>_xlfn.XLOOKUP(branches[[#This Row],[Филиал]], tbl_Filialy[Филиал], tbl_Filialy[Менеджер])</f>
        <v>Алия Гайнутдинова</v>
      </c>
    </row>
    <row r="606" spans="1:10" x14ac:dyDescent="0.3">
      <c r="A606" t="str">
        <f>_xlfn.XLOOKUP(branches[[#This Row],[Филиал]], tbl_Filialy[Филиал], tbl_Filialy[Город])</f>
        <v>Казань</v>
      </c>
      <c r="B606" s="1" t="s">
        <v>30</v>
      </c>
      <c r="C606" s="2">
        <v>45963</v>
      </c>
      <c r="D606" s="2" t="str">
        <f>CHOOSE(MONTH(branches[[#This Row],[Дата]]),"Январь","Февраль","Март","Апрель","Май","Июнь","Июль","Август","Сентябрь","Октябрь","Ноябрь","Декабрь")&amp;" "&amp;YEAR(branches[[#This Row],[Дата]])</f>
        <v>Ноябрь 2025</v>
      </c>
      <c r="E606" t="s">
        <v>11</v>
      </c>
      <c r="F606" t="s">
        <v>12</v>
      </c>
      <c r="G606">
        <v>1</v>
      </c>
      <c r="H606">
        <v>190</v>
      </c>
      <c r="I606" t="s">
        <v>10</v>
      </c>
      <c r="J606" t="str">
        <f>_xlfn.XLOOKUP(branches[[#This Row],[Филиал]], tbl_Filialy[Филиал], tbl_Filialy[Менеджер])</f>
        <v>Алия Гайнутдинова</v>
      </c>
    </row>
    <row r="607" spans="1:10" x14ac:dyDescent="0.3">
      <c r="A607" t="str">
        <f>_xlfn.XLOOKUP(branches[[#This Row],[Филиал]], tbl_Filialy[Филиал], tbl_Filialy[Город])</f>
        <v>Казань</v>
      </c>
      <c r="B607" s="1" t="s">
        <v>30</v>
      </c>
      <c r="C607" s="2">
        <v>45852</v>
      </c>
      <c r="D607" s="2" t="str">
        <f>CHOOSE(MONTH(branches[[#This Row],[Дата]]),"Январь","Февраль","Март","Апрель","Май","Июнь","Июль","Август","Сентябрь","Октябрь","Ноябрь","Декабрь")&amp;" "&amp;YEAR(branches[[#This Row],[Дата]])</f>
        <v>Июль 2025</v>
      </c>
      <c r="E607" t="s">
        <v>22</v>
      </c>
      <c r="F607" t="s">
        <v>9</v>
      </c>
      <c r="G607">
        <v>2</v>
      </c>
      <c r="H607">
        <v>374</v>
      </c>
      <c r="I607" t="s">
        <v>13</v>
      </c>
      <c r="J607" t="str">
        <f>_xlfn.XLOOKUP(branches[[#This Row],[Филиал]], tbl_Filialy[Филиал], tbl_Filialy[Менеджер])</f>
        <v>Алия Гайнутдинова</v>
      </c>
    </row>
    <row r="608" spans="1:10" x14ac:dyDescent="0.3">
      <c r="A608" t="str">
        <f>_xlfn.XLOOKUP(branches[[#This Row],[Филиал]], tbl_Filialy[Филиал], tbl_Filialy[Город])</f>
        <v>Казань</v>
      </c>
      <c r="B608" s="1" t="s">
        <v>30</v>
      </c>
      <c r="C608" s="2">
        <v>45995</v>
      </c>
      <c r="D608" s="2" t="str">
        <f>CHOOSE(MONTH(branches[[#This Row],[Дата]]),"Январь","Февраль","Март","Апрель","Май","Июнь","Июль","Август","Сентябрь","Октябрь","Ноябрь","Декабрь")&amp;" "&amp;YEAR(branches[[#This Row],[Дата]])</f>
        <v>Декабрь 2025</v>
      </c>
      <c r="E608" t="s">
        <v>28</v>
      </c>
      <c r="F608" t="s">
        <v>12</v>
      </c>
      <c r="G608">
        <v>3</v>
      </c>
      <c r="H608">
        <v>720</v>
      </c>
      <c r="I608" t="s">
        <v>23</v>
      </c>
      <c r="J608" t="str">
        <f>_xlfn.XLOOKUP(branches[[#This Row],[Филиал]], tbl_Filialy[Филиал], tbl_Filialy[Менеджер])</f>
        <v>Алия Гайнутдинова</v>
      </c>
    </row>
    <row r="609" spans="1:10" x14ac:dyDescent="0.3">
      <c r="A609" t="str">
        <f>_xlfn.XLOOKUP(branches[[#This Row],[Филиал]], tbl_Filialy[Филиал], tbl_Filialy[Город])</f>
        <v>Казань</v>
      </c>
      <c r="B609" s="1" t="s">
        <v>30</v>
      </c>
      <c r="C609" s="2">
        <v>45672</v>
      </c>
      <c r="D609" s="2" t="str">
        <f>CHOOSE(MONTH(branches[[#This Row],[Дата]]),"Январь","Февраль","Март","Апрель","Май","Июнь","Июль","Август","Сентябрь","Октябрь","Ноябрь","Декабрь")&amp;" "&amp;YEAR(branches[[#This Row],[Дата]])</f>
        <v>Январь 2025</v>
      </c>
      <c r="E609" t="s">
        <v>28</v>
      </c>
      <c r="F609" t="s">
        <v>12</v>
      </c>
      <c r="G609">
        <v>1</v>
      </c>
      <c r="H609">
        <v>230</v>
      </c>
      <c r="I609" t="s">
        <v>21</v>
      </c>
      <c r="J609" t="str">
        <f>_xlfn.XLOOKUP(branches[[#This Row],[Филиал]], tbl_Filialy[Филиал], tbl_Filialy[Менеджер])</f>
        <v>Алия Гайнутдинова</v>
      </c>
    </row>
    <row r="610" spans="1:10" x14ac:dyDescent="0.3">
      <c r="A610" t="str">
        <f>_xlfn.XLOOKUP(branches[[#This Row],[Филиал]], tbl_Filialy[Филиал], tbl_Filialy[Город])</f>
        <v>Казань</v>
      </c>
      <c r="B610" s="1" t="s">
        <v>30</v>
      </c>
      <c r="C610" s="2">
        <v>45684</v>
      </c>
      <c r="D610" s="2" t="str">
        <f>CHOOSE(MONTH(branches[[#This Row],[Дата]]),"Январь","Февраль","Март","Апрель","Май","Июнь","Июль","Август","Сентябрь","Октябрь","Ноябрь","Декабрь")&amp;" "&amp;YEAR(branches[[#This Row],[Дата]])</f>
        <v>Январь 2025</v>
      </c>
      <c r="E610" t="s">
        <v>20</v>
      </c>
      <c r="F610" t="s">
        <v>12</v>
      </c>
      <c r="G610">
        <v>1</v>
      </c>
      <c r="H610">
        <v>257</v>
      </c>
      <c r="I610" t="s">
        <v>19</v>
      </c>
      <c r="J610" t="str">
        <f>_xlfn.XLOOKUP(branches[[#This Row],[Филиал]], tbl_Filialy[Филиал], tbl_Filialy[Менеджер])</f>
        <v>Алия Гайнутдинова</v>
      </c>
    </row>
    <row r="611" spans="1:10" x14ac:dyDescent="0.3">
      <c r="A611" t="str">
        <f>_xlfn.XLOOKUP(branches[[#This Row],[Филиал]], tbl_Filialy[Филиал], tbl_Filialy[Город])</f>
        <v>Казань</v>
      </c>
      <c r="B611" s="1" t="s">
        <v>30</v>
      </c>
      <c r="C611" s="2">
        <v>45982</v>
      </c>
      <c r="D611" s="2" t="str">
        <f>CHOOSE(MONTH(branches[[#This Row],[Дата]]),"Январь","Февраль","Март","Апрель","Май","Июнь","Июль","Август","Сентябрь","Октябрь","Ноябрь","Декабрь")&amp;" "&amp;YEAR(branches[[#This Row],[Дата]])</f>
        <v>Ноябрь 2025</v>
      </c>
      <c r="E611" t="s">
        <v>8</v>
      </c>
      <c r="F611" t="s">
        <v>9</v>
      </c>
      <c r="G611">
        <v>1</v>
      </c>
      <c r="H611">
        <v>268</v>
      </c>
      <c r="I611" t="s">
        <v>21</v>
      </c>
      <c r="J611" t="str">
        <f>_xlfn.XLOOKUP(branches[[#This Row],[Филиал]], tbl_Filialy[Филиал], tbl_Filialy[Менеджер])</f>
        <v>Алия Гайнутдинова</v>
      </c>
    </row>
    <row r="612" spans="1:10" x14ac:dyDescent="0.3">
      <c r="A612" t="str">
        <f>_xlfn.XLOOKUP(branches[[#This Row],[Филиал]], tbl_Filialy[Филиал], tbl_Filialy[Город])</f>
        <v>Казань</v>
      </c>
      <c r="B612" s="1" t="s">
        <v>30</v>
      </c>
      <c r="C612" s="2">
        <v>45896</v>
      </c>
      <c r="D612" s="2" t="str">
        <f>CHOOSE(MONTH(branches[[#This Row],[Дата]]),"Январь","Февраль","Март","Апрель","Май","Июнь","Июль","Август","Сентябрь","Октябрь","Ноябрь","Декабрь")&amp;" "&amp;YEAR(branches[[#This Row],[Дата]])</f>
        <v>Август 2025</v>
      </c>
      <c r="E612" t="s">
        <v>25</v>
      </c>
      <c r="F612" t="s">
        <v>12</v>
      </c>
      <c r="G612">
        <v>2</v>
      </c>
      <c r="H612">
        <v>482</v>
      </c>
      <c r="I612" t="s">
        <v>19</v>
      </c>
      <c r="J612" t="str">
        <f>_xlfn.XLOOKUP(branches[[#This Row],[Филиал]], tbl_Filialy[Филиал], tbl_Filialy[Менеджер])</f>
        <v>Алия Гайнутдинова</v>
      </c>
    </row>
    <row r="613" spans="1:10" x14ac:dyDescent="0.3">
      <c r="A613" t="str">
        <f>_xlfn.XLOOKUP(branches[[#This Row],[Филиал]], tbl_Filialy[Филиал], tbl_Filialy[Город])</f>
        <v>Казань</v>
      </c>
      <c r="B613" s="1" t="s">
        <v>30</v>
      </c>
      <c r="C613" s="2">
        <v>45934</v>
      </c>
      <c r="D613" s="2" t="str">
        <f>CHOOSE(MONTH(branches[[#This Row],[Дата]]),"Январь","Февраль","Март","Апрель","Май","Июнь","Июль","Август","Сентябрь","Октябрь","Ноябрь","Декабрь")&amp;" "&amp;YEAR(branches[[#This Row],[Дата]])</f>
        <v>Октябрь 2025</v>
      </c>
      <c r="E613" t="s">
        <v>28</v>
      </c>
      <c r="F613" t="s">
        <v>12</v>
      </c>
      <c r="G613">
        <v>2</v>
      </c>
      <c r="H613">
        <v>428</v>
      </c>
      <c r="I613" t="s">
        <v>19</v>
      </c>
      <c r="J613" t="str">
        <f>_xlfn.XLOOKUP(branches[[#This Row],[Филиал]], tbl_Filialy[Филиал], tbl_Filialy[Менеджер])</f>
        <v>Алия Гайнутдинова</v>
      </c>
    </row>
    <row r="614" spans="1:10" x14ac:dyDescent="0.3">
      <c r="A614" t="str">
        <f>_xlfn.XLOOKUP(branches[[#This Row],[Филиал]], tbl_Filialy[Филиал], tbl_Filialy[Город])</f>
        <v>Казань</v>
      </c>
      <c r="B614" s="1" t="s">
        <v>30</v>
      </c>
      <c r="C614" s="2">
        <v>45673</v>
      </c>
      <c r="D614" s="2" t="str">
        <f>CHOOSE(MONTH(branches[[#This Row],[Дата]]),"Январь","Февраль","Март","Апрель","Май","Июнь","Июль","Август","Сентябрь","Октябрь","Ноябрь","Декабрь")&amp;" "&amp;YEAR(branches[[#This Row],[Дата]])</f>
        <v>Январь 2025</v>
      </c>
      <c r="E614" t="s">
        <v>14</v>
      </c>
      <c r="F614" t="s">
        <v>12</v>
      </c>
      <c r="G614">
        <v>1</v>
      </c>
      <c r="H614">
        <v>470</v>
      </c>
      <c r="I614" t="s">
        <v>21</v>
      </c>
      <c r="J614" t="str">
        <f>_xlfn.XLOOKUP(branches[[#This Row],[Филиал]], tbl_Filialy[Филиал], tbl_Filialy[Менеджер])</f>
        <v>Алия Гайнутдинова</v>
      </c>
    </row>
    <row r="615" spans="1:10" x14ac:dyDescent="0.3">
      <c r="A615" t="str">
        <f>_xlfn.XLOOKUP(branches[[#This Row],[Филиал]], tbl_Filialy[Филиал], tbl_Filialy[Город])</f>
        <v>Казань</v>
      </c>
      <c r="B615" s="1" t="s">
        <v>30</v>
      </c>
      <c r="C615" s="2">
        <v>45953</v>
      </c>
      <c r="D615" s="2" t="str">
        <f>CHOOSE(MONTH(branches[[#This Row],[Дата]]),"Январь","Февраль","Март","Апрель","Май","Июнь","Июль","Август","Сентябрь","Октябрь","Ноябрь","Декабрь")&amp;" "&amp;YEAR(branches[[#This Row],[Дата]])</f>
        <v>Октябрь 2025</v>
      </c>
      <c r="E615" t="s">
        <v>11</v>
      </c>
      <c r="F615" t="s">
        <v>12</v>
      </c>
      <c r="G615">
        <v>1</v>
      </c>
      <c r="H615">
        <v>191</v>
      </c>
      <c r="I615" t="s">
        <v>15</v>
      </c>
      <c r="J615" t="str">
        <f>_xlfn.XLOOKUP(branches[[#This Row],[Филиал]], tbl_Filialy[Филиал], tbl_Filialy[Менеджер])</f>
        <v>Алия Гайнутдинова</v>
      </c>
    </row>
    <row r="616" spans="1:10" x14ac:dyDescent="0.3">
      <c r="A616" t="str">
        <f>_xlfn.XLOOKUP(branches[[#This Row],[Филиал]], tbl_Filialy[Филиал], tbl_Filialy[Город])</f>
        <v>Казань</v>
      </c>
      <c r="B616" s="1" t="s">
        <v>30</v>
      </c>
      <c r="C616" s="2">
        <v>45720</v>
      </c>
      <c r="D616" s="2" t="str">
        <f>CHOOSE(MONTH(branches[[#This Row],[Дата]]),"Январь","Февраль","Март","Апрель","Май","Июнь","Июль","Август","Сентябрь","Октябрь","Ноябрь","Декабрь")&amp;" "&amp;YEAR(branches[[#This Row],[Дата]])</f>
        <v>Март 2025</v>
      </c>
      <c r="E616" t="s">
        <v>18</v>
      </c>
      <c r="F616" t="s">
        <v>12</v>
      </c>
      <c r="G616">
        <v>1</v>
      </c>
      <c r="H616">
        <v>153</v>
      </c>
      <c r="I616" t="s">
        <v>19</v>
      </c>
      <c r="J616" t="str">
        <f>_xlfn.XLOOKUP(branches[[#This Row],[Филиал]], tbl_Filialy[Филиал], tbl_Filialy[Менеджер])</f>
        <v>Алия Гайнутдинова</v>
      </c>
    </row>
    <row r="617" spans="1:10" x14ac:dyDescent="0.3">
      <c r="A617" t="str">
        <f>_xlfn.XLOOKUP(branches[[#This Row],[Филиал]], tbl_Filialy[Филиал], tbl_Filialy[Город])</f>
        <v>Казань</v>
      </c>
      <c r="B617" s="1" t="s">
        <v>30</v>
      </c>
      <c r="C617" s="2">
        <v>45846</v>
      </c>
      <c r="D617" s="2" t="str">
        <f>CHOOSE(MONTH(branches[[#This Row],[Дата]]),"Январь","Февраль","Март","Апрель","Май","Июнь","Июль","Август","Сентябрь","Октябрь","Ноябрь","Декабрь")&amp;" "&amp;YEAR(branches[[#This Row],[Дата]])</f>
        <v>Июль 2025</v>
      </c>
      <c r="E617" t="s">
        <v>11</v>
      </c>
      <c r="F617" t="s">
        <v>12</v>
      </c>
      <c r="G617">
        <v>1</v>
      </c>
      <c r="H617">
        <v>146</v>
      </c>
      <c r="I617" t="s">
        <v>10</v>
      </c>
      <c r="J617" t="str">
        <f>_xlfn.XLOOKUP(branches[[#This Row],[Филиал]], tbl_Filialy[Филиал], tbl_Filialy[Менеджер])</f>
        <v>Алия Гайнутдинова</v>
      </c>
    </row>
    <row r="618" spans="1:10" x14ac:dyDescent="0.3">
      <c r="A618" t="str">
        <f>_xlfn.XLOOKUP(branches[[#This Row],[Филиал]], tbl_Filialy[Филиал], tbl_Filialy[Город])</f>
        <v>Казань</v>
      </c>
      <c r="B618" s="1" t="s">
        <v>30</v>
      </c>
      <c r="C618" s="2">
        <v>45916</v>
      </c>
      <c r="D618" s="2" t="str">
        <f>CHOOSE(MONTH(branches[[#This Row],[Дата]]),"Январь","Февраль","Март","Апрель","Май","Июнь","Июль","Август","Сентябрь","Октябрь","Ноябрь","Декабрь")&amp;" "&amp;YEAR(branches[[#This Row],[Дата]])</f>
        <v>Сентябрь 2025</v>
      </c>
      <c r="E618" t="s">
        <v>22</v>
      </c>
      <c r="F618" t="s">
        <v>9</v>
      </c>
      <c r="G618">
        <v>2</v>
      </c>
      <c r="H618">
        <v>368</v>
      </c>
      <c r="I618" t="s">
        <v>10</v>
      </c>
      <c r="J618" t="str">
        <f>_xlfn.XLOOKUP(branches[[#This Row],[Филиал]], tbl_Filialy[Филиал], tbl_Filialy[Менеджер])</f>
        <v>Алия Гайнутдинова</v>
      </c>
    </row>
    <row r="619" spans="1:10" x14ac:dyDescent="0.3">
      <c r="A619" t="str">
        <f>_xlfn.XLOOKUP(branches[[#This Row],[Филиал]], tbl_Filialy[Филиал], tbl_Filialy[Город])</f>
        <v>Казань</v>
      </c>
      <c r="B619" s="1" t="s">
        <v>30</v>
      </c>
      <c r="C619" s="2">
        <v>45995</v>
      </c>
      <c r="D619" s="2" t="str">
        <f>CHOOSE(MONTH(branches[[#This Row],[Дата]]),"Январь","Февраль","Март","Апрель","Май","Июнь","Июль","Август","Сентябрь","Октябрь","Ноябрь","Декабрь")&amp;" "&amp;YEAR(branches[[#This Row],[Дата]])</f>
        <v>Декабрь 2025</v>
      </c>
      <c r="E619" t="s">
        <v>14</v>
      </c>
      <c r="F619" t="s">
        <v>12</v>
      </c>
      <c r="G619">
        <v>2</v>
      </c>
      <c r="H619">
        <v>510</v>
      </c>
      <c r="I619" t="s">
        <v>19</v>
      </c>
      <c r="J619" t="str">
        <f>_xlfn.XLOOKUP(branches[[#This Row],[Филиал]], tbl_Filialy[Филиал], tbl_Filialy[Менеджер])</f>
        <v>Алия Гайнутдинова</v>
      </c>
    </row>
    <row r="620" spans="1:10" x14ac:dyDescent="0.3">
      <c r="A620" t="str">
        <f>_xlfn.XLOOKUP(branches[[#This Row],[Филиал]], tbl_Filialy[Филиал], tbl_Filialy[Город])</f>
        <v>Казань</v>
      </c>
      <c r="B620" s="1" t="s">
        <v>30</v>
      </c>
      <c r="C620" s="2">
        <v>45842</v>
      </c>
      <c r="D620" s="2" t="str">
        <f>CHOOSE(MONTH(branches[[#This Row],[Дата]]),"Январь","Февраль","Март","Апрель","Май","Июнь","Июль","Август","Сентябрь","Октябрь","Ноябрь","Декабрь")&amp;" "&amp;YEAR(branches[[#This Row],[Дата]])</f>
        <v>Июль 2025</v>
      </c>
      <c r="E620" t="s">
        <v>16</v>
      </c>
      <c r="F620" t="s">
        <v>17</v>
      </c>
      <c r="G620">
        <v>1</v>
      </c>
      <c r="H620">
        <v>328</v>
      </c>
      <c r="I620" t="s">
        <v>15</v>
      </c>
      <c r="J620" t="str">
        <f>_xlfn.XLOOKUP(branches[[#This Row],[Филиал]], tbl_Filialy[Филиал], tbl_Filialy[Менеджер])</f>
        <v>Алия Гайнутдинова</v>
      </c>
    </row>
    <row r="621" spans="1:10" x14ac:dyDescent="0.3">
      <c r="A621" t="str">
        <f>_xlfn.XLOOKUP(branches[[#This Row],[Филиал]], tbl_Filialy[Филиал], tbl_Filialy[Город])</f>
        <v>Казань</v>
      </c>
      <c r="B621" s="1" t="s">
        <v>30</v>
      </c>
      <c r="C621" s="2">
        <v>45956</v>
      </c>
      <c r="D621" s="2" t="str">
        <f>CHOOSE(MONTH(branches[[#This Row],[Дата]]),"Январь","Февраль","Март","Апрель","Май","Июнь","Июль","Август","Сентябрь","Октябрь","Ноябрь","Декабрь")&amp;" "&amp;YEAR(branches[[#This Row],[Дата]])</f>
        <v>Октябрь 2025</v>
      </c>
      <c r="E621" t="s">
        <v>22</v>
      </c>
      <c r="F621" t="s">
        <v>9</v>
      </c>
      <c r="G621">
        <v>1</v>
      </c>
      <c r="H621">
        <v>181</v>
      </c>
      <c r="I621" t="s">
        <v>10</v>
      </c>
      <c r="J621" t="str">
        <f>_xlfn.XLOOKUP(branches[[#This Row],[Филиал]], tbl_Filialy[Филиал], tbl_Filialy[Менеджер])</f>
        <v>Алия Гайнутдинова</v>
      </c>
    </row>
    <row r="622" spans="1:10" x14ac:dyDescent="0.3">
      <c r="A622" t="str">
        <f>_xlfn.XLOOKUP(branches[[#This Row],[Филиал]], tbl_Filialy[Филиал], tbl_Filialy[Город])</f>
        <v>Казань</v>
      </c>
      <c r="B622" s="1" t="s">
        <v>30</v>
      </c>
      <c r="C622" s="2">
        <v>45662</v>
      </c>
      <c r="D622" s="2" t="str">
        <f>CHOOSE(MONTH(branches[[#This Row],[Дата]]),"Январь","Февраль","Март","Апрель","Май","Июнь","Июль","Август","Сентябрь","Октябрь","Ноябрь","Декабрь")&amp;" "&amp;YEAR(branches[[#This Row],[Дата]])</f>
        <v>Январь 2025</v>
      </c>
      <c r="E622" t="s">
        <v>22</v>
      </c>
      <c r="F622" t="s">
        <v>9</v>
      </c>
      <c r="G622">
        <v>1</v>
      </c>
      <c r="H622">
        <v>174</v>
      </c>
      <c r="I622" t="s">
        <v>19</v>
      </c>
      <c r="J622" t="str">
        <f>_xlfn.XLOOKUP(branches[[#This Row],[Филиал]], tbl_Filialy[Филиал], tbl_Filialy[Менеджер])</f>
        <v>Алия Гайнутдинова</v>
      </c>
    </row>
    <row r="623" spans="1:10" x14ac:dyDescent="0.3">
      <c r="A623" t="str">
        <f>_xlfn.XLOOKUP(branches[[#This Row],[Филиал]], tbl_Filialy[Филиал], tbl_Filialy[Город])</f>
        <v>Казань</v>
      </c>
      <c r="B623" s="1" t="s">
        <v>30</v>
      </c>
      <c r="C623" s="2">
        <v>45670</v>
      </c>
      <c r="D623" s="2" t="str">
        <f>CHOOSE(MONTH(branches[[#This Row],[Дата]]),"Январь","Февраль","Март","Апрель","Май","Июнь","Июль","Август","Сентябрь","Октябрь","Ноябрь","Декабрь")&amp;" "&amp;YEAR(branches[[#This Row],[Дата]])</f>
        <v>Январь 2025</v>
      </c>
      <c r="E623" t="s">
        <v>24</v>
      </c>
      <c r="F623" t="s">
        <v>17</v>
      </c>
      <c r="G623">
        <v>2</v>
      </c>
      <c r="H623">
        <v>772</v>
      </c>
      <c r="I623" t="s">
        <v>15</v>
      </c>
      <c r="J623" t="str">
        <f>_xlfn.XLOOKUP(branches[[#This Row],[Филиал]], tbl_Filialy[Филиал], tbl_Filialy[Менеджер])</f>
        <v>Алия Гайнутдинова</v>
      </c>
    </row>
    <row r="624" spans="1:10" x14ac:dyDescent="0.3">
      <c r="A624" t="str">
        <f>_xlfn.XLOOKUP(branches[[#This Row],[Филиал]], tbl_Filialy[Филиал], tbl_Filialy[Город])</f>
        <v>Казань</v>
      </c>
      <c r="B624" s="1" t="s">
        <v>30</v>
      </c>
      <c r="C624" s="2">
        <v>46015</v>
      </c>
      <c r="D624" s="2" t="str">
        <f>CHOOSE(MONTH(branches[[#This Row],[Дата]]),"Январь","Февраль","Март","Апрель","Май","Июнь","Июль","Август","Сентябрь","Октябрь","Ноябрь","Декабрь")&amp;" "&amp;YEAR(branches[[#This Row],[Дата]])</f>
        <v>Декабрь 2025</v>
      </c>
      <c r="E624" t="s">
        <v>28</v>
      </c>
      <c r="F624" t="s">
        <v>12</v>
      </c>
      <c r="G624">
        <v>2</v>
      </c>
      <c r="H624">
        <v>416</v>
      </c>
      <c r="I624" t="s">
        <v>23</v>
      </c>
      <c r="J624" t="str">
        <f>_xlfn.XLOOKUP(branches[[#This Row],[Филиал]], tbl_Filialy[Филиал], tbl_Filialy[Менеджер])</f>
        <v>Алия Гайнутдинова</v>
      </c>
    </row>
    <row r="625" spans="1:10" x14ac:dyDescent="0.3">
      <c r="A625" t="str">
        <f>_xlfn.XLOOKUP(branches[[#This Row],[Филиал]], tbl_Filialy[Филиал], tbl_Filialy[Город])</f>
        <v>Казань</v>
      </c>
      <c r="B625" s="1" t="s">
        <v>30</v>
      </c>
      <c r="C625" s="2">
        <v>45678</v>
      </c>
      <c r="D625" s="2" t="str">
        <f>CHOOSE(MONTH(branches[[#This Row],[Дата]]),"Январь","Февраль","Март","Апрель","Май","Июнь","Июль","Август","Сентябрь","Октябрь","Ноябрь","Декабрь")&amp;" "&amp;YEAR(branches[[#This Row],[Дата]])</f>
        <v>Январь 2025</v>
      </c>
      <c r="E625" t="s">
        <v>27</v>
      </c>
      <c r="F625" t="s">
        <v>12</v>
      </c>
      <c r="G625">
        <v>1</v>
      </c>
      <c r="H625">
        <v>204</v>
      </c>
      <c r="I625" t="s">
        <v>19</v>
      </c>
      <c r="J625" t="str">
        <f>_xlfn.XLOOKUP(branches[[#This Row],[Филиал]], tbl_Filialy[Филиал], tbl_Filialy[Менеджер])</f>
        <v>Алия Гайнутдинова</v>
      </c>
    </row>
    <row r="626" spans="1:10" x14ac:dyDescent="0.3">
      <c r="A626" t="str">
        <f>_xlfn.XLOOKUP(branches[[#This Row],[Филиал]], tbl_Filialy[Филиал], tbl_Filialy[Город])</f>
        <v>Казань</v>
      </c>
      <c r="B626" s="1" t="s">
        <v>30</v>
      </c>
      <c r="C626" s="2">
        <v>45836</v>
      </c>
      <c r="D626" s="2" t="str">
        <f>CHOOSE(MONTH(branches[[#This Row],[Дата]]),"Январь","Февраль","Март","Апрель","Май","Июнь","Июль","Август","Сентябрь","Октябрь","Ноябрь","Декабрь")&amp;" "&amp;YEAR(branches[[#This Row],[Дата]])</f>
        <v>Июнь 2025</v>
      </c>
      <c r="E626" t="s">
        <v>8</v>
      </c>
      <c r="F626" t="s">
        <v>9</v>
      </c>
      <c r="G626">
        <v>1</v>
      </c>
      <c r="H626">
        <v>271</v>
      </c>
      <c r="I626" t="s">
        <v>19</v>
      </c>
      <c r="J626" t="str">
        <f>_xlfn.XLOOKUP(branches[[#This Row],[Филиал]], tbl_Filialy[Филиал], tbl_Filialy[Менеджер])</f>
        <v>Алия Гайнутдинова</v>
      </c>
    </row>
    <row r="627" spans="1:10" x14ac:dyDescent="0.3">
      <c r="A627" t="str">
        <f>_xlfn.XLOOKUP(branches[[#This Row],[Филиал]], tbl_Filialy[Филиал], tbl_Filialy[Город])</f>
        <v>Казань</v>
      </c>
      <c r="B627" s="1" t="s">
        <v>30</v>
      </c>
      <c r="C627" s="2">
        <v>45849</v>
      </c>
      <c r="D627" s="2" t="str">
        <f>CHOOSE(MONTH(branches[[#This Row],[Дата]]),"Январь","Февраль","Март","Апрель","Май","Июнь","Июль","Август","Сентябрь","Октябрь","Ноябрь","Декабрь")&amp;" "&amp;YEAR(branches[[#This Row],[Дата]])</f>
        <v>Июль 2025</v>
      </c>
      <c r="E627" t="s">
        <v>20</v>
      </c>
      <c r="F627" t="s">
        <v>12</v>
      </c>
      <c r="G627">
        <v>2</v>
      </c>
      <c r="H627">
        <v>588</v>
      </c>
      <c r="I627" t="s">
        <v>19</v>
      </c>
      <c r="J627" t="str">
        <f>_xlfn.XLOOKUP(branches[[#This Row],[Филиал]], tbl_Filialy[Филиал], tbl_Filialy[Менеджер])</f>
        <v>Алия Гайнутдинова</v>
      </c>
    </row>
    <row r="628" spans="1:10" x14ac:dyDescent="0.3">
      <c r="A628" t="str">
        <f>_xlfn.XLOOKUP(branches[[#This Row],[Филиал]], tbl_Filialy[Филиал], tbl_Filialy[Город])</f>
        <v>Казань</v>
      </c>
      <c r="B628" s="1" t="s">
        <v>30</v>
      </c>
      <c r="C628" s="2">
        <v>45774</v>
      </c>
      <c r="D628" s="2" t="str">
        <f>CHOOSE(MONTH(branches[[#This Row],[Дата]]),"Январь","Февраль","Март","Апрель","Май","Июнь","Июль","Август","Сентябрь","Октябрь","Ноябрь","Декабрь")&amp;" "&amp;YEAR(branches[[#This Row],[Дата]])</f>
        <v>Апрель 2025</v>
      </c>
      <c r="E628" t="s">
        <v>22</v>
      </c>
      <c r="F628" t="s">
        <v>9</v>
      </c>
      <c r="G628">
        <v>2</v>
      </c>
      <c r="H628">
        <v>386</v>
      </c>
      <c r="I628" t="s">
        <v>19</v>
      </c>
      <c r="J628" t="str">
        <f>_xlfn.XLOOKUP(branches[[#This Row],[Филиал]], tbl_Filialy[Филиал], tbl_Filialy[Менеджер])</f>
        <v>Алия Гайнутдинова</v>
      </c>
    </row>
    <row r="629" spans="1:10" x14ac:dyDescent="0.3">
      <c r="A629" t="str">
        <f>_xlfn.XLOOKUP(branches[[#This Row],[Филиал]], tbl_Filialy[Филиал], tbl_Filialy[Город])</f>
        <v>Казань</v>
      </c>
      <c r="B629" s="1" t="s">
        <v>30</v>
      </c>
      <c r="C629" s="2">
        <v>45662</v>
      </c>
      <c r="D629" s="2" t="str">
        <f>CHOOSE(MONTH(branches[[#This Row],[Дата]]),"Январь","Февраль","Март","Апрель","Май","Июнь","Июль","Август","Сентябрь","Октябрь","Ноябрь","Декабрь")&amp;" "&amp;YEAR(branches[[#This Row],[Дата]])</f>
        <v>Январь 2025</v>
      </c>
      <c r="E629" t="s">
        <v>28</v>
      </c>
      <c r="F629" t="s">
        <v>12</v>
      </c>
      <c r="G629">
        <v>1</v>
      </c>
      <c r="H629">
        <v>252</v>
      </c>
      <c r="I629" t="s">
        <v>19</v>
      </c>
      <c r="J629" t="str">
        <f>_xlfn.XLOOKUP(branches[[#This Row],[Филиал]], tbl_Filialy[Филиал], tbl_Filialy[Менеджер])</f>
        <v>Алия Гайнутдинова</v>
      </c>
    </row>
    <row r="630" spans="1:10" x14ac:dyDescent="0.3">
      <c r="A630" t="str">
        <f>_xlfn.XLOOKUP(branches[[#This Row],[Филиал]], tbl_Filialy[Филиал], tbl_Filialy[Город])</f>
        <v>Казань</v>
      </c>
      <c r="B630" s="1" t="s">
        <v>30</v>
      </c>
      <c r="C630" s="2">
        <v>45975</v>
      </c>
      <c r="D630" s="2" t="str">
        <f>CHOOSE(MONTH(branches[[#This Row],[Дата]]),"Январь","Февраль","Март","Апрель","Май","Июнь","Июль","Август","Сентябрь","Октябрь","Ноябрь","Декабрь")&amp;" "&amp;YEAR(branches[[#This Row],[Дата]])</f>
        <v>Ноябрь 2025</v>
      </c>
      <c r="E630" t="s">
        <v>28</v>
      </c>
      <c r="F630" t="s">
        <v>12</v>
      </c>
      <c r="G630">
        <v>1</v>
      </c>
      <c r="H630">
        <v>245</v>
      </c>
      <c r="I630" t="s">
        <v>15</v>
      </c>
      <c r="J630" t="str">
        <f>_xlfn.XLOOKUP(branches[[#This Row],[Филиал]], tbl_Filialy[Филиал], tbl_Filialy[Менеджер])</f>
        <v>Алия Гайнутдинова</v>
      </c>
    </row>
    <row r="631" spans="1:10" x14ac:dyDescent="0.3">
      <c r="A631" t="str">
        <f>_xlfn.XLOOKUP(branches[[#This Row],[Филиал]], tbl_Filialy[Филиал], tbl_Filialy[Город])</f>
        <v>Казань</v>
      </c>
      <c r="B631" s="1" t="s">
        <v>30</v>
      </c>
      <c r="C631" s="2">
        <v>45974</v>
      </c>
      <c r="D631" s="2" t="str">
        <f>CHOOSE(MONTH(branches[[#This Row],[Дата]]),"Январь","Февраль","Март","Апрель","Май","Июнь","Июль","Август","Сентябрь","Октябрь","Ноябрь","Декабрь")&amp;" "&amp;YEAR(branches[[#This Row],[Дата]])</f>
        <v>Ноябрь 2025</v>
      </c>
      <c r="E631" t="s">
        <v>27</v>
      </c>
      <c r="F631" t="s">
        <v>12</v>
      </c>
      <c r="G631">
        <v>2</v>
      </c>
      <c r="H631">
        <v>400</v>
      </c>
      <c r="I631" t="s">
        <v>10</v>
      </c>
      <c r="J631" t="str">
        <f>_xlfn.XLOOKUP(branches[[#This Row],[Филиал]], tbl_Filialy[Филиал], tbl_Filialy[Менеджер])</f>
        <v>Алия Гайнутдинова</v>
      </c>
    </row>
    <row r="632" spans="1:10" x14ac:dyDescent="0.3">
      <c r="A632" t="str">
        <f>_xlfn.XLOOKUP(branches[[#This Row],[Филиал]], tbl_Filialy[Филиал], tbl_Filialy[Город])</f>
        <v>Казань</v>
      </c>
      <c r="B632" s="1" t="s">
        <v>30</v>
      </c>
      <c r="C632" s="2">
        <v>45710</v>
      </c>
      <c r="D632" s="2" t="str">
        <f>CHOOSE(MONTH(branches[[#This Row],[Дата]]),"Январь","Февраль","Март","Апрель","Май","Июнь","Июль","Август","Сентябрь","Октябрь","Ноябрь","Декабрь")&amp;" "&amp;YEAR(branches[[#This Row],[Дата]])</f>
        <v>Февраль 2025</v>
      </c>
      <c r="E632" t="s">
        <v>26</v>
      </c>
      <c r="F632" t="s">
        <v>9</v>
      </c>
      <c r="G632">
        <v>1</v>
      </c>
      <c r="H632">
        <v>209</v>
      </c>
      <c r="I632" t="s">
        <v>13</v>
      </c>
      <c r="J632" t="str">
        <f>_xlfn.XLOOKUP(branches[[#This Row],[Филиал]], tbl_Filialy[Филиал], tbl_Filialy[Менеджер])</f>
        <v>Алия Гайнутдинова</v>
      </c>
    </row>
    <row r="633" spans="1:10" x14ac:dyDescent="0.3">
      <c r="A633" t="str">
        <f>_xlfn.XLOOKUP(branches[[#This Row],[Филиал]], tbl_Filialy[Филиал], tbl_Filialy[Город])</f>
        <v>Казань</v>
      </c>
      <c r="B633" s="1" t="s">
        <v>30</v>
      </c>
      <c r="C633" s="2">
        <v>45956</v>
      </c>
      <c r="D633" s="2" t="str">
        <f>CHOOSE(MONTH(branches[[#This Row],[Дата]]),"Январь","Февраль","Март","Апрель","Май","Июнь","Июль","Август","Сентябрь","Октябрь","Ноябрь","Декабрь")&amp;" "&amp;YEAR(branches[[#This Row],[Дата]])</f>
        <v>Октябрь 2025</v>
      </c>
      <c r="E633" t="s">
        <v>28</v>
      </c>
      <c r="F633" t="s">
        <v>12</v>
      </c>
      <c r="G633">
        <v>2</v>
      </c>
      <c r="H633">
        <v>478</v>
      </c>
      <c r="I633" t="s">
        <v>29</v>
      </c>
      <c r="J633" t="str">
        <f>_xlfn.XLOOKUP(branches[[#This Row],[Филиал]], tbl_Filialy[Филиал], tbl_Filialy[Менеджер])</f>
        <v>Алия Гайнутдинова</v>
      </c>
    </row>
    <row r="634" spans="1:10" x14ac:dyDescent="0.3">
      <c r="A634" t="str">
        <f>_xlfn.XLOOKUP(branches[[#This Row],[Филиал]], tbl_Filialy[Филиал], tbl_Filialy[Город])</f>
        <v>Казань</v>
      </c>
      <c r="B634" s="1" t="s">
        <v>30</v>
      </c>
      <c r="C634" s="2">
        <v>45792</v>
      </c>
      <c r="D634" s="2" t="str">
        <f>CHOOSE(MONTH(branches[[#This Row],[Дата]]),"Январь","Февраль","Март","Апрель","Май","Июнь","Июль","Август","Сентябрь","Октябрь","Ноябрь","Декабрь")&amp;" "&amp;YEAR(branches[[#This Row],[Дата]])</f>
        <v>Май 2025</v>
      </c>
      <c r="E634" t="s">
        <v>25</v>
      </c>
      <c r="F634" t="s">
        <v>12</v>
      </c>
      <c r="G634">
        <v>1</v>
      </c>
      <c r="H634">
        <v>230</v>
      </c>
      <c r="I634" t="s">
        <v>13</v>
      </c>
      <c r="J634" t="str">
        <f>_xlfn.XLOOKUP(branches[[#This Row],[Филиал]], tbl_Filialy[Филиал], tbl_Filialy[Менеджер])</f>
        <v>Алия Гайнутдинова</v>
      </c>
    </row>
    <row r="635" spans="1:10" x14ac:dyDescent="0.3">
      <c r="A635" t="str">
        <f>_xlfn.XLOOKUP(branches[[#This Row],[Филиал]], tbl_Filialy[Филиал], tbl_Filialy[Город])</f>
        <v>Казань</v>
      </c>
      <c r="B635" s="1" t="s">
        <v>30</v>
      </c>
      <c r="C635" s="2">
        <v>45700</v>
      </c>
      <c r="D635" s="2" t="str">
        <f>CHOOSE(MONTH(branches[[#This Row],[Дата]]),"Январь","Февраль","Март","Апрель","Май","Июнь","Июль","Август","Сентябрь","Октябрь","Ноябрь","Декабрь")&amp;" "&amp;YEAR(branches[[#This Row],[Дата]])</f>
        <v>Февраль 2025</v>
      </c>
      <c r="E635" t="s">
        <v>28</v>
      </c>
      <c r="F635" t="s">
        <v>12</v>
      </c>
      <c r="G635">
        <v>2</v>
      </c>
      <c r="H635">
        <v>480</v>
      </c>
      <c r="I635" t="s">
        <v>15</v>
      </c>
      <c r="J635" t="str">
        <f>_xlfn.XLOOKUP(branches[[#This Row],[Филиал]], tbl_Filialy[Филиал], tbl_Filialy[Менеджер])</f>
        <v>Алия Гайнутдинова</v>
      </c>
    </row>
    <row r="636" spans="1:10" x14ac:dyDescent="0.3">
      <c r="A636" t="str">
        <f>_xlfn.XLOOKUP(branches[[#This Row],[Филиал]], tbl_Filialy[Филиал], tbl_Filialy[Город])</f>
        <v>Казань</v>
      </c>
      <c r="B636" s="1" t="s">
        <v>30</v>
      </c>
      <c r="C636" s="2">
        <v>46002</v>
      </c>
      <c r="D636" s="2" t="str">
        <f>CHOOSE(MONTH(branches[[#This Row],[Дата]]),"Январь","Февраль","Март","Апрель","Май","Июнь","Июль","Август","Сентябрь","Октябрь","Ноябрь","Декабрь")&amp;" "&amp;YEAR(branches[[#This Row],[Дата]])</f>
        <v>Декабрь 2025</v>
      </c>
      <c r="E636" t="s">
        <v>14</v>
      </c>
      <c r="F636" t="s">
        <v>12</v>
      </c>
      <c r="G636">
        <v>1</v>
      </c>
      <c r="H636">
        <v>272</v>
      </c>
      <c r="I636" t="s">
        <v>10</v>
      </c>
      <c r="J636" t="str">
        <f>_xlfn.XLOOKUP(branches[[#This Row],[Филиал]], tbl_Filialy[Филиал], tbl_Filialy[Менеджер])</f>
        <v>Алия Гайнутдинова</v>
      </c>
    </row>
    <row r="637" spans="1:10" x14ac:dyDescent="0.3">
      <c r="A637" t="str">
        <f>_xlfn.XLOOKUP(branches[[#This Row],[Филиал]], tbl_Filialy[Филиал], tbl_Filialy[Город])</f>
        <v>Казань</v>
      </c>
      <c r="B637" s="1" t="s">
        <v>30</v>
      </c>
      <c r="C637" s="2">
        <v>45705</v>
      </c>
      <c r="D637" s="2" t="str">
        <f>CHOOSE(MONTH(branches[[#This Row],[Дата]]),"Январь","Февраль","Март","Апрель","Май","Июнь","Июль","Август","Сентябрь","Октябрь","Ноябрь","Декабрь")&amp;" "&amp;YEAR(branches[[#This Row],[Дата]])</f>
        <v>Февраль 2025</v>
      </c>
      <c r="E637" t="s">
        <v>25</v>
      </c>
      <c r="F637" t="s">
        <v>12</v>
      </c>
      <c r="G637">
        <v>3</v>
      </c>
      <c r="H637">
        <v>645</v>
      </c>
      <c r="I637" t="s">
        <v>13</v>
      </c>
      <c r="J637" t="str">
        <f>_xlfn.XLOOKUP(branches[[#This Row],[Филиал]], tbl_Filialy[Филиал], tbl_Filialy[Менеджер])</f>
        <v>Алия Гайнутдинова</v>
      </c>
    </row>
    <row r="638" spans="1:10" x14ac:dyDescent="0.3">
      <c r="A638" t="str">
        <f>_xlfn.XLOOKUP(branches[[#This Row],[Филиал]], tbl_Filialy[Филиал], tbl_Filialy[Город])</f>
        <v>Казань</v>
      </c>
      <c r="B638" s="1" t="s">
        <v>30</v>
      </c>
      <c r="C638" s="2">
        <v>45933</v>
      </c>
      <c r="D638" s="2" t="str">
        <f>CHOOSE(MONTH(branches[[#This Row],[Дата]]),"Январь","Февраль","Март","Апрель","Май","Июнь","Июль","Август","Сентябрь","Октябрь","Ноябрь","Декабрь")&amp;" "&amp;YEAR(branches[[#This Row],[Дата]])</f>
        <v>Октябрь 2025</v>
      </c>
      <c r="E638" t="s">
        <v>26</v>
      </c>
      <c r="F638" t="s">
        <v>9</v>
      </c>
      <c r="G638">
        <v>1</v>
      </c>
      <c r="H638">
        <v>220</v>
      </c>
      <c r="I638" t="s">
        <v>10</v>
      </c>
      <c r="J638" t="str">
        <f>_xlfn.XLOOKUP(branches[[#This Row],[Филиал]], tbl_Filialy[Филиал], tbl_Filialy[Менеджер])</f>
        <v>Алия Гайнутдинова</v>
      </c>
    </row>
    <row r="639" spans="1:10" x14ac:dyDescent="0.3">
      <c r="A639" t="str">
        <f>_xlfn.XLOOKUP(branches[[#This Row],[Филиал]], tbl_Filialy[Филиал], tbl_Filialy[Город])</f>
        <v>Казань</v>
      </c>
      <c r="B639" s="1" t="s">
        <v>30</v>
      </c>
      <c r="C639" s="2">
        <v>45695</v>
      </c>
      <c r="D639" s="2" t="str">
        <f>CHOOSE(MONTH(branches[[#This Row],[Дата]]),"Январь","Февраль","Март","Апрель","Май","Июнь","Июль","Август","Сентябрь","Октябрь","Ноябрь","Декабрь")&amp;" "&amp;YEAR(branches[[#This Row],[Дата]])</f>
        <v>Февраль 2025</v>
      </c>
      <c r="E639" t="s">
        <v>24</v>
      </c>
      <c r="F639" t="s">
        <v>17</v>
      </c>
      <c r="G639">
        <v>1</v>
      </c>
      <c r="H639">
        <v>367</v>
      </c>
      <c r="I639" t="s">
        <v>23</v>
      </c>
      <c r="J639" t="str">
        <f>_xlfn.XLOOKUP(branches[[#This Row],[Филиал]], tbl_Filialy[Филиал], tbl_Filialy[Менеджер])</f>
        <v>Алия Гайнутдинова</v>
      </c>
    </row>
    <row r="640" spans="1:10" x14ac:dyDescent="0.3">
      <c r="A640" t="str">
        <f>_xlfn.XLOOKUP(branches[[#This Row],[Филиал]], tbl_Filialy[Филиал], tbl_Filialy[Город])</f>
        <v>Казань</v>
      </c>
      <c r="B640" s="1" t="s">
        <v>30</v>
      </c>
      <c r="C640" s="2">
        <v>45821</v>
      </c>
      <c r="D640" s="2" t="str">
        <f>CHOOSE(MONTH(branches[[#This Row],[Дата]]),"Январь","Февраль","Март","Апрель","Май","Июнь","Июль","Август","Сентябрь","Октябрь","Ноябрь","Декабрь")&amp;" "&amp;YEAR(branches[[#This Row],[Дата]])</f>
        <v>Июнь 2025</v>
      </c>
      <c r="E640" t="s">
        <v>28</v>
      </c>
      <c r="F640" t="s">
        <v>12</v>
      </c>
      <c r="G640">
        <v>1</v>
      </c>
      <c r="H640">
        <v>225</v>
      </c>
      <c r="I640" t="s">
        <v>13</v>
      </c>
      <c r="J640" t="str">
        <f>_xlfn.XLOOKUP(branches[[#This Row],[Филиал]], tbl_Filialy[Филиал], tbl_Filialy[Менеджер])</f>
        <v>Алия Гайнутдинова</v>
      </c>
    </row>
    <row r="641" spans="1:10" x14ac:dyDescent="0.3">
      <c r="A641" t="str">
        <f>_xlfn.XLOOKUP(branches[[#This Row],[Филиал]], tbl_Filialy[Филиал], tbl_Filialy[Город])</f>
        <v>Казань</v>
      </c>
      <c r="B641" s="1" t="s">
        <v>30</v>
      </c>
      <c r="C641" s="2">
        <v>45763</v>
      </c>
      <c r="D641" s="2" t="str">
        <f>CHOOSE(MONTH(branches[[#This Row],[Дата]]),"Январь","Февраль","Март","Апрель","Май","Июнь","Июль","Август","Сентябрь","Октябрь","Ноябрь","Декабрь")&amp;" "&amp;YEAR(branches[[#This Row],[Дата]])</f>
        <v>Апрель 2025</v>
      </c>
      <c r="E641" t="s">
        <v>25</v>
      </c>
      <c r="F641" t="s">
        <v>12</v>
      </c>
      <c r="G641">
        <v>2</v>
      </c>
      <c r="H641">
        <v>440</v>
      </c>
      <c r="I641" t="s">
        <v>13</v>
      </c>
      <c r="J641" t="str">
        <f>_xlfn.XLOOKUP(branches[[#This Row],[Филиал]], tbl_Filialy[Филиал], tbl_Filialy[Менеджер])</f>
        <v>Алия Гайнутдинова</v>
      </c>
    </row>
    <row r="642" spans="1:10" x14ac:dyDescent="0.3">
      <c r="A642" t="str">
        <f>_xlfn.XLOOKUP(branches[[#This Row],[Филиал]], tbl_Filialy[Филиал], tbl_Filialy[Город])</f>
        <v>Казань</v>
      </c>
      <c r="B642" s="1" t="s">
        <v>30</v>
      </c>
      <c r="C642" s="2">
        <v>45910</v>
      </c>
      <c r="D642" s="2" t="str">
        <f>CHOOSE(MONTH(branches[[#This Row],[Дата]]),"Январь","Февраль","Март","Апрель","Май","Июнь","Июль","Август","Сентябрь","Октябрь","Ноябрь","Декабрь")&amp;" "&amp;YEAR(branches[[#This Row],[Дата]])</f>
        <v>Сентябрь 2025</v>
      </c>
      <c r="E642" t="s">
        <v>11</v>
      </c>
      <c r="F642" t="s">
        <v>12</v>
      </c>
      <c r="G642">
        <v>1</v>
      </c>
      <c r="H642">
        <v>188</v>
      </c>
      <c r="I642" t="s">
        <v>21</v>
      </c>
      <c r="J642" t="str">
        <f>_xlfn.XLOOKUP(branches[[#This Row],[Филиал]], tbl_Filialy[Филиал], tbl_Filialy[Менеджер])</f>
        <v>Алия Гайнутдинова</v>
      </c>
    </row>
    <row r="643" spans="1:10" x14ac:dyDescent="0.3">
      <c r="A643" t="str">
        <f>_xlfn.XLOOKUP(branches[[#This Row],[Филиал]], tbl_Filialy[Филиал], tbl_Filialy[Город])</f>
        <v>Казань</v>
      </c>
      <c r="B643" s="1" t="s">
        <v>30</v>
      </c>
      <c r="C643" s="2">
        <v>45944</v>
      </c>
      <c r="D643" s="2" t="str">
        <f>CHOOSE(MONTH(branches[[#This Row],[Дата]]),"Январь","Февраль","Март","Апрель","Май","Июнь","Июль","Август","Сентябрь","Октябрь","Ноябрь","Декабрь")&amp;" "&amp;YEAR(branches[[#This Row],[Дата]])</f>
        <v>Октябрь 2025</v>
      </c>
      <c r="E643" t="s">
        <v>18</v>
      </c>
      <c r="F643" t="s">
        <v>12</v>
      </c>
      <c r="G643">
        <v>1</v>
      </c>
      <c r="H643">
        <v>147</v>
      </c>
      <c r="I643" t="s">
        <v>15</v>
      </c>
      <c r="J643" t="str">
        <f>_xlfn.XLOOKUP(branches[[#This Row],[Филиал]], tbl_Filialy[Филиал], tbl_Filialy[Менеджер])</f>
        <v>Алия Гайнутдинова</v>
      </c>
    </row>
    <row r="644" spans="1:10" x14ac:dyDescent="0.3">
      <c r="A644" t="str">
        <f>_xlfn.XLOOKUP(branches[[#This Row],[Филиал]], tbl_Filialy[Филиал], tbl_Filialy[Город])</f>
        <v>Казань</v>
      </c>
      <c r="B644" s="1" t="s">
        <v>30</v>
      </c>
      <c r="C644" s="2">
        <v>45864</v>
      </c>
      <c r="D644" s="2" t="str">
        <f>CHOOSE(MONTH(branches[[#This Row],[Дата]]),"Январь","Февраль","Март","Апрель","Май","Июнь","Июль","Август","Сентябрь","Октябрь","Ноябрь","Декабрь")&amp;" "&amp;YEAR(branches[[#This Row],[Дата]])</f>
        <v>Июль 2025</v>
      </c>
      <c r="E644" t="s">
        <v>20</v>
      </c>
      <c r="F644" t="s">
        <v>12</v>
      </c>
      <c r="G644">
        <v>2</v>
      </c>
      <c r="H644">
        <v>588</v>
      </c>
      <c r="I644" t="s">
        <v>13</v>
      </c>
      <c r="J644" t="str">
        <f>_xlfn.XLOOKUP(branches[[#This Row],[Филиал]], tbl_Filialy[Филиал], tbl_Filialy[Менеджер])</f>
        <v>Алия Гайнутдинова</v>
      </c>
    </row>
    <row r="645" spans="1:10" x14ac:dyDescent="0.3">
      <c r="A645" t="str">
        <f>_xlfn.XLOOKUP(branches[[#This Row],[Филиал]], tbl_Filialy[Филиал], tbl_Filialy[Город])</f>
        <v>Казань</v>
      </c>
      <c r="B645" s="1" t="s">
        <v>30</v>
      </c>
      <c r="C645" s="2">
        <v>45927</v>
      </c>
      <c r="D645" s="2" t="str">
        <f>CHOOSE(MONTH(branches[[#This Row],[Дата]]),"Январь","Февраль","Март","Апрель","Май","Июнь","Июль","Август","Сентябрь","Октябрь","Ноябрь","Декабрь")&amp;" "&amp;YEAR(branches[[#This Row],[Дата]])</f>
        <v>Сентябрь 2025</v>
      </c>
      <c r="E645" t="s">
        <v>22</v>
      </c>
      <c r="F645" t="s">
        <v>9</v>
      </c>
      <c r="G645">
        <v>3</v>
      </c>
      <c r="H645">
        <v>588</v>
      </c>
      <c r="I645" t="s">
        <v>10</v>
      </c>
      <c r="J645" t="str">
        <f>_xlfn.XLOOKUP(branches[[#This Row],[Филиал]], tbl_Filialy[Филиал], tbl_Filialy[Менеджер])</f>
        <v>Алия Гайнутдинова</v>
      </c>
    </row>
    <row r="646" spans="1:10" x14ac:dyDescent="0.3">
      <c r="A646" t="str">
        <f>_xlfn.XLOOKUP(branches[[#This Row],[Филиал]], tbl_Filialy[Филиал], tbl_Filialy[Город])</f>
        <v>Казань</v>
      </c>
      <c r="B646" s="1" t="s">
        <v>30</v>
      </c>
      <c r="C646" s="2">
        <v>45982</v>
      </c>
      <c r="D646" s="2" t="str">
        <f>CHOOSE(MONTH(branches[[#This Row],[Дата]]),"Январь","Февраль","Март","Апрель","Май","Июнь","Июль","Август","Сентябрь","Октябрь","Ноябрь","Декабрь")&amp;" "&amp;YEAR(branches[[#This Row],[Дата]])</f>
        <v>Ноябрь 2025</v>
      </c>
      <c r="E646" t="s">
        <v>8</v>
      </c>
      <c r="F646" t="s">
        <v>9</v>
      </c>
      <c r="G646">
        <v>3</v>
      </c>
      <c r="H646">
        <v>681</v>
      </c>
      <c r="I646" t="s">
        <v>19</v>
      </c>
      <c r="J646" t="str">
        <f>_xlfn.XLOOKUP(branches[[#This Row],[Филиал]], tbl_Filialy[Филиал], tbl_Filialy[Менеджер])</f>
        <v>Алия Гайнутдинова</v>
      </c>
    </row>
    <row r="647" spans="1:10" x14ac:dyDescent="0.3">
      <c r="A647" t="str">
        <f>_xlfn.XLOOKUP(branches[[#This Row],[Филиал]], tbl_Filialy[Филиал], tbl_Filialy[Город])</f>
        <v>Казань</v>
      </c>
      <c r="B647" s="1" t="s">
        <v>30</v>
      </c>
      <c r="C647" s="2">
        <v>45801</v>
      </c>
      <c r="D647" s="2" t="str">
        <f>CHOOSE(MONTH(branches[[#This Row],[Дата]]),"Январь","Февраль","Март","Апрель","Май","Июнь","Июль","Август","Сентябрь","Октябрь","Ноябрь","Декабрь")&amp;" "&amp;YEAR(branches[[#This Row],[Дата]])</f>
        <v>Май 2025</v>
      </c>
      <c r="E647" t="s">
        <v>24</v>
      </c>
      <c r="F647" t="s">
        <v>17</v>
      </c>
      <c r="G647">
        <v>1</v>
      </c>
      <c r="H647">
        <v>338</v>
      </c>
      <c r="I647" t="s">
        <v>29</v>
      </c>
      <c r="J647" t="str">
        <f>_xlfn.XLOOKUP(branches[[#This Row],[Филиал]], tbl_Filialy[Филиал], tbl_Filialy[Менеджер])</f>
        <v>Алия Гайнутдинова</v>
      </c>
    </row>
    <row r="648" spans="1:10" x14ac:dyDescent="0.3">
      <c r="A648" t="str">
        <f>_xlfn.XLOOKUP(branches[[#This Row],[Филиал]], tbl_Filialy[Филиал], tbl_Filialy[Город])</f>
        <v>Казань</v>
      </c>
      <c r="B648" s="1" t="s">
        <v>30</v>
      </c>
      <c r="C648" s="2">
        <v>45944</v>
      </c>
      <c r="D648" s="2" t="str">
        <f>CHOOSE(MONTH(branches[[#This Row],[Дата]]),"Январь","Февраль","Март","Апрель","Май","Июнь","Июль","Август","Сентябрь","Октябрь","Ноябрь","Декабрь")&amp;" "&amp;YEAR(branches[[#This Row],[Дата]])</f>
        <v>Октябрь 2025</v>
      </c>
      <c r="E648" t="s">
        <v>16</v>
      </c>
      <c r="F648" t="s">
        <v>17</v>
      </c>
      <c r="G648">
        <v>1</v>
      </c>
      <c r="H648">
        <v>310</v>
      </c>
      <c r="I648" t="s">
        <v>13</v>
      </c>
      <c r="J648" t="str">
        <f>_xlfn.XLOOKUP(branches[[#This Row],[Филиал]], tbl_Filialy[Филиал], tbl_Filialy[Менеджер])</f>
        <v>Алия Гайнутдинова</v>
      </c>
    </row>
    <row r="649" spans="1:10" x14ac:dyDescent="0.3">
      <c r="A649" t="str">
        <f>_xlfn.XLOOKUP(branches[[#This Row],[Филиал]], tbl_Filialy[Филиал], tbl_Filialy[Город])</f>
        <v>Казань</v>
      </c>
      <c r="B649" s="1" t="s">
        <v>30</v>
      </c>
      <c r="C649" s="2">
        <v>45998</v>
      </c>
      <c r="D649" s="2" t="str">
        <f>CHOOSE(MONTH(branches[[#This Row],[Дата]]),"Январь","Февраль","Март","Апрель","Май","Июнь","Июль","Август","Сентябрь","Октябрь","Ноябрь","Декабрь")&amp;" "&amp;YEAR(branches[[#This Row],[Дата]])</f>
        <v>Декабрь 2025</v>
      </c>
      <c r="E649" t="s">
        <v>24</v>
      </c>
      <c r="F649" t="s">
        <v>17</v>
      </c>
      <c r="G649">
        <v>3</v>
      </c>
      <c r="H649">
        <v>1236</v>
      </c>
      <c r="I649" t="s">
        <v>23</v>
      </c>
      <c r="J649" t="str">
        <f>_xlfn.XLOOKUP(branches[[#This Row],[Филиал]], tbl_Filialy[Филиал], tbl_Filialy[Менеджер])</f>
        <v>Алия Гайнутдинова</v>
      </c>
    </row>
    <row r="650" spans="1:10" x14ac:dyDescent="0.3">
      <c r="A650" t="str">
        <f>_xlfn.XLOOKUP(branches[[#This Row],[Филиал]], tbl_Filialy[Филиал], tbl_Filialy[Город])</f>
        <v>Казань</v>
      </c>
      <c r="B650" s="1" t="s">
        <v>30</v>
      </c>
      <c r="C650" s="2">
        <v>45770</v>
      </c>
      <c r="D650" s="2" t="str">
        <f>CHOOSE(MONTH(branches[[#This Row],[Дата]]),"Январь","Февраль","Март","Апрель","Май","Июнь","Июль","Август","Сентябрь","Октябрь","Ноябрь","Декабрь")&amp;" "&amp;YEAR(branches[[#This Row],[Дата]])</f>
        <v>Апрель 2025</v>
      </c>
      <c r="E650" t="s">
        <v>16</v>
      </c>
      <c r="F650" t="s">
        <v>17</v>
      </c>
      <c r="G650">
        <v>1</v>
      </c>
      <c r="H650">
        <v>300</v>
      </c>
      <c r="I650" t="s">
        <v>15</v>
      </c>
      <c r="J650" t="str">
        <f>_xlfn.XLOOKUP(branches[[#This Row],[Филиал]], tbl_Filialy[Филиал], tbl_Filialy[Менеджер])</f>
        <v>Алия Гайнутдинова</v>
      </c>
    </row>
    <row r="651" spans="1:10" x14ac:dyDescent="0.3">
      <c r="A651" t="str">
        <f>_xlfn.XLOOKUP(branches[[#This Row],[Филиал]], tbl_Filialy[Филиал], tbl_Filialy[Город])</f>
        <v>Казань</v>
      </c>
      <c r="B651" s="1" t="s">
        <v>30</v>
      </c>
      <c r="C651" s="2">
        <v>45914</v>
      </c>
      <c r="D651" s="2" t="str">
        <f>CHOOSE(MONTH(branches[[#This Row],[Дата]]),"Январь","Февраль","Март","Апрель","Май","Июнь","Июль","Август","Сентябрь","Октябрь","Ноябрь","Декабрь")&amp;" "&amp;YEAR(branches[[#This Row],[Дата]])</f>
        <v>Сентябрь 2025</v>
      </c>
      <c r="E651" t="s">
        <v>25</v>
      </c>
      <c r="F651" t="s">
        <v>12</v>
      </c>
      <c r="G651">
        <v>1</v>
      </c>
      <c r="H651">
        <v>200</v>
      </c>
      <c r="I651" t="s">
        <v>13</v>
      </c>
      <c r="J651" t="str">
        <f>_xlfn.XLOOKUP(branches[[#This Row],[Филиал]], tbl_Filialy[Филиал], tbl_Filialy[Менеджер])</f>
        <v>Алия Гайнутдинова</v>
      </c>
    </row>
    <row r="652" spans="1:10" x14ac:dyDescent="0.3">
      <c r="A652" t="str">
        <f>_xlfn.XLOOKUP(branches[[#This Row],[Филиал]], tbl_Filialy[Филиал], tbl_Filialy[Город])</f>
        <v>Казань</v>
      </c>
      <c r="B652" s="1" t="s">
        <v>30</v>
      </c>
      <c r="C652" s="2">
        <v>45699</v>
      </c>
      <c r="D652" s="2" t="str">
        <f>CHOOSE(MONTH(branches[[#This Row],[Дата]]),"Январь","Февраль","Март","Апрель","Май","Июнь","Июль","Август","Сентябрь","Октябрь","Ноябрь","Декабрь")&amp;" "&amp;YEAR(branches[[#This Row],[Дата]])</f>
        <v>Февраль 2025</v>
      </c>
      <c r="E652" t="s">
        <v>16</v>
      </c>
      <c r="F652" t="s">
        <v>17</v>
      </c>
      <c r="G652">
        <v>3</v>
      </c>
      <c r="H652">
        <v>909</v>
      </c>
      <c r="I652" t="s">
        <v>19</v>
      </c>
      <c r="J652" t="str">
        <f>_xlfn.XLOOKUP(branches[[#This Row],[Филиал]], tbl_Filialy[Филиал], tbl_Filialy[Менеджер])</f>
        <v>Алия Гайнутдинова</v>
      </c>
    </row>
    <row r="653" spans="1:10" x14ac:dyDescent="0.3">
      <c r="A653" t="str">
        <f>_xlfn.XLOOKUP(branches[[#This Row],[Филиал]], tbl_Filialy[Филиал], tbl_Filialy[Город])</f>
        <v>Казань</v>
      </c>
      <c r="B653" s="1" t="s">
        <v>30</v>
      </c>
      <c r="C653" s="2">
        <v>45877</v>
      </c>
      <c r="D653" s="2" t="str">
        <f>CHOOSE(MONTH(branches[[#This Row],[Дата]]),"Январь","Февраль","Март","Апрель","Май","Июнь","Июль","Август","Сентябрь","Октябрь","Ноябрь","Декабрь")&amp;" "&amp;YEAR(branches[[#This Row],[Дата]])</f>
        <v>Август 2025</v>
      </c>
      <c r="E653" t="s">
        <v>25</v>
      </c>
      <c r="F653" t="s">
        <v>12</v>
      </c>
      <c r="G653">
        <v>2</v>
      </c>
      <c r="H653">
        <v>462</v>
      </c>
      <c r="I653" t="s">
        <v>23</v>
      </c>
      <c r="J653" t="str">
        <f>_xlfn.XLOOKUP(branches[[#This Row],[Филиал]], tbl_Filialy[Филиал], tbl_Filialy[Менеджер])</f>
        <v>Алия Гайнутдинова</v>
      </c>
    </row>
    <row r="654" spans="1:10" x14ac:dyDescent="0.3">
      <c r="A654" t="str">
        <f>_xlfn.XLOOKUP(branches[[#This Row],[Филиал]], tbl_Filialy[Филиал], tbl_Filialy[Город])</f>
        <v>Казань</v>
      </c>
      <c r="B654" s="1" t="s">
        <v>30</v>
      </c>
      <c r="C654" s="2">
        <v>45722</v>
      </c>
      <c r="D654" s="2" t="str">
        <f>CHOOSE(MONTH(branches[[#This Row],[Дата]]),"Январь","Февраль","Март","Апрель","Май","Июнь","Июль","Август","Сентябрь","Октябрь","Ноябрь","Декабрь")&amp;" "&amp;YEAR(branches[[#This Row],[Дата]])</f>
        <v>Март 2025</v>
      </c>
      <c r="E654" t="s">
        <v>18</v>
      </c>
      <c r="F654" t="s">
        <v>12</v>
      </c>
      <c r="G654">
        <v>2</v>
      </c>
      <c r="H654">
        <v>298</v>
      </c>
      <c r="I654" t="s">
        <v>15</v>
      </c>
      <c r="J654" t="str">
        <f>_xlfn.XLOOKUP(branches[[#This Row],[Филиал]], tbl_Filialy[Филиал], tbl_Filialy[Менеджер])</f>
        <v>Алия Гайнутдинова</v>
      </c>
    </row>
    <row r="655" spans="1:10" x14ac:dyDescent="0.3">
      <c r="A655" t="str">
        <f>_xlfn.XLOOKUP(branches[[#This Row],[Филиал]], tbl_Filialy[Филиал], tbl_Filialy[Город])</f>
        <v>Казань</v>
      </c>
      <c r="B655" s="1" t="s">
        <v>30</v>
      </c>
      <c r="C655" s="2">
        <v>45983</v>
      </c>
      <c r="D655" s="2" t="str">
        <f>CHOOSE(MONTH(branches[[#This Row],[Дата]]),"Январь","Февраль","Март","Апрель","Май","Июнь","Июль","Август","Сентябрь","Октябрь","Ноябрь","Декабрь")&amp;" "&amp;YEAR(branches[[#This Row],[Дата]])</f>
        <v>Ноябрь 2025</v>
      </c>
      <c r="E655" t="s">
        <v>22</v>
      </c>
      <c r="F655" t="s">
        <v>9</v>
      </c>
      <c r="G655">
        <v>1</v>
      </c>
      <c r="H655">
        <v>183</v>
      </c>
      <c r="I655" t="s">
        <v>19</v>
      </c>
      <c r="J655" t="str">
        <f>_xlfn.XLOOKUP(branches[[#This Row],[Филиал]], tbl_Filialy[Филиал], tbl_Filialy[Менеджер])</f>
        <v>Алия Гайнутдинова</v>
      </c>
    </row>
    <row r="656" spans="1:10" x14ac:dyDescent="0.3">
      <c r="A656" t="str">
        <f>_xlfn.XLOOKUP(branches[[#This Row],[Филиал]], tbl_Filialy[Филиал], tbl_Filialy[Город])</f>
        <v>Казань</v>
      </c>
      <c r="B656" s="1" t="s">
        <v>30</v>
      </c>
      <c r="C656" s="2">
        <v>45979</v>
      </c>
      <c r="D656" s="2" t="str">
        <f>CHOOSE(MONTH(branches[[#This Row],[Дата]]),"Январь","Февраль","Март","Апрель","Май","Июнь","Июль","Август","Сентябрь","Октябрь","Ноябрь","Декабрь")&amp;" "&amp;YEAR(branches[[#This Row],[Дата]])</f>
        <v>Ноябрь 2025</v>
      </c>
      <c r="E656" t="s">
        <v>18</v>
      </c>
      <c r="F656" t="s">
        <v>12</v>
      </c>
      <c r="G656">
        <v>2</v>
      </c>
      <c r="H656">
        <v>282</v>
      </c>
      <c r="I656" t="s">
        <v>23</v>
      </c>
      <c r="J656" t="str">
        <f>_xlfn.XLOOKUP(branches[[#This Row],[Филиал]], tbl_Filialy[Филиал], tbl_Filialy[Менеджер])</f>
        <v>Алия Гайнутдинова</v>
      </c>
    </row>
    <row r="657" spans="1:10" x14ac:dyDescent="0.3">
      <c r="A657" t="str">
        <f>_xlfn.XLOOKUP(branches[[#This Row],[Филиал]], tbl_Filialy[Филиал], tbl_Filialy[Город])</f>
        <v>Казань</v>
      </c>
      <c r="B657" s="1" t="s">
        <v>30</v>
      </c>
      <c r="C657" s="2">
        <v>45768</v>
      </c>
      <c r="D657" s="2" t="str">
        <f>CHOOSE(MONTH(branches[[#This Row],[Дата]]),"Январь","Февраль","Март","Апрель","Май","Июнь","Июль","Август","Сентябрь","Октябрь","Ноябрь","Декабрь")&amp;" "&amp;YEAR(branches[[#This Row],[Дата]])</f>
        <v>Апрель 2025</v>
      </c>
      <c r="E657" t="s">
        <v>25</v>
      </c>
      <c r="F657" t="s">
        <v>12</v>
      </c>
      <c r="G657">
        <v>2</v>
      </c>
      <c r="H657">
        <v>432</v>
      </c>
      <c r="I657" t="s">
        <v>13</v>
      </c>
      <c r="J657" t="str">
        <f>_xlfn.XLOOKUP(branches[[#This Row],[Филиал]], tbl_Filialy[Филиал], tbl_Filialy[Менеджер])</f>
        <v>Алия Гайнутдинова</v>
      </c>
    </row>
    <row r="658" spans="1:10" x14ac:dyDescent="0.3">
      <c r="A658" t="str">
        <f>_xlfn.XLOOKUP(branches[[#This Row],[Филиал]], tbl_Filialy[Филиал], tbl_Filialy[Город])</f>
        <v>Казань</v>
      </c>
      <c r="B658" s="1" t="s">
        <v>30</v>
      </c>
      <c r="C658" s="2">
        <v>45911</v>
      </c>
      <c r="D658" s="2" t="str">
        <f>CHOOSE(MONTH(branches[[#This Row],[Дата]]),"Январь","Февраль","Март","Апрель","Май","Июнь","Июль","Август","Сентябрь","Октябрь","Ноябрь","Декабрь")&amp;" "&amp;YEAR(branches[[#This Row],[Дата]])</f>
        <v>Сентябрь 2025</v>
      </c>
      <c r="E658" t="s">
        <v>18</v>
      </c>
      <c r="F658" t="s">
        <v>12</v>
      </c>
      <c r="G658">
        <v>1</v>
      </c>
      <c r="H658">
        <v>138</v>
      </c>
      <c r="I658" t="s">
        <v>23</v>
      </c>
      <c r="J658" t="str">
        <f>_xlfn.XLOOKUP(branches[[#This Row],[Филиал]], tbl_Filialy[Филиал], tbl_Filialy[Менеджер])</f>
        <v>Алия Гайнутдинова</v>
      </c>
    </row>
    <row r="659" spans="1:10" x14ac:dyDescent="0.3">
      <c r="A659" t="str">
        <f>_xlfn.XLOOKUP(branches[[#This Row],[Филиал]], tbl_Filialy[Филиал], tbl_Filialy[Город])</f>
        <v>Казань</v>
      </c>
      <c r="B659" s="1" t="s">
        <v>30</v>
      </c>
      <c r="C659" s="2">
        <v>45941</v>
      </c>
      <c r="D659" s="2" t="str">
        <f>CHOOSE(MONTH(branches[[#This Row],[Дата]]),"Январь","Февраль","Март","Апрель","Май","Июнь","Июль","Август","Сентябрь","Октябрь","Ноябрь","Декабрь")&amp;" "&amp;YEAR(branches[[#This Row],[Дата]])</f>
        <v>Октябрь 2025</v>
      </c>
      <c r="E659" t="s">
        <v>28</v>
      </c>
      <c r="F659" t="s">
        <v>12</v>
      </c>
      <c r="G659">
        <v>1</v>
      </c>
      <c r="H659">
        <v>234</v>
      </c>
      <c r="I659" t="s">
        <v>15</v>
      </c>
      <c r="J659" t="str">
        <f>_xlfn.XLOOKUP(branches[[#This Row],[Филиал]], tbl_Filialy[Филиал], tbl_Filialy[Менеджер])</f>
        <v>Алия Гайнутдинова</v>
      </c>
    </row>
    <row r="660" spans="1:10" x14ac:dyDescent="0.3">
      <c r="A660" t="str">
        <f>_xlfn.XLOOKUP(branches[[#This Row],[Филиал]], tbl_Filialy[Филиал], tbl_Filialy[Город])</f>
        <v>Казань</v>
      </c>
      <c r="B660" s="1" t="s">
        <v>30</v>
      </c>
      <c r="C660" s="2">
        <v>45942</v>
      </c>
      <c r="D660" s="2" t="str">
        <f>CHOOSE(MONTH(branches[[#This Row],[Дата]]),"Январь","Февраль","Март","Апрель","Май","Июнь","Июль","Август","Сентябрь","Октябрь","Ноябрь","Декабрь")&amp;" "&amp;YEAR(branches[[#This Row],[Дата]])</f>
        <v>Октябрь 2025</v>
      </c>
      <c r="E660" t="s">
        <v>24</v>
      </c>
      <c r="F660" t="s">
        <v>17</v>
      </c>
      <c r="G660">
        <v>1</v>
      </c>
      <c r="H660">
        <v>395</v>
      </c>
      <c r="I660" t="s">
        <v>15</v>
      </c>
      <c r="J660" t="str">
        <f>_xlfn.XLOOKUP(branches[[#This Row],[Филиал]], tbl_Filialy[Филиал], tbl_Filialy[Менеджер])</f>
        <v>Алия Гайнутдинова</v>
      </c>
    </row>
    <row r="661" spans="1:10" x14ac:dyDescent="0.3">
      <c r="A661" t="str">
        <f>_xlfn.XLOOKUP(branches[[#This Row],[Филиал]], tbl_Filialy[Филиал], tbl_Filialy[Город])</f>
        <v>Казань</v>
      </c>
      <c r="B661" s="1" t="s">
        <v>30</v>
      </c>
      <c r="C661" s="2">
        <v>45858</v>
      </c>
      <c r="D661" s="2" t="str">
        <f>CHOOSE(MONTH(branches[[#This Row],[Дата]]),"Январь","Февраль","Март","Апрель","Май","Июнь","Июль","Август","Сентябрь","Октябрь","Ноябрь","Декабрь")&amp;" "&amp;YEAR(branches[[#This Row],[Дата]])</f>
        <v>Июль 2025</v>
      </c>
      <c r="E661" t="s">
        <v>27</v>
      </c>
      <c r="F661" t="s">
        <v>12</v>
      </c>
      <c r="G661">
        <v>3</v>
      </c>
      <c r="H661">
        <v>711</v>
      </c>
      <c r="I661" t="s">
        <v>23</v>
      </c>
      <c r="J661" t="str">
        <f>_xlfn.XLOOKUP(branches[[#This Row],[Филиал]], tbl_Filialy[Филиал], tbl_Filialy[Менеджер])</f>
        <v>Алия Гайнутдинова</v>
      </c>
    </row>
    <row r="662" spans="1:10" x14ac:dyDescent="0.3">
      <c r="A662" t="str">
        <f>_xlfn.XLOOKUP(branches[[#This Row],[Филиал]], tbl_Filialy[Филиал], tbl_Filialy[Город])</f>
        <v>Казань</v>
      </c>
      <c r="B662" s="1" t="s">
        <v>30</v>
      </c>
      <c r="C662" s="2">
        <v>45670</v>
      </c>
      <c r="D662" s="2" t="str">
        <f>CHOOSE(MONTH(branches[[#This Row],[Дата]]),"Январь","Февраль","Март","Апрель","Май","Июнь","Июль","Август","Сентябрь","Октябрь","Ноябрь","Декабрь")&amp;" "&amp;YEAR(branches[[#This Row],[Дата]])</f>
        <v>Январь 2025</v>
      </c>
      <c r="E662" t="s">
        <v>22</v>
      </c>
      <c r="F662" t="s">
        <v>9</v>
      </c>
      <c r="G662">
        <v>1</v>
      </c>
      <c r="H662">
        <v>179</v>
      </c>
      <c r="I662" t="s">
        <v>23</v>
      </c>
      <c r="J662" t="str">
        <f>_xlfn.XLOOKUP(branches[[#This Row],[Филиал]], tbl_Filialy[Филиал], tbl_Filialy[Менеджер])</f>
        <v>Алия Гайнутдинова</v>
      </c>
    </row>
    <row r="663" spans="1:10" x14ac:dyDescent="0.3">
      <c r="A663" t="str">
        <f>_xlfn.XLOOKUP(branches[[#This Row],[Филиал]], tbl_Filialy[Филиал], tbl_Filialy[Город])</f>
        <v>Казань</v>
      </c>
      <c r="B663" s="1" t="s">
        <v>30</v>
      </c>
      <c r="C663" s="2">
        <v>45998</v>
      </c>
      <c r="D663" s="2" t="str">
        <f>CHOOSE(MONTH(branches[[#This Row],[Дата]]),"Январь","Февраль","Март","Апрель","Май","Июнь","Июль","Август","Сентябрь","Октябрь","Ноябрь","Декабрь")&amp;" "&amp;YEAR(branches[[#This Row],[Дата]])</f>
        <v>Декабрь 2025</v>
      </c>
      <c r="E663" t="s">
        <v>20</v>
      </c>
      <c r="F663" t="s">
        <v>12</v>
      </c>
      <c r="G663">
        <v>1</v>
      </c>
      <c r="H663">
        <v>295</v>
      </c>
      <c r="I663" t="s">
        <v>10</v>
      </c>
      <c r="J663" t="str">
        <f>_xlfn.XLOOKUP(branches[[#This Row],[Филиал]], tbl_Filialy[Филиал], tbl_Filialy[Менеджер])</f>
        <v>Алия Гайнутдинова</v>
      </c>
    </row>
    <row r="664" spans="1:10" x14ac:dyDescent="0.3">
      <c r="A664" t="str">
        <f>_xlfn.XLOOKUP(branches[[#This Row],[Филиал]], tbl_Filialy[Филиал], tbl_Filialy[Город])</f>
        <v>Казань</v>
      </c>
      <c r="B664" s="1" t="s">
        <v>30</v>
      </c>
      <c r="C664" s="2">
        <v>45975</v>
      </c>
      <c r="D664" s="2" t="str">
        <f>CHOOSE(MONTH(branches[[#This Row],[Дата]]),"Январь","Февраль","Март","Апрель","Май","Июнь","Июль","Август","Сентябрь","Октябрь","Ноябрь","Декабрь")&amp;" "&amp;YEAR(branches[[#This Row],[Дата]])</f>
        <v>Ноябрь 2025</v>
      </c>
      <c r="E664" t="s">
        <v>28</v>
      </c>
      <c r="F664" t="s">
        <v>12</v>
      </c>
      <c r="G664">
        <v>1</v>
      </c>
      <c r="H664">
        <v>209</v>
      </c>
      <c r="I664" t="s">
        <v>10</v>
      </c>
      <c r="J664" t="str">
        <f>_xlfn.XLOOKUP(branches[[#This Row],[Филиал]], tbl_Filialy[Филиал], tbl_Filialy[Менеджер])</f>
        <v>Алия Гайнутдинова</v>
      </c>
    </row>
    <row r="665" spans="1:10" x14ac:dyDescent="0.3">
      <c r="A665" t="str">
        <f>_xlfn.XLOOKUP(branches[[#This Row],[Филиал]], tbl_Filialy[Филиал], tbl_Filialy[Город])</f>
        <v>Казань</v>
      </c>
      <c r="B665" s="1" t="s">
        <v>30</v>
      </c>
      <c r="C665" s="2">
        <v>45703</v>
      </c>
      <c r="D665" s="2" t="str">
        <f>CHOOSE(MONTH(branches[[#This Row],[Дата]]),"Январь","Февраль","Март","Апрель","Май","Июнь","Июль","Август","Сентябрь","Октябрь","Ноябрь","Декабрь")&amp;" "&amp;YEAR(branches[[#This Row],[Дата]])</f>
        <v>Февраль 2025</v>
      </c>
      <c r="E665" t="s">
        <v>28</v>
      </c>
      <c r="F665" t="s">
        <v>12</v>
      </c>
      <c r="G665">
        <v>1</v>
      </c>
      <c r="H665">
        <v>210</v>
      </c>
      <c r="I665" t="s">
        <v>15</v>
      </c>
      <c r="J665" t="str">
        <f>_xlfn.XLOOKUP(branches[[#This Row],[Филиал]], tbl_Filialy[Филиал], tbl_Filialy[Менеджер])</f>
        <v>Алия Гайнутдинова</v>
      </c>
    </row>
    <row r="666" spans="1:10" x14ac:dyDescent="0.3">
      <c r="A666" t="str">
        <f>_xlfn.XLOOKUP(branches[[#This Row],[Филиал]], tbl_Filialy[Филиал], tbl_Filialy[Город])</f>
        <v>Казань</v>
      </c>
      <c r="B666" s="1" t="s">
        <v>30</v>
      </c>
      <c r="C666" s="2">
        <v>45742</v>
      </c>
      <c r="D666" s="2" t="str">
        <f>CHOOSE(MONTH(branches[[#This Row],[Дата]]),"Январь","Февраль","Март","Апрель","Май","Июнь","Июль","Август","Сентябрь","Октябрь","Ноябрь","Декабрь")&amp;" "&amp;YEAR(branches[[#This Row],[Дата]])</f>
        <v>Март 2025</v>
      </c>
      <c r="E666" t="s">
        <v>8</v>
      </c>
      <c r="F666" t="s">
        <v>9</v>
      </c>
      <c r="G666">
        <v>1</v>
      </c>
      <c r="H666">
        <v>230</v>
      </c>
      <c r="I666" t="s">
        <v>23</v>
      </c>
      <c r="J666" t="str">
        <f>_xlfn.XLOOKUP(branches[[#This Row],[Филиал]], tbl_Filialy[Филиал], tbl_Filialy[Менеджер])</f>
        <v>Алия Гайнутдинова</v>
      </c>
    </row>
    <row r="667" spans="1:10" x14ac:dyDescent="0.3">
      <c r="A667" t="str">
        <f>_xlfn.XLOOKUP(branches[[#This Row],[Филиал]], tbl_Filialy[Филиал], tbl_Filialy[Город])</f>
        <v>Казань</v>
      </c>
      <c r="B667" s="1" t="s">
        <v>30</v>
      </c>
      <c r="C667" s="2">
        <v>45811</v>
      </c>
      <c r="D667" s="2" t="str">
        <f>CHOOSE(MONTH(branches[[#This Row],[Дата]]),"Январь","Февраль","Март","Апрель","Май","Июнь","Июль","Август","Сентябрь","Октябрь","Ноябрь","Декабрь")&amp;" "&amp;YEAR(branches[[#This Row],[Дата]])</f>
        <v>Июнь 2025</v>
      </c>
      <c r="E667" t="s">
        <v>8</v>
      </c>
      <c r="F667" t="s">
        <v>9</v>
      </c>
      <c r="G667">
        <v>3</v>
      </c>
      <c r="H667">
        <v>666</v>
      </c>
      <c r="I667" t="s">
        <v>10</v>
      </c>
      <c r="J667" t="str">
        <f>_xlfn.XLOOKUP(branches[[#This Row],[Филиал]], tbl_Filialy[Филиал], tbl_Filialy[Менеджер])</f>
        <v>Алия Гайнутдинова</v>
      </c>
    </row>
    <row r="668" spans="1:10" x14ac:dyDescent="0.3">
      <c r="A668" t="str">
        <f>_xlfn.XLOOKUP(branches[[#This Row],[Филиал]], tbl_Filialy[Филиал], tbl_Filialy[Город])</f>
        <v>Казань</v>
      </c>
      <c r="B668" s="1" t="s">
        <v>30</v>
      </c>
      <c r="C668" s="2">
        <v>45917</v>
      </c>
      <c r="D668" s="2" t="str">
        <f>CHOOSE(MONTH(branches[[#This Row],[Дата]]),"Январь","Февраль","Март","Апрель","Май","Июнь","Июль","Август","Сентябрь","Октябрь","Ноябрь","Декабрь")&amp;" "&amp;YEAR(branches[[#This Row],[Дата]])</f>
        <v>Сентябрь 2025</v>
      </c>
      <c r="E668" t="s">
        <v>11</v>
      </c>
      <c r="F668" t="s">
        <v>12</v>
      </c>
      <c r="G668">
        <v>1</v>
      </c>
      <c r="H668">
        <v>155</v>
      </c>
      <c r="I668" t="s">
        <v>15</v>
      </c>
      <c r="J668" t="str">
        <f>_xlfn.XLOOKUP(branches[[#This Row],[Филиал]], tbl_Filialy[Филиал], tbl_Filialy[Менеджер])</f>
        <v>Алия Гайнутдинова</v>
      </c>
    </row>
    <row r="669" spans="1:10" x14ac:dyDescent="0.3">
      <c r="A669" t="str">
        <f>_xlfn.XLOOKUP(branches[[#This Row],[Филиал]], tbl_Filialy[Филиал], tbl_Filialy[Город])</f>
        <v>Казань</v>
      </c>
      <c r="B669" s="1" t="s">
        <v>30</v>
      </c>
      <c r="C669" s="2">
        <v>45993</v>
      </c>
      <c r="D669" s="2" t="str">
        <f>CHOOSE(MONTH(branches[[#This Row],[Дата]]),"Январь","Февраль","Март","Апрель","Май","Июнь","Июль","Август","Сентябрь","Октябрь","Ноябрь","Декабрь")&amp;" "&amp;YEAR(branches[[#This Row],[Дата]])</f>
        <v>Декабрь 2025</v>
      </c>
      <c r="E669" t="s">
        <v>18</v>
      </c>
      <c r="F669" t="s">
        <v>12</v>
      </c>
      <c r="G669">
        <v>2</v>
      </c>
      <c r="H669">
        <v>286</v>
      </c>
      <c r="I669" t="s">
        <v>10</v>
      </c>
      <c r="J669" t="str">
        <f>_xlfn.XLOOKUP(branches[[#This Row],[Филиал]], tbl_Filialy[Филиал], tbl_Filialy[Менеджер])</f>
        <v>Алия Гайнутдинова</v>
      </c>
    </row>
    <row r="670" spans="1:10" x14ac:dyDescent="0.3">
      <c r="A670" t="str">
        <f>_xlfn.XLOOKUP(branches[[#This Row],[Филиал]], tbl_Filialy[Филиал], tbl_Filialy[Город])</f>
        <v>Казань</v>
      </c>
      <c r="B670" s="1" t="s">
        <v>30</v>
      </c>
      <c r="C670" s="2">
        <v>46016</v>
      </c>
      <c r="D670" s="2" t="str">
        <f>CHOOSE(MONTH(branches[[#This Row],[Дата]]),"Январь","Февраль","Март","Апрель","Май","Июнь","Июль","Август","Сентябрь","Октябрь","Ноябрь","Декабрь")&amp;" "&amp;YEAR(branches[[#This Row],[Дата]])</f>
        <v>Декабрь 2025</v>
      </c>
      <c r="E670" t="s">
        <v>16</v>
      </c>
      <c r="F670" t="s">
        <v>17</v>
      </c>
      <c r="G670">
        <v>1</v>
      </c>
      <c r="H670">
        <v>313</v>
      </c>
      <c r="I670" t="s">
        <v>13</v>
      </c>
      <c r="J670" t="str">
        <f>_xlfn.XLOOKUP(branches[[#This Row],[Филиал]], tbl_Filialy[Филиал], tbl_Filialy[Менеджер])</f>
        <v>Алия Гайнутдинова</v>
      </c>
    </row>
    <row r="671" spans="1:10" x14ac:dyDescent="0.3">
      <c r="A671" t="str">
        <f>_xlfn.XLOOKUP(branches[[#This Row],[Филиал]], tbl_Filialy[Филиал], tbl_Filialy[Город])</f>
        <v>Казань</v>
      </c>
      <c r="B671" s="1" t="s">
        <v>30</v>
      </c>
      <c r="C671" s="2">
        <v>45935</v>
      </c>
      <c r="D671" s="2" t="str">
        <f>CHOOSE(MONTH(branches[[#This Row],[Дата]]),"Январь","Февраль","Март","Апрель","Май","Июнь","Июль","Август","Сентябрь","Октябрь","Ноябрь","Декабрь")&amp;" "&amp;YEAR(branches[[#This Row],[Дата]])</f>
        <v>Октябрь 2025</v>
      </c>
      <c r="E671" t="s">
        <v>8</v>
      </c>
      <c r="F671" t="s">
        <v>9</v>
      </c>
      <c r="G671">
        <v>1</v>
      </c>
      <c r="H671">
        <v>277</v>
      </c>
      <c r="I671" t="s">
        <v>13</v>
      </c>
      <c r="J671" t="str">
        <f>_xlfn.XLOOKUP(branches[[#This Row],[Филиал]], tbl_Filialy[Филиал], tbl_Filialy[Менеджер])</f>
        <v>Алия Гайнутдинова</v>
      </c>
    </row>
    <row r="672" spans="1:10" x14ac:dyDescent="0.3">
      <c r="A672" t="str">
        <f>_xlfn.XLOOKUP(branches[[#This Row],[Филиал]], tbl_Filialy[Филиал], tbl_Filialy[Город])</f>
        <v>Казань</v>
      </c>
      <c r="B672" s="1" t="s">
        <v>30</v>
      </c>
      <c r="C672" s="2">
        <v>45883</v>
      </c>
      <c r="D672" s="2" t="str">
        <f>CHOOSE(MONTH(branches[[#This Row],[Дата]]),"Январь","Февраль","Март","Апрель","Май","Июнь","Июль","Август","Сентябрь","Октябрь","Ноябрь","Декабрь")&amp;" "&amp;YEAR(branches[[#This Row],[Дата]])</f>
        <v>Август 2025</v>
      </c>
      <c r="E672" t="s">
        <v>24</v>
      </c>
      <c r="F672" t="s">
        <v>17</v>
      </c>
      <c r="G672">
        <v>2</v>
      </c>
      <c r="H672">
        <v>850</v>
      </c>
      <c r="I672" t="s">
        <v>13</v>
      </c>
      <c r="J672" t="str">
        <f>_xlfn.XLOOKUP(branches[[#This Row],[Филиал]], tbl_Filialy[Филиал], tbl_Filialy[Менеджер])</f>
        <v>Алия Гайнутдинова</v>
      </c>
    </row>
    <row r="673" spans="1:10" x14ac:dyDescent="0.3">
      <c r="A673" t="str">
        <f>_xlfn.XLOOKUP(branches[[#This Row],[Филиал]], tbl_Filialy[Филиал], tbl_Filialy[Город])</f>
        <v>Казань</v>
      </c>
      <c r="B673" s="1" t="s">
        <v>30</v>
      </c>
      <c r="C673" s="2">
        <v>45951</v>
      </c>
      <c r="D673" s="2" t="str">
        <f>CHOOSE(MONTH(branches[[#This Row],[Дата]]),"Январь","Февраль","Март","Апрель","Май","Июнь","Июль","Август","Сентябрь","Октябрь","Ноябрь","Декабрь")&amp;" "&amp;YEAR(branches[[#This Row],[Дата]])</f>
        <v>Октябрь 2025</v>
      </c>
      <c r="E673" t="s">
        <v>8</v>
      </c>
      <c r="F673" t="s">
        <v>9</v>
      </c>
      <c r="G673">
        <v>1</v>
      </c>
      <c r="H673">
        <v>230</v>
      </c>
      <c r="I673" t="s">
        <v>23</v>
      </c>
      <c r="J673" t="str">
        <f>_xlfn.XLOOKUP(branches[[#This Row],[Филиал]], tbl_Filialy[Филиал], tbl_Filialy[Менеджер])</f>
        <v>Алия Гайнутдинова</v>
      </c>
    </row>
    <row r="674" spans="1:10" x14ac:dyDescent="0.3">
      <c r="A674" t="str">
        <f>_xlfn.XLOOKUP(branches[[#This Row],[Филиал]], tbl_Filialy[Филиал], tbl_Filialy[Город])</f>
        <v>Казань</v>
      </c>
      <c r="B674" s="1" t="s">
        <v>30</v>
      </c>
      <c r="C674" s="2">
        <v>45714</v>
      </c>
      <c r="D674" s="2" t="str">
        <f>CHOOSE(MONTH(branches[[#This Row],[Дата]]),"Январь","Февраль","Март","Апрель","Май","Июнь","Июль","Август","Сентябрь","Октябрь","Ноябрь","Декабрь")&amp;" "&amp;YEAR(branches[[#This Row],[Дата]])</f>
        <v>Февраль 2025</v>
      </c>
      <c r="E674" t="s">
        <v>16</v>
      </c>
      <c r="F674" t="s">
        <v>17</v>
      </c>
      <c r="G674">
        <v>3</v>
      </c>
      <c r="H674">
        <v>1047</v>
      </c>
      <c r="I674" t="s">
        <v>19</v>
      </c>
      <c r="J674" t="str">
        <f>_xlfn.XLOOKUP(branches[[#This Row],[Филиал]], tbl_Filialy[Филиал], tbl_Filialy[Менеджер])</f>
        <v>Алия Гайнутдинова</v>
      </c>
    </row>
    <row r="675" spans="1:10" x14ac:dyDescent="0.3">
      <c r="A675" t="str">
        <f>_xlfn.XLOOKUP(branches[[#This Row],[Филиал]], tbl_Filialy[Филиал], tbl_Filialy[Город])</f>
        <v>Казань</v>
      </c>
      <c r="B675" s="1" t="s">
        <v>30</v>
      </c>
      <c r="C675" s="2">
        <v>45958</v>
      </c>
      <c r="D675" s="2" t="str">
        <f>CHOOSE(MONTH(branches[[#This Row],[Дата]]),"Январь","Февраль","Март","Апрель","Май","Июнь","Июль","Август","Сентябрь","Октябрь","Ноябрь","Декабрь")&amp;" "&amp;YEAR(branches[[#This Row],[Дата]])</f>
        <v>Октябрь 2025</v>
      </c>
      <c r="E675" t="s">
        <v>22</v>
      </c>
      <c r="F675" t="s">
        <v>9</v>
      </c>
      <c r="G675">
        <v>2</v>
      </c>
      <c r="H675">
        <v>322</v>
      </c>
      <c r="I675" t="s">
        <v>15</v>
      </c>
      <c r="J675" t="str">
        <f>_xlfn.XLOOKUP(branches[[#This Row],[Филиал]], tbl_Filialy[Филиал], tbl_Filialy[Менеджер])</f>
        <v>Алия Гайнутдинова</v>
      </c>
    </row>
    <row r="676" spans="1:10" x14ac:dyDescent="0.3">
      <c r="A676" t="str">
        <f>_xlfn.XLOOKUP(branches[[#This Row],[Филиал]], tbl_Filialy[Филиал], tbl_Filialy[Город])</f>
        <v>Казань</v>
      </c>
      <c r="B676" s="1" t="s">
        <v>30</v>
      </c>
      <c r="C676" s="2">
        <v>45765</v>
      </c>
      <c r="D676" s="2" t="str">
        <f>CHOOSE(MONTH(branches[[#This Row],[Дата]]),"Январь","Февраль","Март","Апрель","Май","Июнь","Июль","Август","Сентябрь","Октябрь","Ноябрь","Декабрь")&amp;" "&amp;YEAR(branches[[#This Row],[Дата]])</f>
        <v>Апрель 2025</v>
      </c>
      <c r="E676" t="s">
        <v>16</v>
      </c>
      <c r="F676" t="s">
        <v>17</v>
      </c>
      <c r="G676">
        <v>2</v>
      </c>
      <c r="H676">
        <v>576</v>
      </c>
      <c r="I676" t="s">
        <v>13</v>
      </c>
      <c r="J676" t="str">
        <f>_xlfn.XLOOKUP(branches[[#This Row],[Филиал]], tbl_Filialy[Филиал], tbl_Filialy[Менеджер])</f>
        <v>Алия Гайнутдинова</v>
      </c>
    </row>
    <row r="677" spans="1:10" x14ac:dyDescent="0.3">
      <c r="A677" t="str">
        <f>_xlfn.XLOOKUP(branches[[#This Row],[Филиал]], tbl_Filialy[Филиал], tbl_Filialy[Город])</f>
        <v>Казань</v>
      </c>
      <c r="B677" s="1" t="s">
        <v>30</v>
      </c>
      <c r="C677" s="2">
        <v>45846</v>
      </c>
      <c r="D677" s="2" t="str">
        <f>CHOOSE(MONTH(branches[[#This Row],[Дата]]),"Январь","Февраль","Март","Апрель","Май","Июнь","Июль","Август","Сентябрь","Октябрь","Ноябрь","Декабрь")&amp;" "&amp;YEAR(branches[[#This Row],[Дата]])</f>
        <v>Июль 2025</v>
      </c>
      <c r="E677" t="s">
        <v>25</v>
      </c>
      <c r="F677" t="s">
        <v>12</v>
      </c>
      <c r="G677">
        <v>3</v>
      </c>
      <c r="H677">
        <v>609</v>
      </c>
      <c r="I677" t="s">
        <v>23</v>
      </c>
      <c r="J677" t="str">
        <f>_xlfn.XLOOKUP(branches[[#This Row],[Филиал]], tbl_Filialy[Филиал], tbl_Filialy[Менеджер])</f>
        <v>Алия Гайнутдинова</v>
      </c>
    </row>
    <row r="678" spans="1:10" x14ac:dyDescent="0.3">
      <c r="A678" t="str">
        <f>_xlfn.XLOOKUP(branches[[#This Row],[Филиал]], tbl_Filialy[Филиал], tbl_Filialy[Город])</f>
        <v>Казань</v>
      </c>
      <c r="B678" s="1" t="s">
        <v>30</v>
      </c>
      <c r="C678" s="2">
        <v>45721</v>
      </c>
      <c r="D678" s="2" t="str">
        <f>CHOOSE(MONTH(branches[[#This Row],[Дата]]),"Январь","Февраль","Март","Апрель","Май","Июнь","Июль","Август","Сентябрь","Октябрь","Ноябрь","Декабрь")&amp;" "&amp;YEAR(branches[[#This Row],[Дата]])</f>
        <v>Март 2025</v>
      </c>
      <c r="E678" t="s">
        <v>20</v>
      </c>
      <c r="F678" t="s">
        <v>12</v>
      </c>
      <c r="G678">
        <v>1</v>
      </c>
      <c r="H678">
        <v>314</v>
      </c>
      <c r="I678" t="s">
        <v>10</v>
      </c>
      <c r="J678" t="str">
        <f>_xlfn.XLOOKUP(branches[[#This Row],[Филиал]], tbl_Filialy[Филиал], tbl_Filialy[Менеджер])</f>
        <v>Алия Гайнутдинова</v>
      </c>
    </row>
    <row r="679" spans="1:10" x14ac:dyDescent="0.3">
      <c r="A679" t="str">
        <f>_xlfn.XLOOKUP(branches[[#This Row],[Филиал]], tbl_Filialy[Филиал], tbl_Filialy[Город])</f>
        <v>Казань</v>
      </c>
      <c r="B679" s="1" t="s">
        <v>30</v>
      </c>
      <c r="C679" s="2">
        <v>45821</v>
      </c>
      <c r="D679" s="2" t="str">
        <f>CHOOSE(MONTH(branches[[#This Row],[Дата]]),"Январь","Февраль","Март","Апрель","Май","Июнь","Июль","Август","Сентябрь","Октябрь","Ноябрь","Декабрь")&amp;" "&amp;YEAR(branches[[#This Row],[Дата]])</f>
        <v>Июнь 2025</v>
      </c>
      <c r="E679" t="s">
        <v>16</v>
      </c>
      <c r="F679" t="s">
        <v>17</v>
      </c>
      <c r="G679">
        <v>1</v>
      </c>
      <c r="H679">
        <v>302</v>
      </c>
      <c r="I679" t="s">
        <v>19</v>
      </c>
      <c r="J679" t="str">
        <f>_xlfn.XLOOKUP(branches[[#This Row],[Филиал]], tbl_Filialy[Филиал], tbl_Filialy[Менеджер])</f>
        <v>Алия Гайнутдинова</v>
      </c>
    </row>
    <row r="680" spans="1:10" x14ac:dyDescent="0.3">
      <c r="A680" t="str">
        <f>_xlfn.XLOOKUP(branches[[#This Row],[Филиал]], tbl_Filialy[Филиал], tbl_Filialy[Город])</f>
        <v>Казань</v>
      </c>
      <c r="B680" s="1" t="s">
        <v>30</v>
      </c>
      <c r="C680" s="2">
        <v>45904</v>
      </c>
      <c r="D680" s="2" t="str">
        <f>CHOOSE(MONTH(branches[[#This Row],[Дата]]),"Январь","Февраль","Март","Апрель","Май","Июнь","Июль","Август","Сентябрь","Октябрь","Ноябрь","Декабрь")&amp;" "&amp;YEAR(branches[[#This Row],[Дата]])</f>
        <v>Сентябрь 2025</v>
      </c>
      <c r="E680" t="s">
        <v>16</v>
      </c>
      <c r="F680" t="s">
        <v>17</v>
      </c>
      <c r="G680">
        <v>3</v>
      </c>
      <c r="H680">
        <v>897</v>
      </c>
      <c r="I680" t="s">
        <v>10</v>
      </c>
      <c r="J680" t="str">
        <f>_xlfn.XLOOKUP(branches[[#This Row],[Филиал]], tbl_Filialy[Филиал], tbl_Filialy[Менеджер])</f>
        <v>Алия Гайнутдинова</v>
      </c>
    </row>
    <row r="681" spans="1:10" x14ac:dyDescent="0.3">
      <c r="A681" t="str">
        <f>_xlfn.XLOOKUP(branches[[#This Row],[Филиал]], tbl_Filialy[Филиал], tbl_Filialy[Город])</f>
        <v>Казань</v>
      </c>
      <c r="B681" s="1" t="s">
        <v>30</v>
      </c>
      <c r="C681" s="2">
        <v>45668</v>
      </c>
      <c r="D681" s="2" t="str">
        <f>CHOOSE(MONTH(branches[[#This Row],[Дата]]),"Январь","Февраль","Март","Апрель","Май","Июнь","Июль","Август","Сентябрь","Октябрь","Ноябрь","Декабрь")&amp;" "&amp;YEAR(branches[[#This Row],[Дата]])</f>
        <v>Январь 2025</v>
      </c>
      <c r="E681" t="s">
        <v>25</v>
      </c>
      <c r="F681" t="s">
        <v>12</v>
      </c>
      <c r="G681">
        <v>2</v>
      </c>
      <c r="H681">
        <v>490</v>
      </c>
      <c r="I681" t="s">
        <v>19</v>
      </c>
      <c r="J681" t="str">
        <f>_xlfn.XLOOKUP(branches[[#This Row],[Филиал]], tbl_Filialy[Филиал], tbl_Filialy[Менеджер])</f>
        <v>Алия Гайнутдинова</v>
      </c>
    </row>
    <row r="682" spans="1:10" x14ac:dyDescent="0.3">
      <c r="A682" t="str">
        <f>_xlfn.XLOOKUP(branches[[#This Row],[Филиал]], tbl_Filialy[Филиал], tbl_Filialy[Город])</f>
        <v>Казань</v>
      </c>
      <c r="B682" s="1" t="s">
        <v>30</v>
      </c>
      <c r="C682" s="2">
        <v>45813</v>
      </c>
      <c r="D682" s="2" t="str">
        <f>CHOOSE(MONTH(branches[[#This Row],[Дата]]),"Январь","Февраль","Март","Апрель","Май","Июнь","Июль","Август","Сентябрь","Октябрь","Ноябрь","Декабрь")&amp;" "&amp;YEAR(branches[[#This Row],[Дата]])</f>
        <v>Июнь 2025</v>
      </c>
      <c r="E682" t="s">
        <v>22</v>
      </c>
      <c r="F682" t="s">
        <v>9</v>
      </c>
      <c r="G682">
        <v>2</v>
      </c>
      <c r="H682">
        <v>354</v>
      </c>
      <c r="I682" t="s">
        <v>15</v>
      </c>
      <c r="J682" t="str">
        <f>_xlfn.XLOOKUP(branches[[#This Row],[Филиал]], tbl_Filialy[Филиал], tbl_Filialy[Менеджер])</f>
        <v>Алия Гайнутдинова</v>
      </c>
    </row>
    <row r="683" spans="1:10" x14ac:dyDescent="0.3">
      <c r="A683" t="str">
        <f>_xlfn.XLOOKUP(branches[[#This Row],[Филиал]], tbl_Filialy[Филиал], tbl_Filialy[Город])</f>
        <v>Казань</v>
      </c>
      <c r="B683" s="1" t="s">
        <v>30</v>
      </c>
      <c r="C683" s="2">
        <v>45956</v>
      </c>
      <c r="D683" s="2" t="str">
        <f>CHOOSE(MONTH(branches[[#This Row],[Дата]]),"Январь","Февраль","Март","Апрель","Май","Июнь","Июль","Август","Сентябрь","Октябрь","Ноябрь","Декабрь")&amp;" "&amp;YEAR(branches[[#This Row],[Дата]])</f>
        <v>Октябрь 2025</v>
      </c>
      <c r="E683" t="s">
        <v>26</v>
      </c>
      <c r="F683" t="s">
        <v>9</v>
      </c>
      <c r="G683">
        <v>2</v>
      </c>
      <c r="H683">
        <v>382</v>
      </c>
      <c r="I683" t="s">
        <v>15</v>
      </c>
      <c r="J683" t="str">
        <f>_xlfn.XLOOKUP(branches[[#This Row],[Филиал]], tbl_Filialy[Филиал], tbl_Filialy[Менеджер])</f>
        <v>Алия Гайнутдинова</v>
      </c>
    </row>
    <row r="684" spans="1:10" x14ac:dyDescent="0.3">
      <c r="A684" t="str">
        <f>_xlfn.XLOOKUP(branches[[#This Row],[Филиал]], tbl_Filialy[Филиал], tbl_Filialy[Город])</f>
        <v>Казань</v>
      </c>
      <c r="B684" s="1" t="s">
        <v>30</v>
      </c>
      <c r="C684" s="2">
        <v>45668</v>
      </c>
      <c r="D684" s="2" t="str">
        <f>CHOOSE(MONTH(branches[[#This Row],[Дата]]),"Январь","Февраль","Март","Апрель","Май","Июнь","Июль","Август","Сентябрь","Октябрь","Ноябрь","Декабрь")&amp;" "&amp;YEAR(branches[[#This Row],[Дата]])</f>
        <v>Январь 2025</v>
      </c>
      <c r="E684" t="s">
        <v>14</v>
      </c>
      <c r="F684" t="s">
        <v>12</v>
      </c>
      <c r="G684">
        <v>3</v>
      </c>
      <c r="H684">
        <v>852</v>
      </c>
      <c r="I684" t="s">
        <v>13</v>
      </c>
      <c r="J684" t="str">
        <f>_xlfn.XLOOKUP(branches[[#This Row],[Филиал]], tbl_Filialy[Филиал], tbl_Filialy[Менеджер])</f>
        <v>Алия Гайнутдинова</v>
      </c>
    </row>
    <row r="685" spans="1:10" x14ac:dyDescent="0.3">
      <c r="A685" t="str">
        <f>_xlfn.XLOOKUP(branches[[#This Row],[Филиал]], tbl_Filialy[Филиал], tbl_Filialy[Город])</f>
        <v>Казань</v>
      </c>
      <c r="B685" s="1" t="s">
        <v>30</v>
      </c>
      <c r="C685" s="2">
        <v>45672</v>
      </c>
      <c r="D685" s="2" t="str">
        <f>CHOOSE(MONTH(branches[[#This Row],[Дата]]),"Январь","Февраль","Март","Апрель","Май","Июнь","Июль","Август","Сентябрь","Октябрь","Ноябрь","Декабрь")&amp;" "&amp;YEAR(branches[[#This Row],[Дата]])</f>
        <v>Январь 2025</v>
      </c>
      <c r="E685" t="s">
        <v>18</v>
      </c>
      <c r="F685" t="s">
        <v>12</v>
      </c>
      <c r="G685">
        <v>3</v>
      </c>
      <c r="H685">
        <v>366</v>
      </c>
      <c r="I685" t="s">
        <v>15</v>
      </c>
      <c r="J685" t="str">
        <f>_xlfn.XLOOKUP(branches[[#This Row],[Филиал]], tbl_Filialy[Филиал], tbl_Filialy[Менеджер])</f>
        <v>Алия Гайнутдинова</v>
      </c>
    </row>
    <row r="686" spans="1:10" x14ac:dyDescent="0.3">
      <c r="A686" t="str">
        <f>_xlfn.XLOOKUP(branches[[#This Row],[Филиал]], tbl_Filialy[Филиал], tbl_Filialy[Город])</f>
        <v>Казань</v>
      </c>
      <c r="B686" s="1" t="s">
        <v>30</v>
      </c>
      <c r="C686" s="2">
        <v>45993</v>
      </c>
      <c r="D686" s="2" t="str">
        <f>CHOOSE(MONTH(branches[[#This Row],[Дата]]),"Январь","Февраль","Март","Апрель","Май","Июнь","Июль","Август","Сентябрь","Октябрь","Ноябрь","Декабрь")&amp;" "&amp;YEAR(branches[[#This Row],[Дата]])</f>
        <v>Декабрь 2025</v>
      </c>
      <c r="E686" t="s">
        <v>26</v>
      </c>
      <c r="F686" t="s">
        <v>9</v>
      </c>
      <c r="G686">
        <v>2</v>
      </c>
      <c r="H686">
        <v>406</v>
      </c>
      <c r="I686" t="s">
        <v>21</v>
      </c>
      <c r="J686" t="str">
        <f>_xlfn.XLOOKUP(branches[[#This Row],[Филиал]], tbl_Filialy[Филиал], tbl_Filialy[Менеджер])</f>
        <v>Алия Гайнутдинова</v>
      </c>
    </row>
    <row r="687" spans="1:10" x14ac:dyDescent="0.3">
      <c r="A687" t="str">
        <f>_xlfn.XLOOKUP(branches[[#This Row],[Филиал]], tbl_Filialy[Филиал], tbl_Filialy[Город])</f>
        <v>Казань</v>
      </c>
      <c r="B687" s="1" t="s">
        <v>30</v>
      </c>
      <c r="C687" s="2">
        <v>45662</v>
      </c>
      <c r="D687" s="2" t="str">
        <f>CHOOSE(MONTH(branches[[#This Row],[Дата]]),"Январь","Февраль","Март","Апрель","Май","Июнь","Июль","Август","Сентябрь","Октябрь","Ноябрь","Декабрь")&amp;" "&amp;YEAR(branches[[#This Row],[Дата]])</f>
        <v>Январь 2025</v>
      </c>
      <c r="E687" t="s">
        <v>16</v>
      </c>
      <c r="F687" t="s">
        <v>17</v>
      </c>
      <c r="G687">
        <v>1</v>
      </c>
      <c r="H687">
        <v>340</v>
      </c>
      <c r="I687" t="s">
        <v>21</v>
      </c>
      <c r="J687" t="str">
        <f>_xlfn.XLOOKUP(branches[[#This Row],[Филиал]], tbl_Filialy[Филиал], tbl_Filialy[Менеджер])</f>
        <v>Алия Гайнутдинова</v>
      </c>
    </row>
    <row r="688" spans="1:10" x14ac:dyDescent="0.3">
      <c r="A688" t="str">
        <f>_xlfn.XLOOKUP(branches[[#This Row],[Филиал]], tbl_Filialy[Филиал], tbl_Filialy[Город])</f>
        <v>Казань</v>
      </c>
      <c r="B688" s="1" t="s">
        <v>30</v>
      </c>
      <c r="C688" s="2">
        <v>45844</v>
      </c>
      <c r="D688" s="2" t="str">
        <f>CHOOSE(MONTH(branches[[#This Row],[Дата]]),"Январь","Февраль","Март","Апрель","Май","Июнь","Июль","Август","Сентябрь","Октябрь","Ноябрь","Декабрь")&amp;" "&amp;YEAR(branches[[#This Row],[Дата]])</f>
        <v>Июль 2025</v>
      </c>
      <c r="E688" t="s">
        <v>14</v>
      </c>
      <c r="F688" t="s">
        <v>12</v>
      </c>
      <c r="G688">
        <v>3</v>
      </c>
      <c r="H688">
        <v>795</v>
      </c>
      <c r="I688" t="s">
        <v>13</v>
      </c>
      <c r="J688" t="str">
        <f>_xlfn.XLOOKUP(branches[[#This Row],[Филиал]], tbl_Filialy[Филиал], tbl_Filialy[Менеджер])</f>
        <v>Алия Гайнутдинова</v>
      </c>
    </row>
    <row r="689" spans="1:10" x14ac:dyDescent="0.3">
      <c r="A689" t="str">
        <f>_xlfn.XLOOKUP(branches[[#This Row],[Филиал]], tbl_Filialy[Филиал], tbl_Filialy[Город])</f>
        <v>Казань</v>
      </c>
      <c r="B689" s="1" t="s">
        <v>30</v>
      </c>
      <c r="C689" s="2">
        <v>45974</v>
      </c>
      <c r="D689" s="2" t="str">
        <f>CHOOSE(MONTH(branches[[#This Row],[Дата]]),"Январь","Февраль","Март","Апрель","Май","Июнь","Июль","Август","Сентябрь","Октябрь","Ноябрь","Декабрь")&amp;" "&amp;YEAR(branches[[#This Row],[Дата]])</f>
        <v>Ноябрь 2025</v>
      </c>
      <c r="E689" t="s">
        <v>22</v>
      </c>
      <c r="F689" t="s">
        <v>9</v>
      </c>
      <c r="G689">
        <v>2</v>
      </c>
      <c r="H689">
        <v>384</v>
      </c>
      <c r="I689" t="s">
        <v>23</v>
      </c>
      <c r="J689" t="str">
        <f>_xlfn.XLOOKUP(branches[[#This Row],[Филиал]], tbl_Filialy[Филиал], tbl_Filialy[Менеджер])</f>
        <v>Алия Гайнутдинова</v>
      </c>
    </row>
    <row r="690" spans="1:10" x14ac:dyDescent="0.3">
      <c r="A690" t="str">
        <f>_xlfn.XLOOKUP(branches[[#This Row],[Филиал]], tbl_Filialy[Филиал], tbl_Filialy[Город])</f>
        <v>Казань</v>
      </c>
      <c r="B690" s="1" t="s">
        <v>30</v>
      </c>
      <c r="C690" s="2">
        <v>45911</v>
      </c>
      <c r="D690" s="2" t="str">
        <f>CHOOSE(MONTH(branches[[#This Row],[Дата]]),"Январь","Февраль","Март","Апрель","Май","Июнь","Июль","Август","Сентябрь","Октябрь","Ноябрь","Декабрь")&amp;" "&amp;YEAR(branches[[#This Row],[Дата]])</f>
        <v>Сентябрь 2025</v>
      </c>
      <c r="E690" t="s">
        <v>26</v>
      </c>
      <c r="F690" t="s">
        <v>9</v>
      </c>
      <c r="G690">
        <v>1</v>
      </c>
      <c r="H690">
        <v>218</v>
      </c>
      <c r="I690" t="s">
        <v>15</v>
      </c>
      <c r="J690" t="str">
        <f>_xlfn.XLOOKUP(branches[[#This Row],[Филиал]], tbl_Filialy[Филиал], tbl_Filialy[Менеджер])</f>
        <v>Алия Гайнутдинова</v>
      </c>
    </row>
    <row r="691" spans="1:10" x14ac:dyDescent="0.3">
      <c r="A691" t="str">
        <f>_xlfn.XLOOKUP(branches[[#This Row],[Филиал]], tbl_Filialy[Филиал], tbl_Filialy[Город])</f>
        <v>Казань</v>
      </c>
      <c r="B691" s="1" t="s">
        <v>30</v>
      </c>
      <c r="C691" s="2">
        <v>45758</v>
      </c>
      <c r="D691" s="2" t="str">
        <f>CHOOSE(MONTH(branches[[#This Row],[Дата]]),"Январь","Февраль","Март","Апрель","Май","Июнь","Июль","Август","Сентябрь","Октябрь","Ноябрь","Декабрь")&amp;" "&amp;YEAR(branches[[#This Row],[Дата]])</f>
        <v>Апрель 2025</v>
      </c>
      <c r="E691" t="s">
        <v>25</v>
      </c>
      <c r="F691" t="s">
        <v>12</v>
      </c>
      <c r="G691">
        <v>1</v>
      </c>
      <c r="H691">
        <v>243</v>
      </c>
      <c r="I691" t="s">
        <v>21</v>
      </c>
      <c r="J691" t="str">
        <f>_xlfn.XLOOKUP(branches[[#This Row],[Филиал]], tbl_Filialy[Филиал], tbl_Filialy[Менеджер])</f>
        <v>Алия Гайнутдинова</v>
      </c>
    </row>
    <row r="692" spans="1:10" x14ac:dyDescent="0.3">
      <c r="A692" t="str">
        <f>_xlfn.XLOOKUP(branches[[#This Row],[Филиал]], tbl_Filialy[Филиал], tbl_Filialy[Город])</f>
        <v>Казань</v>
      </c>
      <c r="B692" s="1" t="s">
        <v>30</v>
      </c>
      <c r="C692" s="2">
        <v>45951</v>
      </c>
      <c r="D692" s="2" t="str">
        <f>CHOOSE(MONTH(branches[[#This Row],[Дата]]),"Январь","Февраль","Март","Апрель","Май","Июнь","Июль","Август","Сентябрь","Октябрь","Ноябрь","Декабрь")&amp;" "&amp;YEAR(branches[[#This Row],[Дата]])</f>
        <v>Октябрь 2025</v>
      </c>
      <c r="E692" t="s">
        <v>24</v>
      </c>
      <c r="F692" t="s">
        <v>17</v>
      </c>
      <c r="G692">
        <v>1</v>
      </c>
      <c r="H692">
        <v>354</v>
      </c>
      <c r="I692" t="s">
        <v>10</v>
      </c>
      <c r="J692" t="str">
        <f>_xlfn.XLOOKUP(branches[[#This Row],[Филиал]], tbl_Filialy[Филиал], tbl_Filialy[Менеджер])</f>
        <v>Алия Гайнутдинова</v>
      </c>
    </row>
    <row r="693" spans="1:10" x14ac:dyDescent="0.3">
      <c r="A693" t="str">
        <f>_xlfn.XLOOKUP(branches[[#This Row],[Филиал]], tbl_Filialy[Филиал], tbl_Filialy[Город])</f>
        <v>Казань</v>
      </c>
      <c r="B693" s="1" t="s">
        <v>30</v>
      </c>
      <c r="C693" s="2">
        <v>45981</v>
      </c>
      <c r="D693" s="2" t="str">
        <f>CHOOSE(MONTH(branches[[#This Row],[Дата]]),"Январь","Февраль","Март","Апрель","Май","Июнь","Июль","Август","Сентябрь","Октябрь","Ноябрь","Декабрь")&amp;" "&amp;YEAR(branches[[#This Row],[Дата]])</f>
        <v>Ноябрь 2025</v>
      </c>
      <c r="E693" t="s">
        <v>28</v>
      </c>
      <c r="F693" t="s">
        <v>12</v>
      </c>
      <c r="G693">
        <v>2</v>
      </c>
      <c r="H693">
        <v>484</v>
      </c>
      <c r="I693" t="s">
        <v>15</v>
      </c>
      <c r="J693" t="str">
        <f>_xlfn.XLOOKUP(branches[[#This Row],[Филиал]], tbl_Filialy[Филиал], tbl_Filialy[Менеджер])</f>
        <v>Алия Гайнутдинова</v>
      </c>
    </row>
    <row r="694" spans="1:10" x14ac:dyDescent="0.3">
      <c r="A694" t="str">
        <f>_xlfn.XLOOKUP(branches[[#This Row],[Филиал]], tbl_Filialy[Филиал], tbl_Filialy[Город])</f>
        <v>Казань</v>
      </c>
      <c r="B694" s="1" t="s">
        <v>30</v>
      </c>
      <c r="C694" s="2">
        <v>45801</v>
      </c>
      <c r="D694" s="2" t="str">
        <f>CHOOSE(MONTH(branches[[#This Row],[Дата]]),"Январь","Февраль","Март","Апрель","Май","Июнь","Июль","Август","Сентябрь","Октябрь","Ноябрь","Декабрь")&amp;" "&amp;YEAR(branches[[#This Row],[Дата]])</f>
        <v>Май 2025</v>
      </c>
      <c r="E694" t="s">
        <v>14</v>
      </c>
      <c r="F694" t="s">
        <v>12</v>
      </c>
      <c r="G694">
        <v>1</v>
      </c>
      <c r="H694">
        <v>281</v>
      </c>
      <c r="I694" t="s">
        <v>15</v>
      </c>
      <c r="J694" t="str">
        <f>_xlfn.XLOOKUP(branches[[#This Row],[Филиал]], tbl_Filialy[Филиал], tbl_Filialy[Менеджер])</f>
        <v>Алия Гайнутдинова</v>
      </c>
    </row>
    <row r="695" spans="1:10" x14ac:dyDescent="0.3">
      <c r="A695" t="str">
        <f>_xlfn.XLOOKUP(branches[[#This Row],[Филиал]], tbl_Filialy[Филиал], tbl_Filialy[Город])</f>
        <v>Казань</v>
      </c>
      <c r="B695" s="1" t="s">
        <v>30</v>
      </c>
      <c r="C695" s="2">
        <v>46006</v>
      </c>
      <c r="D695" s="2" t="str">
        <f>CHOOSE(MONTH(branches[[#This Row],[Дата]]),"Январь","Февраль","Март","Апрель","Май","Июнь","Июль","Август","Сентябрь","Октябрь","Ноябрь","Декабрь")&amp;" "&amp;YEAR(branches[[#This Row],[Дата]])</f>
        <v>Декабрь 2025</v>
      </c>
      <c r="E695" t="s">
        <v>16</v>
      </c>
      <c r="F695" t="s">
        <v>17</v>
      </c>
      <c r="G695">
        <v>3</v>
      </c>
      <c r="H695">
        <v>849</v>
      </c>
      <c r="I695" t="s">
        <v>19</v>
      </c>
      <c r="J695" t="str">
        <f>_xlfn.XLOOKUP(branches[[#This Row],[Филиал]], tbl_Filialy[Филиал], tbl_Filialy[Менеджер])</f>
        <v>Алия Гайнутдинова</v>
      </c>
    </row>
    <row r="696" spans="1:10" x14ac:dyDescent="0.3">
      <c r="A696" t="str">
        <f>_xlfn.XLOOKUP(branches[[#This Row],[Филиал]], tbl_Filialy[Филиал], tbl_Filialy[Город])</f>
        <v>Казань</v>
      </c>
      <c r="B696" s="1" t="s">
        <v>30</v>
      </c>
      <c r="C696" s="2">
        <v>45754</v>
      </c>
      <c r="D696" s="2" t="str">
        <f>CHOOSE(MONTH(branches[[#This Row],[Дата]]),"Январь","Февраль","Март","Апрель","Май","Июнь","Июль","Август","Сентябрь","Октябрь","Ноябрь","Декабрь")&amp;" "&amp;YEAR(branches[[#This Row],[Дата]])</f>
        <v>Апрель 2025</v>
      </c>
      <c r="E696" t="s">
        <v>24</v>
      </c>
      <c r="F696" t="s">
        <v>17</v>
      </c>
      <c r="G696">
        <v>3</v>
      </c>
      <c r="H696">
        <v>1161</v>
      </c>
      <c r="I696" t="s">
        <v>21</v>
      </c>
      <c r="J696" t="str">
        <f>_xlfn.XLOOKUP(branches[[#This Row],[Филиал]], tbl_Filialy[Филиал], tbl_Filialy[Менеджер])</f>
        <v>Алия Гайнутдинова</v>
      </c>
    </row>
    <row r="697" spans="1:10" x14ac:dyDescent="0.3">
      <c r="A697" t="str">
        <f>_xlfn.XLOOKUP(branches[[#This Row],[Филиал]], tbl_Filialy[Филиал], tbl_Filialy[Город])</f>
        <v>Казань</v>
      </c>
      <c r="B697" s="1" t="s">
        <v>30</v>
      </c>
      <c r="C697" s="2">
        <v>45942</v>
      </c>
      <c r="D697" s="2" t="str">
        <f>CHOOSE(MONTH(branches[[#This Row],[Дата]]),"Январь","Февраль","Март","Апрель","Май","Июнь","Июль","Август","Сентябрь","Октябрь","Ноябрь","Декабрь")&amp;" "&amp;YEAR(branches[[#This Row],[Дата]])</f>
        <v>Октябрь 2025</v>
      </c>
      <c r="E697" t="s">
        <v>24</v>
      </c>
      <c r="F697" t="s">
        <v>17</v>
      </c>
      <c r="G697">
        <v>3</v>
      </c>
      <c r="H697">
        <v>1125</v>
      </c>
      <c r="I697" t="s">
        <v>23</v>
      </c>
      <c r="J697" t="str">
        <f>_xlfn.XLOOKUP(branches[[#This Row],[Филиал]], tbl_Filialy[Филиал], tbl_Filialy[Менеджер])</f>
        <v>Алия Гайнутдинова</v>
      </c>
    </row>
    <row r="698" spans="1:10" x14ac:dyDescent="0.3">
      <c r="A698" t="str">
        <f>_xlfn.XLOOKUP(branches[[#This Row],[Филиал]], tbl_Filialy[Филиал], tbl_Filialy[Город])</f>
        <v>Казань</v>
      </c>
      <c r="B698" s="1" t="s">
        <v>30</v>
      </c>
      <c r="C698" s="2">
        <v>45966</v>
      </c>
      <c r="D698" s="2" t="str">
        <f>CHOOSE(MONTH(branches[[#This Row],[Дата]]),"Январь","Февраль","Март","Апрель","Май","Июнь","Июль","Август","Сентябрь","Октябрь","Ноябрь","Декабрь")&amp;" "&amp;YEAR(branches[[#This Row],[Дата]])</f>
        <v>Ноябрь 2025</v>
      </c>
      <c r="E698" t="s">
        <v>22</v>
      </c>
      <c r="F698" t="s">
        <v>9</v>
      </c>
      <c r="G698">
        <v>3</v>
      </c>
      <c r="H698">
        <v>564</v>
      </c>
      <c r="I698" t="s">
        <v>13</v>
      </c>
      <c r="J698" t="str">
        <f>_xlfn.XLOOKUP(branches[[#This Row],[Филиал]], tbl_Filialy[Филиал], tbl_Filialy[Менеджер])</f>
        <v>Алия Гайнутдинова</v>
      </c>
    </row>
    <row r="699" spans="1:10" x14ac:dyDescent="0.3">
      <c r="A699" t="str">
        <f>_xlfn.XLOOKUP(branches[[#This Row],[Филиал]], tbl_Filialy[Филиал], tbl_Filialy[Город])</f>
        <v>Казань</v>
      </c>
      <c r="B699" s="1" t="s">
        <v>30</v>
      </c>
      <c r="C699" s="2">
        <v>45903</v>
      </c>
      <c r="D699" s="2" t="str">
        <f>CHOOSE(MONTH(branches[[#This Row],[Дата]]),"Январь","Февраль","Март","Апрель","Май","Июнь","Июль","Август","Сентябрь","Октябрь","Ноябрь","Декабрь")&amp;" "&amp;YEAR(branches[[#This Row],[Дата]])</f>
        <v>Сентябрь 2025</v>
      </c>
      <c r="E699" t="s">
        <v>25</v>
      </c>
      <c r="F699" t="s">
        <v>12</v>
      </c>
      <c r="G699">
        <v>3</v>
      </c>
      <c r="H699">
        <v>666</v>
      </c>
      <c r="I699" t="s">
        <v>23</v>
      </c>
      <c r="J699" t="str">
        <f>_xlfn.XLOOKUP(branches[[#This Row],[Филиал]], tbl_Filialy[Филиал], tbl_Filialy[Менеджер])</f>
        <v>Алия Гайнутдинова</v>
      </c>
    </row>
    <row r="700" spans="1:10" x14ac:dyDescent="0.3">
      <c r="A700" t="str">
        <f>_xlfn.XLOOKUP(branches[[#This Row],[Филиал]], tbl_Filialy[Филиал], tbl_Filialy[Город])</f>
        <v>Казань</v>
      </c>
      <c r="B700" s="1" t="s">
        <v>30</v>
      </c>
      <c r="C700" s="2">
        <v>45914</v>
      </c>
      <c r="D700" s="2" t="str">
        <f>CHOOSE(MONTH(branches[[#This Row],[Дата]]),"Январь","Февраль","Март","Апрель","Май","Июнь","Июль","Август","Сентябрь","Октябрь","Ноябрь","Декабрь")&amp;" "&amp;YEAR(branches[[#This Row],[Дата]])</f>
        <v>Сентябрь 2025</v>
      </c>
      <c r="E700" t="s">
        <v>22</v>
      </c>
      <c r="F700" t="s">
        <v>9</v>
      </c>
      <c r="G700">
        <v>1</v>
      </c>
      <c r="H700">
        <v>183</v>
      </c>
      <c r="I700" t="s">
        <v>10</v>
      </c>
      <c r="J700" t="str">
        <f>_xlfn.XLOOKUP(branches[[#This Row],[Филиал]], tbl_Filialy[Филиал], tbl_Filialy[Менеджер])</f>
        <v>Алия Гайнутдинова</v>
      </c>
    </row>
    <row r="701" spans="1:10" x14ac:dyDescent="0.3">
      <c r="A701" t="str">
        <f>_xlfn.XLOOKUP(branches[[#This Row],[Филиал]], tbl_Filialy[Филиал], tbl_Filialy[Город])</f>
        <v>Казань</v>
      </c>
      <c r="B701" s="1" t="s">
        <v>30</v>
      </c>
      <c r="C701" s="2">
        <v>45861</v>
      </c>
      <c r="D701" s="2" t="str">
        <f>CHOOSE(MONTH(branches[[#This Row],[Дата]]),"Январь","Февраль","Март","Апрель","Май","Июнь","Июль","Август","Сентябрь","Октябрь","Ноябрь","Декабрь")&amp;" "&amp;YEAR(branches[[#This Row],[Дата]])</f>
        <v>Июль 2025</v>
      </c>
      <c r="E701" t="s">
        <v>18</v>
      </c>
      <c r="F701" t="s">
        <v>12</v>
      </c>
      <c r="G701">
        <v>2</v>
      </c>
      <c r="H701">
        <v>250</v>
      </c>
      <c r="I701" t="s">
        <v>19</v>
      </c>
      <c r="J701" t="str">
        <f>_xlfn.XLOOKUP(branches[[#This Row],[Филиал]], tbl_Filialy[Филиал], tbl_Filialy[Менеджер])</f>
        <v>Алия Гайнутдинова</v>
      </c>
    </row>
    <row r="702" spans="1:10" x14ac:dyDescent="0.3">
      <c r="A702" t="str">
        <f>_xlfn.XLOOKUP(branches[[#This Row],[Филиал]], tbl_Filialy[Филиал], tbl_Filialy[Город])</f>
        <v>Казань</v>
      </c>
      <c r="B702" s="1" t="s">
        <v>30</v>
      </c>
      <c r="C702" s="2">
        <v>45714</v>
      </c>
      <c r="D702" s="2" t="str">
        <f>CHOOSE(MONTH(branches[[#This Row],[Дата]]),"Январь","Февраль","Март","Апрель","Май","Июнь","Июль","Август","Сентябрь","Октябрь","Ноябрь","Декабрь")&amp;" "&amp;YEAR(branches[[#This Row],[Дата]])</f>
        <v>Февраль 2025</v>
      </c>
      <c r="E702" t="s">
        <v>20</v>
      </c>
      <c r="F702" t="s">
        <v>12</v>
      </c>
      <c r="G702">
        <v>1</v>
      </c>
      <c r="H702">
        <v>279</v>
      </c>
      <c r="I702" t="s">
        <v>23</v>
      </c>
      <c r="J702" t="str">
        <f>_xlfn.XLOOKUP(branches[[#This Row],[Филиал]], tbl_Filialy[Филиал], tbl_Filialy[Менеджер])</f>
        <v>Алия Гайнутдинова</v>
      </c>
    </row>
    <row r="703" spans="1:10" x14ac:dyDescent="0.3">
      <c r="A703" t="str">
        <f>_xlfn.XLOOKUP(branches[[#This Row],[Филиал]], tbl_Filialy[Филиал], tbl_Filialy[Город])</f>
        <v>Казань</v>
      </c>
      <c r="B703" s="1" t="s">
        <v>30</v>
      </c>
      <c r="C703" s="2">
        <v>45719</v>
      </c>
      <c r="D703" s="2" t="str">
        <f>CHOOSE(MONTH(branches[[#This Row],[Дата]]),"Январь","Февраль","Март","Апрель","Май","Июнь","Июль","Август","Сентябрь","Октябрь","Ноябрь","Декабрь")&amp;" "&amp;YEAR(branches[[#This Row],[Дата]])</f>
        <v>Март 2025</v>
      </c>
      <c r="E703" t="s">
        <v>11</v>
      </c>
      <c r="F703" t="s">
        <v>12</v>
      </c>
      <c r="G703">
        <v>1</v>
      </c>
      <c r="H703">
        <v>176</v>
      </c>
      <c r="I703" t="s">
        <v>23</v>
      </c>
      <c r="J703" t="str">
        <f>_xlfn.XLOOKUP(branches[[#This Row],[Филиал]], tbl_Filialy[Филиал], tbl_Filialy[Менеджер])</f>
        <v>Алия Гайнутдинова</v>
      </c>
    </row>
    <row r="704" spans="1:10" x14ac:dyDescent="0.3">
      <c r="A704" t="str">
        <f>_xlfn.XLOOKUP(branches[[#This Row],[Филиал]], tbl_Filialy[Филиал], tbl_Filialy[Город])</f>
        <v>Казань</v>
      </c>
      <c r="B704" s="1" t="s">
        <v>30</v>
      </c>
      <c r="C704" s="2">
        <v>45680</v>
      </c>
      <c r="D704" s="2" t="str">
        <f>CHOOSE(MONTH(branches[[#This Row],[Дата]]),"Январь","Февраль","Март","Апрель","Май","Июнь","Июль","Август","Сентябрь","Октябрь","Ноябрь","Декабрь")&amp;" "&amp;YEAR(branches[[#This Row],[Дата]])</f>
        <v>Январь 2025</v>
      </c>
      <c r="E704" t="s">
        <v>20</v>
      </c>
      <c r="F704" t="s">
        <v>12</v>
      </c>
      <c r="G704">
        <v>2</v>
      </c>
      <c r="H704">
        <v>536</v>
      </c>
      <c r="I704" t="s">
        <v>13</v>
      </c>
      <c r="J704" t="str">
        <f>_xlfn.XLOOKUP(branches[[#This Row],[Филиал]], tbl_Filialy[Филиал], tbl_Filialy[Менеджер])</f>
        <v>Алия Гайнутдинова</v>
      </c>
    </row>
    <row r="705" spans="1:10" x14ac:dyDescent="0.3">
      <c r="A705" t="str">
        <f>_xlfn.XLOOKUP(branches[[#This Row],[Филиал]], tbl_Filialy[Филиал], tbl_Filialy[Город])</f>
        <v>Казань</v>
      </c>
      <c r="B705" s="1" t="s">
        <v>30</v>
      </c>
      <c r="C705" s="2">
        <v>45913</v>
      </c>
      <c r="D705" s="2" t="str">
        <f>CHOOSE(MONTH(branches[[#This Row],[Дата]]),"Январь","Февраль","Март","Апрель","Май","Июнь","Июль","Август","Сентябрь","Октябрь","Ноябрь","Декабрь")&amp;" "&amp;YEAR(branches[[#This Row],[Дата]])</f>
        <v>Сентябрь 2025</v>
      </c>
      <c r="E705" t="s">
        <v>16</v>
      </c>
      <c r="F705" t="s">
        <v>17</v>
      </c>
      <c r="G705">
        <v>3</v>
      </c>
      <c r="H705">
        <v>885</v>
      </c>
      <c r="I705" t="s">
        <v>10</v>
      </c>
      <c r="J705" t="str">
        <f>_xlfn.XLOOKUP(branches[[#This Row],[Филиал]], tbl_Filialy[Филиал], tbl_Filialy[Менеджер])</f>
        <v>Алия Гайнутдинова</v>
      </c>
    </row>
    <row r="706" spans="1:10" x14ac:dyDescent="0.3">
      <c r="A706" t="str">
        <f>_xlfn.XLOOKUP(branches[[#This Row],[Филиал]], tbl_Filialy[Филиал], tbl_Filialy[Город])</f>
        <v>Казань</v>
      </c>
      <c r="B706" s="1" t="s">
        <v>30</v>
      </c>
      <c r="C706" s="2">
        <v>45697</v>
      </c>
      <c r="D706" s="2" t="str">
        <f>CHOOSE(MONTH(branches[[#This Row],[Дата]]),"Январь","Февраль","Март","Апрель","Май","Июнь","Июль","Август","Сентябрь","Октябрь","Ноябрь","Декабрь")&amp;" "&amp;YEAR(branches[[#This Row],[Дата]])</f>
        <v>Февраль 2025</v>
      </c>
      <c r="E706" t="s">
        <v>16</v>
      </c>
      <c r="F706" t="s">
        <v>17</v>
      </c>
      <c r="G706">
        <v>1</v>
      </c>
      <c r="H706">
        <v>338</v>
      </c>
      <c r="I706" t="s">
        <v>15</v>
      </c>
      <c r="J706" t="str">
        <f>_xlfn.XLOOKUP(branches[[#This Row],[Филиал]], tbl_Filialy[Филиал], tbl_Filialy[Менеджер])</f>
        <v>Алия Гайнутдинова</v>
      </c>
    </row>
    <row r="707" spans="1:10" x14ac:dyDescent="0.3">
      <c r="A707" t="str">
        <f>_xlfn.XLOOKUP(branches[[#This Row],[Филиал]], tbl_Filialy[Филиал], tbl_Filialy[Город])</f>
        <v>Казань</v>
      </c>
      <c r="B707" s="1" t="s">
        <v>30</v>
      </c>
      <c r="C707" s="2">
        <v>45670</v>
      </c>
      <c r="D707" s="2" t="str">
        <f>CHOOSE(MONTH(branches[[#This Row],[Дата]]),"Январь","Февраль","Март","Апрель","Май","Июнь","Июль","Август","Сентябрь","Октябрь","Ноябрь","Декабрь")&amp;" "&amp;YEAR(branches[[#This Row],[Дата]])</f>
        <v>Январь 2025</v>
      </c>
      <c r="E707" t="s">
        <v>14</v>
      </c>
      <c r="F707" t="s">
        <v>12</v>
      </c>
      <c r="G707">
        <v>2</v>
      </c>
      <c r="H707">
        <v>518</v>
      </c>
      <c r="I707" t="s">
        <v>19</v>
      </c>
      <c r="J707" t="str">
        <f>_xlfn.XLOOKUP(branches[[#This Row],[Филиал]], tbl_Filialy[Филиал], tbl_Filialy[Менеджер])</f>
        <v>Алия Гайнутдинова</v>
      </c>
    </row>
    <row r="708" spans="1:10" x14ac:dyDescent="0.3">
      <c r="A708" t="str">
        <f>_xlfn.XLOOKUP(branches[[#This Row],[Филиал]], tbl_Filialy[Филиал], tbl_Filialy[Город])</f>
        <v>Казань</v>
      </c>
      <c r="B708" s="1" t="s">
        <v>30</v>
      </c>
      <c r="C708" s="2">
        <v>45928</v>
      </c>
      <c r="D708" s="2" t="str">
        <f>CHOOSE(MONTH(branches[[#This Row],[Дата]]),"Январь","Февраль","Март","Апрель","Май","Июнь","Июль","Август","Сентябрь","Октябрь","Ноябрь","Декабрь")&amp;" "&amp;YEAR(branches[[#This Row],[Дата]])</f>
        <v>Сентябрь 2025</v>
      </c>
      <c r="E708" t="s">
        <v>11</v>
      </c>
      <c r="F708" t="s">
        <v>12</v>
      </c>
      <c r="G708">
        <v>1</v>
      </c>
      <c r="H708">
        <v>194</v>
      </c>
      <c r="I708" t="s">
        <v>15</v>
      </c>
      <c r="J708" t="str">
        <f>_xlfn.XLOOKUP(branches[[#This Row],[Филиал]], tbl_Filialy[Филиал], tbl_Filialy[Менеджер])</f>
        <v>Алия Гайнутдинова</v>
      </c>
    </row>
    <row r="709" spans="1:10" x14ac:dyDescent="0.3">
      <c r="A709" t="str">
        <f>_xlfn.XLOOKUP(branches[[#This Row],[Филиал]], tbl_Filialy[Филиал], tbl_Filialy[Город])</f>
        <v>Казань</v>
      </c>
      <c r="B709" s="1" t="s">
        <v>30</v>
      </c>
      <c r="C709" s="2">
        <v>46016</v>
      </c>
      <c r="D709" s="2" t="str">
        <f>CHOOSE(MONTH(branches[[#This Row],[Дата]]),"Январь","Февраль","Март","Апрель","Май","Июнь","Июль","Август","Сентябрь","Октябрь","Ноябрь","Декабрь")&amp;" "&amp;YEAR(branches[[#This Row],[Дата]])</f>
        <v>Декабрь 2025</v>
      </c>
      <c r="E709" t="s">
        <v>22</v>
      </c>
      <c r="F709" t="s">
        <v>9</v>
      </c>
      <c r="G709">
        <v>1</v>
      </c>
      <c r="H709">
        <v>193</v>
      </c>
      <c r="I709" t="s">
        <v>23</v>
      </c>
      <c r="J709" t="str">
        <f>_xlfn.XLOOKUP(branches[[#This Row],[Филиал]], tbl_Filialy[Филиал], tbl_Filialy[Менеджер])</f>
        <v>Алия Гайнутдинова</v>
      </c>
    </row>
    <row r="710" spans="1:10" x14ac:dyDescent="0.3">
      <c r="A710" t="str">
        <f>_xlfn.XLOOKUP(branches[[#This Row],[Филиал]], tbl_Filialy[Филиал], tbl_Filialy[Город])</f>
        <v>Казань</v>
      </c>
      <c r="B710" s="1" t="s">
        <v>30</v>
      </c>
      <c r="C710" s="2">
        <v>45980</v>
      </c>
      <c r="D710" s="2" t="str">
        <f>CHOOSE(MONTH(branches[[#This Row],[Дата]]),"Январь","Февраль","Март","Апрель","Май","Июнь","Июль","Август","Сентябрь","Октябрь","Ноябрь","Декабрь")&amp;" "&amp;YEAR(branches[[#This Row],[Дата]])</f>
        <v>Ноябрь 2025</v>
      </c>
      <c r="E710" t="s">
        <v>18</v>
      </c>
      <c r="F710" t="s">
        <v>12</v>
      </c>
      <c r="G710">
        <v>2</v>
      </c>
      <c r="H710">
        <v>308</v>
      </c>
      <c r="I710" t="s">
        <v>23</v>
      </c>
      <c r="J710" t="str">
        <f>_xlfn.XLOOKUP(branches[[#This Row],[Филиал]], tbl_Filialy[Филиал], tbl_Filialy[Менеджер])</f>
        <v>Алия Гайнутдинова</v>
      </c>
    </row>
    <row r="711" spans="1:10" x14ac:dyDescent="0.3">
      <c r="A711" t="str">
        <f>_xlfn.XLOOKUP(branches[[#This Row],[Филиал]], tbl_Filialy[Филиал], tbl_Filialy[Город])</f>
        <v>Казань</v>
      </c>
      <c r="B711" s="1" t="s">
        <v>30</v>
      </c>
      <c r="C711" s="2">
        <v>45866</v>
      </c>
      <c r="D711" s="2" t="str">
        <f>CHOOSE(MONTH(branches[[#This Row],[Дата]]),"Январь","Февраль","Март","Апрель","Май","Июнь","Июль","Август","Сентябрь","Октябрь","Ноябрь","Декабрь")&amp;" "&amp;YEAR(branches[[#This Row],[Дата]])</f>
        <v>Июль 2025</v>
      </c>
      <c r="E711" t="s">
        <v>27</v>
      </c>
      <c r="F711" t="s">
        <v>12</v>
      </c>
      <c r="G711">
        <v>2</v>
      </c>
      <c r="H711">
        <v>444</v>
      </c>
      <c r="I711" t="s">
        <v>15</v>
      </c>
      <c r="J711" t="str">
        <f>_xlfn.XLOOKUP(branches[[#This Row],[Филиал]], tbl_Filialy[Филиал], tbl_Filialy[Менеджер])</f>
        <v>Алия Гайнутдинова</v>
      </c>
    </row>
    <row r="712" spans="1:10" x14ac:dyDescent="0.3">
      <c r="A712" t="str">
        <f>_xlfn.XLOOKUP(branches[[#This Row],[Филиал]], tbl_Filialy[Филиал], tbl_Filialy[Город])</f>
        <v>Казань</v>
      </c>
      <c r="B712" s="1" t="s">
        <v>30</v>
      </c>
      <c r="C712" s="2">
        <v>45822</v>
      </c>
      <c r="D712" s="2" t="str">
        <f>CHOOSE(MONTH(branches[[#This Row],[Дата]]),"Январь","Февраль","Март","Апрель","Май","Июнь","Июль","Август","Сентябрь","Октябрь","Ноябрь","Декабрь")&amp;" "&amp;YEAR(branches[[#This Row],[Дата]])</f>
        <v>Июнь 2025</v>
      </c>
      <c r="E712" t="s">
        <v>11</v>
      </c>
      <c r="F712" t="s">
        <v>12</v>
      </c>
      <c r="G712">
        <v>1</v>
      </c>
      <c r="H712">
        <v>169</v>
      </c>
      <c r="I712" t="s">
        <v>21</v>
      </c>
      <c r="J712" t="str">
        <f>_xlfn.XLOOKUP(branches[[#This Row],[Филиал]], tbl_Filialy[Филиал], tbl_Filialy[Менеджер])</f>
        <v>Алия Гайнутдинова</v>
      </c>
    </row>
    <row r="713" spans="1:10" x14ac:dyDescent="0.3">
      <c r="A713" t="str">
        <f>_xlfn.XLOOKUP(branches[[#This Row],[Филиал]], tbl_Filialy[Филиал], tbl_Filialy[Город])</f>
        <v>Казань</v>
      </c>
      <c r="B713" s="1" t="s">
        <v>30</v>
      </c>
      <c r="C713" s="2">
        <v>45903</v>
      </c>
      <c r="D713" s="2" t="str">
        <f>CHOOSE(MONTH(branches[[#This Row],[Дата]]),"Январь","Февраль","Март","Апрель","Май","Июнь","Июль","Август","Сентябрь","Октябрь","Ноябрь","Декабрь")&amp;" "&amp;YEAR(branches[[#This Row],[Дата]])</f>
        <v>Сентябрь 2025</v>
      </c>
      <c r="E713" t="s">
        <v>14</v>
      </c>
      <c r="F713" t="s">
        <v>12</v>
      </c>
      <c r="G713">
        <v>2</v>
      </c>
      <c r="H713">
        <v>514</v>
      </c>
      <c r="I713" t="s">
        <v>15</v>
      </c>
      <c r="J713" t="str">
        <f>_xlfn.XLOOKUP(branches[[#This Row],[Филиал]], tbl_Filialy[Филиал], tbl_Filialy[Менеджер])</f>
        <v>Алия Гайнутдинова</v>
      </c>
    </row>
    <row r="714" spans="1:10" x14ac:dyDescent="0.3">
      <c r="A714" t="str">
        <f>_xlfn.XLOOKUP(branches[[#This Row],[Филиал]], tbl_Filialy[Филиал], tbl_Filialy[Город])</f>
        <v>Казань</v>
      </c>
      <c r="B714" s="1" t="s">
        <v>30</v>
      </c>
      <c r="C714" s="2">
        <v>45708</v>
      </c>
      <c r="D714" s="2" t="str">
        <f>CHOOSE(MONTH(branches[[#This Row],[Дата]]),"Январь","Февраль","Март","Апрель","Май","Июнь","Июль","Август","Сентябрь","Октябрь","Ноябрь","Декабрь")&amp;" "&amp;YEAR(branches[[#This Row],[Дата]])</f>
        <v>Февраль 2025</v>
      </c>
      <c r="E714" t="s">
        <v>20</v>
      </c>
      <c r="F714" t="s">
        <v>12</v>
      </c>
      <c r="G714">
        <v>1</v>
      </c>
      <c r="H714">
        <v>263</v>
      </c>
      <c r="I714" t="s">
        <v>21</v>
      </c>
      <c r="J714" t="str">
        <f>_xlfn.XLOOKUP(branches[[#This Row],[Филиал]], tbl_Filialy[Филиал], tbl_Filialy[Менеджер])</f>
        <v>Алия Гайнутдинова</v>
      </c>
    </row>
    <row r="715" spans="1:10" x14ac:dyDescent="0.3">
      <c r="A715" t="str">
        <f>_xlfn.XLOOKUP(branches[[#This Row],[Филиал]], tbl_Filialy[Филиал], tbl_Filialy[Город])</f>
        <v>Казань</v>
      </c>
      <c r="B715" s="1" t="s">
        <v>30</v>
      </c>
      <c r="C715" s="2">
        <v>45932</v>
      </c>
      <c r="D715" s="2" t="str">
        <f>CHOOSE(MONTH(branches[[#This Row],[Дата]]),"Январь","Февраль","Март","Апрель","Май","Июнь","Июль","Август","Сентябрь","Октябрь","Ноябрь","Декабрь")&amp;" "&amp;YEAR(branches[[#This Row],[Дата]])</f>
        <v>Октябрь 2025</v>
      </c>
      <c r="E715" t="s">
        <v>27</v>
      </c>
      <c r="F715" t="s">
        <v>12</v>
      </c>
      <c r="G715">
        <v>2</v>
      </c>
      <c r="H715">
        <v>456</v>
      </c>
      <c r="I715" t="s">
        <v>13</v>
      </c>
      <c r="J715" t="str">
        <f>_xlfn.XLOOKUP(branches[[#This Row],[Филиал]], tbl_Filialy[Филиал], tbl_Filialy[Менеджер])</f>
        <v>Алия Гайнутдинова</v>
      </c>
    </row>
    <row r="716" spans="1:10" x14ac:dyDescent="0.3">
      <c r="A716" t="str">
        <f>_xlfn.XLOOKUP(branches[[#This Row],[Филиал]], tbl_Filialy[Филиал], tbl_Filialy[Город])</f>
        <v>Казань</v>
      </c>
      <c r="B716" s="1" t="s">
        <v>30</v>
      </c>
      <c r="C716" s="2">
        <v>45886</v>
      </c>
      <c r="D716" s="2" t="str">
        <f>CHOOSE(MONTH(branches[[#This Row],[Дата]]),"Январь","Февраль","Март","Апрель","Май","Июнь","Июль","Август","Сентябрь","Октябрь","Ноябрь","Декабрь")&amp;" "&amp;YEAR(branches[[#This Row],[Дата]])</f>
        <v>Август 2025</v>
      </c>
      <c r="E716" t="s">
        <v>11</v>
      </c>
      <c r="F716" t="s">
        <v>12</v>
      </c>
      <c r="G716">
        <v>3</v>
      </c>
      <c r="H716">
        <v>483</v>
      </c>
      <c r="I716" t="s">
        <v>23</v>
      </c>
      <c r="J716" t="str">
        <f>_xlfn.XLOOKUP(branches[[#This Row],[Филиал]], tbl_Filialy[Филиал], tbl_Filialy[Менеджер])</f>
        <v>Алия Гайнутдинова</v>
      </c>
    </row>
    <row r="717" spans="1:10" x14ac:dyDescent="0.3">
      <c r="A717" t="str">
        <f>_xlfn.XLOOKUP(branches[[#This Row],[Филиал]], tbl_Filialy[Филиал], tbl_Filialy[Город])</f>
        <v>Казань</v>
      </c>
      <c r="B717" s="1" t="s">
        <v>30</v>
      </c>
      <c r="C717" s="2">
        <v>45986</v>
      </c>
      <c r="D717" s="2" t="str">
        <f>CHOOSE(MONTH(branches[[#This Row],[Дата]]),"Январь","Февраль","Март","Апрель","Май","Июнь","Июль","Август","Сентябрь","Октябрь","Ноябрь","Декабрь")&amp;" "&amp;YEAR(branches[[#This Row],[Дата]])</f>
        <v>Ноябрь 2025</v>
      </c>
      <c r="E717" t="s">
        <v>26</v>
      </c>
      <c r="F717" t="s">
        <v>9</v>
      </c>
      <c r="G717">
        <v>3</v>
      </c>
      <c r="H717">
        <v>705</v>
      </c>
      <c r="I717" t="s">
        <v>13</v>
      </c>
      <c r="J717" t="str">
        <f>_xlfn.XLOOKUP(branches[[#This Row],[Филиал]], tbl_Filialy[Филиал], tbl_Filialy[Менеджер])</f>
        <v>Алия Гайнутдинова</v>
      </c>
    </row>
    <row r="718" spans="1:10" x14ac:dyDescent="0.3">
      <c r="A718" t="str">
        <f>_xlfn.XLOOKUP(branches[[#This Row],[Филиал]], tbl_Filialy[Филиал], tbl_Filialy[Город])</f>
        <v>Казань</v>
      </c>
      <c r="B718" s="1" t="s">
        <v>30</v>
      </c>
      <c r="C718" s="2">
        <v>45802</v>
      </c>
      <c r="D718" s="2" t="str">
        <f>CHOOSE(MONTH(branches[[#This Row],[Дата]]),"Январь","Февраль","Март","Апрель","Май","Июнь","Июль","Август","Сентябрь","Октябрь","Ноябрь","Декабрь")&amp;" "&amp;YEAR(branches[[#This Row],[Дата]])</f>
        <v>Май 2025</v>
      </c>
      <c r="E718" t="s">
        <v>22</v>
      </c>
      <c r="F718" t="s">
        <v>9</v>
      </c>
      <c r="G718">
        <v>2</v>
      </c>
      <c r="H718">
        <v>386</v>
      </c>
      <c r="I718" t="s">
        <v>10</v>
      </c>
      <c r="J718" t="str">
        <f>_xlfn.XLOOKUP(branches[[#This Row],[Филиал]], tbl_Filialy[Филиал], tbl_Filialy[Менеджер])</f>
        <v>Алия Гайнутдинова</v>
      </c>
    </row>
    <row r="719" spans="1:10" x14ac:dyDescent="0.3">
      <c r="A719" t="str">
        <f>_xlfn.XLOOKUP(branches[[#This Row],[Филиал]], tbl_Filialy[Филиал], tbl_Filialy[Город])</f>
        <v>Казань</v>
      </c>
      <c r="B719" s="1" t="s">
        <v>30</v>
      </c>
      <c r="C719" s="2">
        <v>45712</v>
      </c>
      <c r="D719" s="2" t="str">
        <f>CHOOSE(MONTH(branches[[#This Row],[Дата]]),"Январь","Февраль","Март","Апрель","Май","Июнь","Июль","Август","Сентябрь","Октябрь","Ноябрь","Декабрь")&amp;" "&amp;YEAR(branches[[#This Row],[Дата]])</f>
        <v>Февраль 2025</v>
      </c>
      <c r="E719" t="s">
        <v>18</v>
      </c>
      <c r="F719" t="s">
        <v>12</v>
      </c>
      <c r="G719">
        <v>2</v>
      </c>
      <c r="H719">
        <v>320</v>
      </c>
      <c r="I719" t="s">
        <v>13</v>
      </c>
      <c r="J719" t="str">
        <f>_xlfn.XLOOKUP(branches[[#This Row],[Филиал]], tbl_Filialy[Филиал], tbl_Filialy[Менеджер])</f>
        <v>Алия Гайнутдинова</v>
      </c>
    </row>
    <row r="720" spans="1:10" x14ac:dyDescent="0.3">
      <c r="A720" t="str">
        <f>_xlfn.XLOOKUP(branches[[#This Row],[Филиал]], tbl_Filialy[Филиал], tbl_Filialy[Город])</f>
        <v>Казань</v>
      </c>
      <c r="B720" s="1" t="s">
        <v>30</v>
      </c>
      <c r="C720" s="2">
        <v>45866</v>
      </c>
      <c r="D720" s="2" t="str">
        <f>CHOOSE(MONTH(branches[[#This Row],[Дата]]),"Январь","Февраль","Март","Апрель","Май","Июнь","Июль","Август","Сентябрь","Октябрь","Ноябрь","Декабрь")&amp;" "&amp;YEAR(branches[[#This Row],[Дата]])</f>
        <v>Июль 2025</v>
      </c>
      <c r="E720" t="s">
        <v>25</v>
      </c>
      <c r="F720" t="s">
        <v>12</v>
      </c>
      <c r="G720">
        <v>2</v>
      </c>
      <c r="H720">
        <v>430</v>
      </c>
      <c r="I720" t="s">
        <v>23</v>
      </c>
      <c r="J720" t="str">
        <f>_xlfn.XLOOKUP(branches[[#This Row],[Филиал]], tbl_Filialy[Филиал], tbl_Filialy[Менеджер])</f>
        <v>Алия Гайнутдинова</v>
      </c>
    </row>
    <row r="721" spans="1:10" x14ac:dyDescent="0.3">
      <c r="A721" t="str">
        <f>_xlfn.XLOOKUP(branches[[#This Row],[Филиал]], tbl_Filialy[Филиал], tbl_Filialy[Город])</f>
        <v>Казань</v>
      </c>
      <c r="B721" s="1" t="s">
        <v>30</v>
      </c>
      <c r="C721" s="2">
        <v>45947</v>
      </c>
      <c r="D721" s="2" t="str">
        <f>CHOOSE(MONTH(branches[[#This Row],[Дата]]),"Январь","Февраль","Март","Апрель","Май","Июнь","Июль","Август","Сентябрь","Октябрь","Ноябрь","Декабрь")&amp;" "&amp;YEAR(branches[[#This Row],[Дата]])</f>
        <v>Октябрь 2025</v>
      </c>
      <c r="E721" t="s">
        <v>18</v>
      </c>
      <c r="F721" t="s">
        <v>12</v>
      </c>
      <c r="G721">
        <v>3</v>
      </c>
      <c r="H721">
        <v>369</v>
      </c>
      <c r="I721" t="s">
        <v>23</v>
      </c>
      <c r="J721" t="str">
        <f>_xlfn.XLOOKUP(branches[[#This Row],[Филиал]], tbl_Filialy[Филиал], tbl_Filialy[Менеджер])</f>
        <v>Алия Гайнутдинова</v>
      </c>
    </row>
    <row r="722" spans="1:10" x14ac:dyDescent="0.3">
      <c r="A722" t="str">
        <f>_xlfn.XLOOKUP(branches[[#This Row],[Филиал]], tbl_Filialy[Филиал], tbl_Filialy[Город])</f>
        <v>Казань</v>
      </c>
      <c r="B722" s="1" t="s">
        <v>30</v>
      </c>
      <c r="C722" s="2">
        <v>45793</v>
      </c>
      <c r="D722" s="2" t="str">
        <f>CHOOSE(MONTH(branches[[#This Row],[Дата]]),"Январь","Февраль","Март","Апрель","Май","Июнь","Июль","Август","Сентябрь","Октябрь","Ноябрь","Декабрь")&amp;" "&amp;YEAR(branches[[#This Row],[Дата]])</f>
        <v>Май 2025</v>
      </c>
      <c r="E722" t="s">
        <v>16</v>
      </c>
      <c r="F722" t="s">
        <v>17</v>
      </c>
      <c r="G722">
        <v>3</v>
      </c>
      <c r="H722">
        <v>951</v>
      </c>
      <c r="I722" t="s">
        <v>10</v>
      </c>
      <c r="J722" t="str">
        <f>_xlfn.XLOOKUP(branches[[#This Row],[Филиал]], tbl_Filialy[Филиал], tbl_Filialy[Менеджер])</f>
        <v>Алия Гайнутдинова</v>
      </c>
    </row>
    <row r="723" spans="1:10" x14ac:dyDescent="0.3">
      <c r="A723" t="str">
        <f>_xlfn.XLOOKUP(branches[[#This Row],[Филиал]], tbl_Filialy[Филиал], tbl_Filialy[Город])</f>
        <v>Казань</v>
      </c>
      <c r="B723" s="1" t="s">
        <v>30</v>
      </c>
      <c r="C723" s="2">
        <v>45679</v>
      </c>
      <c r="D723" s="2" t="str">
        <f>CHOOSE(MONTH(branches[[#This Row],[Дата]]),"Январь","Февраль","Март","Апрель","Май","Июнь","Июль","Август","Сентябрь","Октябрь","Ноябрь","Декабрь")&amp;" "&amp;YEAR(branches[[#This Row],[Дата]])</f>
        <v>Январь 2025</v>
      </c>
      <c r="E723" t="s">
        <v>28</v>
      </c>
      <c r="F723" t="s">
        <v>12</v>
      </c>
      <c r="G723">
        <v>2</v>
      </c>
      <c r="H723">
        <v>438</v>
      </c>
      <c r="I723" t="s">
        <v>13</v>
      </c>
      <c r="J723" t="str">
        <f>_xlfn.XLOOKUP(branches[[#This Row],[Филиал]], tbl_Filialy[Филиал], tbl_Filialy[Менеджер])</f>
        <v>Алия Гайнутдинова</v>
      </c>
    </row>
    <row r="724" spans="1:10" x14ac:dyDescent="0.3">
      <c r="A724" t="str">
        <f>_xlfn.XLOOKUP(branches[[#This Row],[Филиал]], tbl_Filialy[Филиал], tbl_Filialy[Город])</f>
        <v>Казань</v>
      </c>
      <c r="B724" s="1" t="s">
        <v>30</v>
      </c>
      <c r="C724" s="2">
        <v>45905</v>
      </c>
      <c r="D724" s="2" t="str">
        <f>CHOOSE(MONTH(branches[[#This Row],[Дата]]),"Январь","Февраль","Март","Апрель","Май","Июнь","Июль","Август","Сентябрь","Октябрь","Ноябрь","Декабрь")&amp;" "&amp;YEAR(branches[[#This Row],[Дата]])</f>
        <v>Сентябрь 2025</v>
      </c>
      <c r="E724" t="s">
        <v>14</v>
      </c>
      <c r="F724" t="s">
        <v>12</v>
      </c>
      <c r="G724">
        <v>1</v>
      </c>
      <c r="H724">
        <v>238</v>
      </c>
      <c r="I724" t="s">
        <v>23</v>
      </c>
      <c r="J724" t="str">
        <f>_xlfn.XLOOKUP(branches[[#This Row],[Филиал]], tbl_Filialy[Филиал], tbl_Filialy[Менеджер])</f>
        <v>Алия Гайнутдинова</v>
      </c>
    </row>
    <row r="725" spans="1:10" x14ac:dyDescent="0.3">
      <c r="A725" t="str">
        <f>_xlfn.XLOOKUP(branches[[#This Row],[Филиал]], tbl_Filialy[Филиал], tbl_Filialy[Город])</f>
        <v>Казань</v>
      </c>
      <c r="B725" s="1" t="s">
        <v>30</v>
      </c>
      <c r="C725" s="2">
        <v>46007</v>
      </c>
      <c r="D725" s="2" t="str">
        <f>CHOOSE(MONTH(branches[[#This Row],[Дата]]),"Январь","Февраль","Март","Апрель","Май","Июнь","Июль","Август","Сентябрь","Октябрь","Ноябрь","Декабрь")&amp;" "&amp;YEAR(branches[[#This Row],[Дата]])</f>
        <v>Декабрь 2025</v>
      </c>
      <c r="E725" t="s">
        <v>14</v>
      </c>
      <c r="F725" t="s">
        <v>12</v>
      </c>
      <c r="G725">
        <v>1</v>
      </c>
      <c r="H725">
        <v>236</v>
      </c>
      <c r="I725" t="s">
        <v>21</v>
      </c>
      <c r="J725" t="str">
        <f>_xlfn.XLOOKUP(branches[[#This Row],[Филиал]], tbl_Filialy[Филиал], tbl_Filialy[Менеджер])</f>
        <v>Алия Гайнутдинова</v>
      </c>
    </row>
    <row r="726" spans="1:10" x14ac:dyDescent="0.3">
      <c r="A726" t="str">
        <f>_xlfn.XLOOKUP(branches[[#This Row],[Филиал]], tbl_Filialy[Филиал], tbl_Filialy[Город])</f>
        <v>Казань</v>
      </c>
      <c r="B726" s="1" t="s">
        <v>30</v>
      </c>
      <c r="C726" s="2">
        <v>45661</v>
      </c>
      <c r="D726" s="2" t="str">
        <f>CHOOSE(MONTH(branches[[#This Row],[Дата]]),"Январь","Февраль","Март","Апрель","Май","Июнь","Июль","Август","Сентябрь","Октябрь","Ноябрь","Декабрь")&amp;" "&amp;YEAR(branches[[#This Row],[Дата]])</f>
        <v>Январь 2025</v>
      </c>
      <c r="E726" t="s">
        <v>24</v>
      </c>
      <c r="F726" t="s">
        <v>17</v>
      </c>
      <c r="G726">
        <v>2</v>
      </c>
      <c r="H726">
        <v>760</v>
      </c>
      <c r="I726" t="s">
        <v>10</v>
      </c>
      <c r="J726" t="str">
        <f>_xlfn.XLOOKUP(branches[[#This Row],[Филиал]], tbl_Filialy[Филиал], tbl_Filialy[Менеджер])</f>
        <v>Алия Гайнутдинова</v>
      </c>
    </row>
    <row r="727" spans="1:10" x14ac:dyDescent="0.3">
      <c r="A727" t="str">
        <f>_xlfn.XLOOKUP(branches[[#This Row],[Филиал]], tbl_Filialy[Филиал], tbl_Filialy[Город])</f>
        <v>Казань</v>
      </c>
      <c r="B727" s="1" t="s">
        <v>30</v>
      </c>
      <c r="C727" s="2">
        <v>45844</v>
      </c>
      <c r="D727" s="2" t="str">
        <f>CHOOSE(MONTH(branches[[#This Row],[Дата]]),"Январь","Февраль","Март","Апрель","Май","Июнь","Июль","Август","Сентябрь","Октябрь","Ноябрь","Декабрь")&amp;" "&amp;YEAR(branches[[#This Row],[Дата]])</f>
        <v>Июль 2025</v>
      </c>
      <c r="E727" t="s">
        <v>14</v>
      </c>
      <c r="F727" t="s">
        <v>12</v>
      </c>
      <c r="G727">
        <v>1</v>
      </c>
      <c r="H727">
        <v>251</v>
      </c>
      <c r="I727" t="s">
        <v>23</v>
      </c>
      <c r="J727" t="str">
        <f>_xlfn.XLOOKUP(branches[[#This Row],[Филиал]], tbl_Filialy[Филиал], tbl_Filialy[Менеджер])</f>
        <v>Алия Гайнутдинова</v>
      </c>
    </row>
    <row r="728" spans="1:10" x14ac:dyDescent="0.3">
      <c r="A728" t="str">
        <f>_xlfn.XLOOKUP(branches[[#This Row],[Филиал]], tbl_Filialy[Филиал], tbl_Filialy[Город])</f>
        <v>Казань</v>
      </c>
      <c r="B728" s="1" t="s">
        <v>30</v>
      </c>
      <c r="C728" s="2">
        <v>46014</v>
      </c>
      <c r="D728" s="2" t="str">
        <f>CHOOSE(MONTH(branches[[#This Row],[Дата]]),"Январь","Февраль","Март","Апрель","Май","Июнь","Июль","Август","Сентябрь","Октябрь","Ноябрь","Декабрь")&amp;" "&amp;YEAR(branches[[#This Row],[Дата]])</f>
        <v>Декабрь 2025</v>
      </c>
      <c r="E728" t="s">
        <v>14</v>
      </c>
      <c r="F728" t="s">
        <v>12</v>
      </c>
      <c r="G728">
        <v>1</v>
      </c>
      <c r="H728">
        <v>255</v>
      </c>
      <c r="I728" t="s">
        <v>23</v>
      </c>
      <c r="J728" t="str">
        <f>_xlfn.XLOOKUP(branches[[#This Row],[Филиал]], tbl_Filialy[Филиал], tbl_Filialy[Менеджер])</f>
        <v>Алия Гайнутдинова</v>
      </c>
    </row>
    <row r="729" spans="1:10" x14ac:dyDescent="0.3">
      <c r="A729" t="str">
        <f>_xlfn.XLOOKUP(branches[[#This Row],[Филиал]], tbl_Filialy[Филиал], tbl_Filialy[Город])</f>
        <v>Казань</v>
      </c>
      <c r="B729" s="1" t="s">
        <v>30</v>
      </c>
      <c r="C729" s="2">
        <v>45953</v>
      </c>
      <c r="D729" s="2" t="str">
        <f>CHOOSE(MONTH(branches[[#This Row],[Дата]]),"Январь","Февраль","Март","Апрель","Май","Июнь","Июль","Август","Сентябрь","Октябрь","Ноябрь","Декабрь")&amp;" "&amp;YEAR(branches[[#This Row],[Дата]])</f>
        <v>Октябрь 2025</v>
      </c>
      <c r="E729" t="s">
        <v>28</v>
      </c>
      <c r="F729" t="s">
        <v>12</v>
      </c>
      <c r="G729">
        <v>1</v>
      </c>
      <c r="H729">
        <v>223</v>
      </c>
      <c r="I729" t="s">
        <v>15</v>
      </c>
      <c r="J729" t="str">
        <f>_xlfn.XLOOKUP(branches[[#This Row],[Филиал]], tbl_Filialy[Филиал], tbl_Filialy[Менеджер])</f>
        <v>Алия Гайнутдинова</v>
      </c>
    </row>
    <row r="730" spans="1:10" x14ac:dyDescent="0.3">
      <c r="A730" t="str">
        <f>_xlfn.XLOOKUP(branches[[#This Row],[Филиал]], tbl_Filialy[Филиал], tbl_Filialy[Город])</f>
        <v>Казань</v>
      </c>
      <c r="B730" s="1" t="s">
        <v>30</v>
      </c>
      <c r="C730" s="2">
        <v>45888</v>
      </c>
      <c r="D730" s="2" t="str">
        <f>CHOOSE(MONTH(branches[[#This Row],[Дата]]),"Январь","Февраль","Март","Апрель","Май","Июнь","Июль","Август","Сентябрь","Октябрь","Ноябрь","Декабрь")&amp;" "&amp;YEAR(branches[[#This Row],[Дата]])</f>
        <v>Август 2025</v>
      </c>
      <c r="E730" t="s">
        <v>16</v>
      </c>
      <c r="F730" t="s">
        <v>17</v>
      </c>
      <c r="G730">
        <v>1</v>
      </c>
      <c r="H730">
        <v>320</v>
      </c>
      <c r="I730" t="s">
        <v>23</v>
      </c>
      <c r="J730" t="str">
        <f>_xlfn.XLOOKUP(branches[[#This Row],[Филиал]], tbl_Filialy[Филиал], tbl_Filialy[Менеджер])</f>
        <v>Алия Гайнутдинова</v>
      </c>
    </row>
    <row r="731" spans="1:10" x14ac:dyDescent="0.3">
      <c r="A731" t="str">
        <f>_xlfn.XLOOKUP(branches[[#This Row],[Филиал]], tbl_Filialy[Филиал], tbl_Filialy[Город])</f>
        <v>Казань</v>
      </c>
      <c r="B731" s="1" t="s">
        <v>30</v>
      </c>
      <c r="C731" s="2">
        <v>45752</v>
      </c>
      <c r="D731" s="2" t="str">
        <f>CHOOSE(MONTH(branches[[#This Row],[Дата]]),"Январь","Февраль","Март","Апрель","Май","Июнь","Июль","Август","Сентябрь","Октябрь","Ноябрь","Декабрь")&amp;" "&amp;YEAR(branches[[#This Row],[Дата]])</f>
        <v>Апрель 2025</v>
      </c>
      <c r="E731" t="s">
        <v>22</v>
      </c>
      <c r="F731" t="s">
        <v>9</v>
      </c>
      <c r="G731">
        <v>1</v>
      </c>
      <c r="H731">
        <v>196</v>
      </c>
      <c r="I731" t="s">
        <v>10</v>
      </c>
      <c r="J731" t="str">
        <f>_xlfn.XLOOKUP(branches[[#This Row],[Филиал]], tbl_Filialy[Филиал], tbl_Filialy[Менеджер])</f>
        <v>Алия Гайнутдинова</v>
      </c>
    </row>
    <row r="732" spans="1:10" x14ac:dyDescent="0.3">
      <c r="A732" t="str">
        <f>_xlfn.XLOOKUP(branches[[#This Row],[Филиал]], tbl_Filialy[Филиал], tbl_Filialy[Город])</f>
        <v>Казань</v>
      </c>
      <c r="B732" s="1" t="s">
        <v>30</v>
      </c>
      <c r="C732" s="2">
        <v>45763</v>
      </c>
      <c r="D732" s="2" t="str">
        <f>CHOOSE(MONTH(branches[[#This Row],[Дата]]),"Январь","Февраль","Март","Апрель","Май","Июнь","Июль","Август","Сентябрь","Октябрь","Ноябрь","Декабрь")&amp;" "&amp;YEAR(branches[[#This Row],[Дата]])</f>
        <v>Апрель 2025</v>
      </c>
      <c r="E732" t="s">
        <v>25</v>
      </c>
      <c r="F732" t="s">
        <v>12</v>
      </c>
      <c r="G732">
        <v>1</v>
      </c>
      <c r="H732">
        <v>197</v>
      </c>
      <c r="I732" t="s">
        <v>13</v>
      </c>
      <c r="J732" t="str">
        <f>_xlfn.XLOOKUP(branches[[#This Row],[Филиал]], tbl_Filialy[Филиал], tbl_Filialy[Менеджер])</f>
        <v>Алия Гайнутдинова</v>
      </c>
    </row>
    <row r="733" spans="1:10" x14ac:dyDescent="0.3">
      <c r="A733" t="str">
        <f>_xlfn.XLOOKUP(branches[[#This Row],[Филиал]], tbl_Filialy[Филиал], tbl_Filialy[Город])</f>
        <v>Казань</v>
      </c>
      <c r="B733" s="1" t="s">
        <v>30</v>
      </c>
      <c r="C733" s="2">
        <v>45675</v>
      </c>
      <c r="D733" s="2" t="str">
        <f>CHOOSE(MONTH(branches[[#This Row],[Дата]]),"Январь","Февраль","Март","Апрель","Май","Июнь","Июль","Август","Сентябрь","Октябрь","Ноябрь","Декабрь")&amp;" "&amp;YEAR(branches[[#This Row],[Дата]])</f>
        <v>Январь 2025</v>
      </c>
      <c r="E733" t="s">
        <v>27</v>
      </c>
      <c r="F733" t="s">
        <v>12</v>
      </c>
      <c r="G733">
        <v>1</v>
      </c>
      <c r="H733">
        <v>237</v>
      </c>
      <c r="I733" t="s">
        <v>23</v>
      </c>
      <c r="J733" t="str">
        <f>_xlfn.XLOOKUP(branches[[#This Row],[Филиал]], tbl_Filialy[Филиал], tbl_Filialy[Менеджер])</f>
        <v>Алия Гайнутдинова</v>
      </c>
    </row>
    <row r="734" spans="1:10" x14ac:dyDescent="0.3">
      <c r="A734" t="str">
        <f>_xlfn.XLOOKUP(branches[[#This Row],[Филиал]], tbl_Filialy[Филиал], tbl_Filialy[Город])</f>
        <v>Казань</v>
      </c>
      <c r="B734" s="1" t="s">
        <v>30</v>
      </c>
      <c r="C734" s="2">
        <v>45840</v>
      </c>
      <c r="D734" s="2" t="str">
        <f>CHOOSE(MONTH(branches[[#This Row],[Дата]]),"Январь","Февраль","Март","Апрель","Май","Июнь","Июль","Август","Сентябрь","Октябрь","Ноябрь","Декабрь")&amp;" "&amp;YEAR(branches[[#This Row],[Дата]])</f>
        <v>Июль 2025</v>
      </c>
      <c r="E734" t="s">
        <v>24</v>
      </c>
      <c r="F734" t="s">
        <v>17</v>
      </c>
      <c r="G734">
        <v>2</v>
      </c>
      <c r="H734">
        <v>674</v>
      </c>
      <c r="I734" t="s">
        <v>23</v>
      </c>
      <c r="J734" t="str">
        <f>_xlfn.XLOOKUP(branches[[#This Row],[Филиал]], tbl_Filialy[Филиал], tbl_Filialy[Менеджер])</f>
        <v>Алия Гайнутдинова</v>
      </c>
    </row>
    <row r="735" spans="1:10" x14ac:dyDescent="0.3">
      <c r="A735" t="str">
        <f>_xlfn.XLOOKUP(branches[[#This Row],[Филиал]], tbl_Filialy[Филиал], tbl_Filialy[Город])</f>
        <v>Казань</v>
      </c>
      <c r="B735" s="1" t="s">
        <v>30</v>
      </c>
      <c r="C735" s="2">
        <v>45953</v>
      </c>
      <c r="D735" s="2" t="str">
        <f>CHOOSE(MONTH(branches[[#This Row],[Дата]]),"Январь","Февраль","Март","Апрель","Май","Июнь","Июль","Август","Сентябрь","Октябрь","Ноябрь","Декабрь")&amp;" "&amp;YEAR(branches[[#This Row],[Дата]])</f>
        <v>Октябрь 2025</v>
      </c>
      <c r="E735" t="s">
        <v>20</v>
      </c>
      <c r="F735" t="s">
        <v>12</v>
      </c>
      <c r="G735">
        <v>1</v>
      </c>
      <c r="H735">
        <v>282</v>
      </c>
      <c r="I735" t="s">
        <v>15</v>
      </c>
      <c r="J735" t="str">
        <f>_xlfn.XLOOKUP(branches[[#This Row],[Филиал]], tbl_Filialy[Филиал], tbl_Filialy[Менеджер])</f>
        <v>Алия Гайнутдинова</v>
      </c>
    </row>
    <row r="736" spans="1:10" x14ac:dyDescent="0.3">
      <c r="A736" t="str">
        <f>_xlfn.XLOOKUP(branches[[#This Row],[Филиал]], tbl_Filialy[Филиал], tbl_Filialy[Город])</f>
        <v>Казань</v>
      </c>
      <c r="B736" s="1" t="s">
        <v>30</v>
      </c>
      <c r="C736" s="2">
        <v>45992</v>
      </c>
      <c r="D736" s="2" t="str">
        <f>CHOOSE(MONTH(branches[[#This Row],[Дата]]),"Январь","Февраль","Март","Апрель","Май","Июнь","Июль","Август","Сентябрь","Октябрь","Ноябрь","Декабрь")&amp;" "&amp;YEAR(branches[[#This Row],[Дата]])</f>
        <v>Декабрь 2025</v>
      </c>
      <c r="E736" t="s">
        <v>18</v>
      </c>
      <c r="F736" t="s">
        <v>12</v>
      </c>
      <c r="G736">
        <v>2</v>
      </c>
      <c r="H736">
        <v>318</v>
      </c>
      <c r="I736" t="s">
        <v>15</v>
      </c>
      <c r="J736" t="str">
        <f>_xlfn.XLOOKUP(branches[[#This Row],[Филиал]], tbl_Filialy[Филиал], tbl_Filialy[Менеджер])</f>
        <v>Алия Гайнутдинова</v>
      </c>
    </row>
    <row r="737" spans="1:10" x14ac:dyDescent="0.3">
      <c r="A737" t="str">
        <f>_xlfn.XLOOKUP(branches[[#This Row],[Филиал]], tbl_Filialy[Филиал], tbl_Filialy[Город])</f>
        <v>Казань</v>
      </c>
      <c r="B737" s="1" t="s">
        <v>30</v>
      </c>
      <c r="C737" s="2">
        <v>45975</v>
      </c>
      <c r="D737" s="2" t="str">
        <f>CHOOSE(MONTH(branches[[#This Row],[Дата]]),"Январь","Февраль","Март","Апрель","Май","Июнь","Июль","Август","Сентябрь","Октябрь","Ноябрь","Декабрь")&amp;" "&amp;YEAR(branches[[#This Row],[Дата]])</f>
        <v>Ноябрь 2025</v>
      </c>
      <c r="E737" t="s">
        <v>26</v>
      </c>
      <c r="F737" t="s">
        <v>9</v>
      </c>
      <c r="G737">
        <v>2</v>
      </c>
      <c r="H737">
        <v>450</v>
      </c>
      <c r="I737" t="s">
        <v>15</v>
      </c>
      <c r="J737" t="str">
        <f>_xlfn.XLOOKUP(branches[[#This Row],[Филиал]], tbl_Filialy[Филиал], tbl_Filialy[Менеджер])</f>
        <v>Алия Гайнутдинова</v>
      </c>
    </row>
    <row r="738" spans="1:10" x14ac:dyDescent="0.3">
      <c r="A738" t="str">
        <f>_xlfn.XLOOKUP(branches[[#This Row],[Филиал]], tbl_Filialy[Филиал], tbl_Filialy[Город])</f>
        <v>Казань</v>
      </c>
      <c r="B738" s="1" t="s">
        <v>30</v>
      </c>
      <c r="C738" s="2">
        <v>45906</v>
      </c>
      <c r="D738" s="2" t="str">
        <f>CHOOSE(MONTH(branches[[#This Row],[Дата]]),"Январь","Февраль","Март","Апрель","Май","Июнь","Июль","Август","Сентябрь","Октябрь","Ноябрь","Декабрь")&amp;" "&amp;YEAR(branches[[#This Row],[Дата]])</f>
        <v>Сентябрь 2025</v>
      </c>
      <c r="E738" t="s">
        <v>14</v>
      </c>
      <c r="F738" t="s">
        <v>12</v>
      </c>
      <c r="G738">
        <v>1</v>
      </c>
      <c r="H738">
        <v>283</v>
      </c>
      <c r="I738" t="s">
        <v>13</v>
      </c>
      <c r="J738" t="str">
        <f>_xlfn.XLOOKUP(branches[[#This Row],[Филиал]], tbl_Filialy[Филиал], tbl_Filialy[Менеджер])</f>
        <v>Алия Гайнутдинова</v>
      </c>
    </row>
    <row r="739" spans="1:10" x14ac:dyDescent="0.3">
      <c r="A739" t="str">
        <f>_xlfn.XLOOKUP(branches[[#This Row],[Филиал]], tbl_Filialy[Филиал], tbl_Filialy[Город])</f>
        <v>Казань</v>
      </c>
      <c r="B739" s="1" t="s">
        <v>30</v>
      </c>
      <c r="C739" s="2">
        <v>45894</v>
      </c>
      <c r="D739" s="2" t="str">
        <f>CHOOSE(MONTH(branches[[#This Row],[Дата]]),"Январь","Февраль","Март","Апрель","Май","Июнь","Июль","Август","Сентябрь","Октябрь","Ноябрь","Декабрь")&amp;" "&amp;YEAR(branches[[#This Row],[Дата]])</f>
        <v>Август 2025</v>
      </c>
      <c r="E739" t="s">
        <v>24</v>
      </c>
      <c r="F739" t="s">
        <v>17</v>
      </c>
      <c r="G739">
        <v>2</v>
      </c>
      <c r="H739">
        <v>780</v>
      </c>
      <c r="I739" t="s">
        <v>15</v>
      </c>
      <c r="J739" t="str">
        <f>_xlfn.XLOOKUP(branches[[#This Row],[Филиал]], tbl_Filialy[Филиал], tbl_Filialy[Менеджер])</f>
        <v>Алия Гайнутдинова</v>
      </c>
    </row>
    <row r="740" spans="1:10" x14ac:dyDescent="0.3">
      <c r="A740" t="str">
        <f>_xlfn.XLOOKUP(branches[[#This Row],[Филиал]], tbl_Filialy[Филиал], tbl_Filialy[Город])</f>
        <v>Казань</v>
      </c>
      <c r="B740" s="1" t="s">
        <v>30</v>
      </c>
      <c r="C740" s="2">
        <v>45997</v>
      </c>
      <c r="D740" s="2" t="str">
        <f>CHOOSE(MONTH(branches[[#This Row],[Дата]]),"Январь","Февраль","Март","Апрель","Май","Июнь","Июль","Август","Сентябрь","Октябрь","Ноябрь","Декабрь")&amp;" "&amp;YEAR(branches[[#This Row],[Дата]])</f>
        <v>Декабрь 2025</v>
      </c>
      <c r="E740" t="s">
        <v>28</v>
      </c>
      <c r="F740" t="s">
        <v>12</v>
      </c>
      <c r="G740">
        <v>1</v>
      </c>
      <c r="H740">
        <v>212</v>
      </c>
      <c r="I740" t="s">
        <v>10</v>
      </c>
      <c r="J740" t="str">
        <f>_xlfn.XLOOKUP(branches[[#This Row],[Филиал]], tbl_Filialy[Филиал], tbl_Filialy[Менеджер])</f>
        <v>Алия Гайнутдинова</v>
      </c>
    </row>
    <row r="741" spans="1:10" x14ac:dyDescent="0.3">
      <c r="A741" t="str">
        <f>_xlfn.XLOOKUP(branches[[#This Row],[Филиал]], tbl_Filialy[Филиал], tbl_Filialy[Город])</f>
        <v>Казань</v>
      </c>
      <c r="B741" s="1" t="s">
        <v>30</v>
      </c>
      <c r="C741" s="2">
        <v>45750</v>
      </c>
      <c r="D741" s="2" t="str">
        <f>CHOOSE(MONTH(branches[[#This Row],[Дата]]),"Январь","Февраль","Март","Апрель","Май","Июнь","Июль","Август","Сентябрь","Октябрь","Ноябрь","Декабрь")&amp;" "&amp;YEAR(branches[[#This Row],[Дата]])</f>
        <v>Апрель 2025</v>
      </c>
      <c r="E741" t="s">
        <v>18</v>
      </c>
      <c r="F741" t="s">
        <v>12</v>
      </c>
      <c r="G741">
        <v>2</v>
      </c>
      <c r="H741">
        <v>250</v>
      </c>
      <c r="I741" t="s">
        <v>15</v>
      </c>
      <c r="J741" t="str">
        <f>_xlfn.XLOOKUP(branches[[#This Row],[Филиал]], tbl_Filialy[Филиал], tbl_Filialy[Менеджер])</f>
        <v>Алия Гайнутдинова</v>
      </c>
    </row>
    <row r="742" spans="1:10" x14ac:dyDescent="0.3">
      <c r="A742" t="str">
        <f>_xlfn.XLOOKUP(branches[[#This Row],[Филиал]], tbl_Filialy[Филиал], tbl_Filialy[Город])</f>
        <v>Казань</v>
      </c>
      <c r="B742" s="1" t="s">
        <v>30</v>
      </c>
      <c r="C742" s="2">
        <v>45703</v>
      </c>
      <c r="D742" s="2" t="str">
        <f>CHOOSE(MONTH(branches[[#This Row],[Дата]]),"Январь","Февраль","Март","Апрель","Май","Июнь","Июль","Август","Сентябрь","Октябрь","Ноябрь","Декабрь")&amp;" "&amp;YEAR(branches[[#This Row],[Дата]])</f>
        <v>Февраль 2025</v>
      </c>
      <c r="E742" t="s">
        <v>8</v>
      </c>
      <c r="F742" t="s">
        <v>9</v>
      </c>
      <c r="G742">
        <v>1</v>
      </c>
      <c r="H742">
        <v>263</v>
      </c>
      <c r="I742" t="s">
        <v>10</v>
      </c>
      <c r="J742" t="str">
        <f>_xlfn.XLOOKUP(branches[[#This Row],[Филиал]], tbl_Filialy[Филиал], tbl_Filialy[Менеджер])</f>
        <v>Алия Гайнутдинова</v>
      </c>
    </row>
    <row r="743" spans="1:10" x14ac:dyDescent="0.3">
      <c r="A743" t="str">
        <f>_xlfn.XLOOKUP(branches[[#This Row],[Филиал]], tbl_Filialy[Филиал], tbl_Filialy[Город])</f>
        <v>Казань</v>
      </c>
      <c r="B743" s="1" t="s">
        <v>30</v>
      </c>
      <c r="C743" s="2">
        <v>45892</v>
      </c>
      <c r="D743" s="2" t="str">
        <f>CHOOSE(MONTH(branches[[#This Row],[Дата]]),"Январь","Февраль","Март","Апрель","Май","Июнь","Июль","Август","Сентябрь","Октябрь","Ноябрь","Декабрь")&amp;" "&amp;YEAR(branches[[#This Row],[Дата]])</f>
        <v>Август 2025</v>
      </c>
      <c r="E743" t="s">
        <v>22</v>
      </c>
      <c r="F743" t="s">
        <v>9</v>
      </c>
      <c r="G743">
        <v>1</v>
      </c>
      <c r="H743">
        <v>176</v>
      </c>
      <c r="I743" t="s">
        <v>21</v>
      </c>
      <c r="J743" t="str">
        <f>_xlfn.XLOOKUP(branches[[#This Row],[Филиал]], tbl_Filialy[Филиал], tbl_Filialy[Менеджер])</f>
        <v>Алия Гайнутдинова</v>
      </c>
    </row>
    <row r="744" spans="1:10" x14ac:dyDescent="0.3">
      <c r="A744" t="str">
        <f>_xlfn.XLOOKUP(branches[[#This Row],[Филиал]], tbl_Filialy[Филиал], tbl_Filialy[Город])</f>
        <v>Казань</v>
      </c>
      <c r="B744" s="1" t="s">
        <v>30</v>
      </c>
      <c r="C744" s="2">
        <v>45762</v>
      </c>
      <c r="D744" s="2" t="str">
        <f>CHOOSE(MONTH(branches[[#This Row],[Дата]]),"Январь","Февраль","Март","Апрель","Май","Июнь","Июль","Август","Сентябрь","Октябрь","Ноябрь","Декабрь")&amp;" "&amp;YEAR(branches[[#This Row],[Дата]])</f>
        <v>Апрель 2025</v>
      </c>
      <c r="E744" t="s">
        <v>11</v>
      </c>
      <c r="F744" t="s">
        <v>12</v>
      </c>
      <c r="G744">
        <v>1</v>
      </c>
      <c r="H744">
        <v>185</v>
      </c>
      <c r="I744" t="s">
        <v>13</v>
      </c>
      <c r="J744" t="str">
        <f>_xlfn.XLOOKUP(branches[[#This Row],[Филиал]], tbl_Filialy[Филиал], tbl_Filialy[Менеджер])</f>
        <v>Алия Гайнутдинова</v>
      </c>
    </row>
    <row r="745" spans="1:10" x14ac:dyDescent="0.3">
      <c r="A745" t="str">
        <f>_xlfn.XLOOKUP(branches[[#This Row],[Филиал]], tbl_Filialy[Филиал], tbl_Filialy[Город])</f>
        <v>Казань</v>
      </c>
      <c r="B745" s="1" t="s">
        <v>30</v>
      </c>
      <c r="C745" s="2">
        <v>46009</v>
      </c>
      <c r="D745" s="2" t="str">
        <f>CHOOSE(MONTH(branches[[#This Row],[Дата]]),"Январь","Февраль","Март","Апрель","Май","Июнь","Июль","Август","Сентябрь","Октябрь","Ноябрь","Декабрь")&amp;" "&amp;YEAR(branches[[#This Row],[Дата]])</f>
        <v>Декабрь 2025</v>
      </c>
      <c r="E745" t="s">
        <v>16</v>
      </c>
      <c r="F745" t="s">
        <v>17</v>
      </c>
      <c r="G745">
        <v>1</v>
      </c>
      <c r="H745">
        <v>332</v>
      </c>
      <c r="I745" t="s">
        <v>13</v>
      </c>
      <c r="J745" t="str">
        <f>_xlfn.XLOOKUP(branches[[#This Row],[Филиал]], tbl_Filialy[Филиал], tbl_Filialy[Менеджер])</f>
        <v>Алия Гайнутдинова</v>
      </c>
    </row>
    <row r="746" spans="1:10" x14ac:dyDescent="0.3">
      <c r="A746" t="str">
        <f>_xlfn.XLOOKUP(branches[[#This Row],[Филиал]], tbl_Filialy[Филиал], tbl_Filialy[Город])</f>
        <v>Казань</v>
      </c>
      <c r="B746" s="1" t="s">
        <v>30</v>
      </c>
      <c r="C746" s="2">
        <v>45889</v>
      </c>
      <c r="D746" s="2" t="str">
        <f>CHOOSE(MONTH(branches[[#This Row],[Дата]]),"Январь","Февраль","Март","Апрель","Май","Июнь","Июль","Август","Сентябрь","Октябрь","Ноябрь","Декабрь")&amp;" "&amp;YEAR(branches[[#This Row],[Дата]])</f>
        <v>Август 2025</v>
      </c>
      <c r="E746" t="s">
        <v>25</v>
      </c>
      <c r="F746" t="s">
        <v>12</v>
      </c>
      <c r="G746">
        <v>2</v>
      </c>
      <c r="H746">
        <v>444</v>
      </c>
      <c r="I746" t="s">
        <v>10</v>
      </c>
      <c r="J746" t="str">
        <f>_xlfn.XLOOKUP(branches[[#This Row],[Филиал]], tbl_Filialy[Филиал], tbl_Filialy[Менеджер])</f>
        <v>Алия Гайнутдинова</v>
      </c>
    </row>
    <row r="747" spans="1:10" x14ac:dyDescent="0.3">
      <c r="A747" t="str">
        <f>_xlfn.XLOOKUP(branches[[#This Row],[Филиал]], tbl_Filialy[Филиал], tbl_Filialy[Город])</f>
        <v>Казань</v>
      </c>
      <c r="B747" s="1" t="s">
        <v>30</v>
      </c>
      <c r="C747" s="2">
        <v>45876</v>
      </c>
      <c r="D747" s="2" t="str">
        <f>CHOOSE(MONTH(branches[[#This Row],[Дата]]),"Январь","Февраль","Март","Апрель","Май","Июнь","Июль","Август","Сентябрь","Октябрь","Ноябрь","Декабрь")&amp;" "&amp;YEAR(branches[[#This Row],[Дата]])</f>
        <v>Август 2025</v>
      </c>
      <c r="E747" t="s">
        <v>28</v>
      </c>
      <c r="F747" t="s">
        <v>12</v>
      </c>
      <c r="G747">
        <v>1</v>
      </c>
      <c r="H747">
        <v>245</v>
      </c>
      <c r="I747" t="s">
        <v>21</v>
      </c>
      <c r="J747" t="str">
        <f>_xlfn.XLOOKUP(branches[[#This Row],[Филиал]], tbl_Filialy[Филиал], tbl_Filialy[Менеджер])</f>
        <v>Алия Гайнутдинова</v>
      </c>
    </row>
    <row r="748" spans="1:10" x14ac:dyDescent="0.3">
      <c r="A748" t="str">
        <f>_xlfn.XLOOKUP(branches[[#This Row],[Филиал]], tbl_Filialy[Филиал], tbl_Filialy[Город])</f>
        <v>Казань</v>
      </c>
      <c r="B748" s="1" t="s">
        <v>30</v>
      </c>
      <c r="C748" s="2">
        <v>46013</v>
      </c>
      <c r="D748" s="2" t="str">
        <f>CHOOSE(MONTH(branches[[#This Row],[Дата]]),"Январь","Февраль","Март","Апрель","Май","Июнь","Июль","Август","Сентябрь","Октябрь","Ноябрь","Декабрь")&amp;" "&amp;YEAR(branches[[#This Row],[Дата]])</f>
        <v>Декабрь 2025</v>
      </c>
      <c r="E748" t="s">
        <v>27</v>
      </c>
      <c r="F748" t="s">
        <v>12</v>
      </c>
      <c r="G748">
        <v>2</v>
      </c>
      <c r="H748">
        <v>434</v>
      </c>
      <c r="I748" t="s">
        <v>13</v>
      </c>
      <c r="J748" t="str">
        <f>_xlfn.XLOOKUP(branches[[#This Row],[Филиал]], tbl_Filialy[Филиал], tbl_Filialy[Менеджер])</f>
        <v>Алия Гайнутдинова</v>
      </c>
    </row>
    <row r="749" spans="1:10" x14ac:dyDescent="0.3">
      <c r="A749" t="str">
        <f>_xlfn.XLOOKUP(branches[[#This Row],[Филиал]], tbl_Filialy[Филиал], tbl_Filialy[Город])</f>
        <v>Казань</v>
      </c>
      <c r="B749" s="1" t="s">
        <v>30</v>
      </c>
      <c r="C749" s="2">
        <v>45882</v>
      </c>
      <c r="D749" s="2" t="str">
        <f>CHOOSE(MONTH(branches[[#This Row],[Дата]]),"Январь","Февраль","Март","Апрель","Май","Июнь","Июль","Август","Сентябрь","Октябрь","Ноябрь","Декабрь")&amp;" "&amp;YEAR(branches[[#This Row],[Дата]])</f>
        <v>Август 2025</v>
      </c>
      <c r="E749" t="s">
        <v>14</v>
      </c>
      <c r="F749" t="s">
        <v>12</v>
      </c>
      <c r="G749">
        <v>3</v>
      </c>
      <c r="H749">
        <v>783</v>
      </c>
      <c r="I749" t="s">
        <v>21</v>
      </c>
      <c r="J749" t="str">
        <f>_xlfn.XLOOKUP(branches[[#This Row],[Филиал]], tbl_Filialy[Филиал], tbl_Filialy[Менеджер])</f>
        <v>Алия Гайнутдинова</v>
      </c>
    </row>
    <row r="750" spans="1:10" x14ac:dyDescent="0.3">
      <c r="A750" t="str">
        <f>_xlfn.XLOOKUP(branches[[#This Row],[Филиал]], tbl_Filialy[Филиал], tbl_Filialy[Город])</f>
        <v>Казань</v>
      </c>
      <c r="B750" s="1" t="s">
        <v>30</v>
      </c>
      <c r="C750" s="2">
        <v>45721</v>
      </c>
      <c r="D750" s="2" t="str">
        <f>CHOOSE(MONTH(branches[[#This Row],[Дата]]),"Январь","Февраль","Март","Апрель","Май","Июнь","Июль","Август","Сентябрь","Октябрь","Ноябрь","Декабрь")&amp;" "&amp;YEAR(branches[[#This Row],[Дата]])</f>
        <v>Март 2025</v>
      </c>
      <c r="E750" t="s">
        <v>28</v>
      </c>
      <c r="F750" t="s">
        <v>12</v>
      </c>
      <c r="G750">
        <v>1</v>
      </c>
      <c r="H750">
        <v>247</v>
      </c>
      <c r="I750" t="s">
        <v>15</v>
      </c>
      <c r="J750" t="str">
        <f>_xlfn.XLOOKUP(branches[[#This Row],[Филиал]], tbl_Filialy[Филиал], tbl_Filialy[Менеджер])</f>
        <v>Алия Гайнутдинова</v>
      </c>
    </row>
    <row r="751" spans="1:10" x14ac:dyDescent="0.3">
      <c r="A751" t="str">
        <f>_xlfn.XLOOKUP(branches[[#This Row],[Филиал]], tbl_Filialy[Филиал], tbl_Filialy[Город])</f>
        <v>Казань</v>
      </c>
      <c r="B751" s="1" t="s">
        <v>30</v>
      </c>
      <c r="C751" s="2">
        <v>45798</v>
      </c>
      <c r="D751" s="2" t="str">
        <f>CHOOSE(MONTH(branches[[#This Row],[Дата]]),"Январь","Февраль","Март","Апрель","Май","Июнь","Июль","Август","Сентябрь","Октябрь","Ноябрь","Декабрь")&amp;" "&amp;YEAR(branches[[#This Row],[Дата]])</f>
        <v>Май 2025</v>
      </c>
      <c r="E751" t="s">
        <v>14</v>
      </c>
      <c r="F751" t="s">
        <v>12</v>
      </c>
      <c r="G751">
        <v>1</v>
      </c>
      <c r="H751">
        <v>263</v>
      </c>
      <c r="I751" t="s">
        <v>23</v>
      </c>
      <c r="J751" t="str">
        <f>_xlfn.XLOOKUP(branches[[#This Row],[Филиал]], tbl_Filialy[Филиал], tbl_Filialy[Менеджер])</f>
        <v>Алия Гайнутдинова</v>
      </c>
    </row>
    <row r="752" spans="1:10" x14ac:dyDescent="0.3">
      <c r="A752" t="str">
        <f>_xlfn.XLOOKUP(branches[[#This Row],[Филиал]], tbl_Filialy[Филиал], tbl_Filialy[Город])</f>
        <v>Казань</v>
      </c>
      <c r="B752" s="1" t="s">
        <v>30</v>
      </c>
      <c r="C752" s="2">
        <v>45979</v>
      </c>
      <c r="D752" s="2" t="str">
        <f>CHOOSE(MONTH(branches[[#This Row],[Дата]]),"Январь","Февраль","Март","Апрель","Май","Июнь","Июль","Август","Сентябрь","Октябрь","Ноябрь","Декабрь")&amp;" "&amp;YEAR(branches[[#This Row],[Дата]])</f>
        <v>Ноябрь 2025</v>
      </c>
      <c r="E752" t="s">
        <v>27</v>
      </c>
      <c r="F752" t="s">
        <v>12</v>
      </c>
      <c r="G752">
        <v>1</v>
      </c>
      <c r="H752">
        <v>209</v>
      </c>
      <c r="I752" t="s">
        <v>15</v>
      </c>
      <c r="J752" t="str">
        <f>_xlfn.XLOOKUP(branches[[#This Row],[Филиал]], tbl_Filialy[Филиал], tbl_Filialy[Менеджер])</f>
        <v>Алия Гайнутдинова</v>
      </c>
    </row>
    <row r="753" spans="1:10" x14ac:dyDescent="0.3">
      <c r="A753" t="str">
        <f>_xlfn.XLOOKUP(branches[[#This Row],[Филиал]], tbl_Filialy[Филиал], tbl_Filialy[Город])</f>
        <v>Казань</v>
      </c>
      <c r="B753" s="1" t="s">
        <v>30</v>
      </c>
      <c r="C753" s="2">
        <v>46018</v>
      </c>
      <c r="D753" s="2" t="str">
        <f>CHOOSE(MONTH(branches[[#This Row],[Дата]]),"Январь","Февраль","Март","Апрель","Май","Июнь","Июль","Август","Сентябрь","Октябрь","Ноябрь","Декабрь")&amp;" "&amp;YEAR(branches[[#This Row],[Дата]])</f>
        <v>Декабрь 2025</v>
      </c>
      <c r="E753" t="s">
        <v>16</v>
      </c>
      <c r="F753" t="s">
        <v>17</v>
      </c>
      <c r="G753">
        <v>1</v>
      </c>
      <c r="H753">
        <v>325</v>
      </c>
      <c r="I753" t="s">
        <v>15</v>
      </c>
      <c r="J753" t="str">
        <f>_xlfn.XLOOKUP(branches[[#This Row],[Филиал]], tbl_Filialy[Филиал], tbl_Filialy[Менеджер])</f>
        <v>Алия Гайнутдинова</v>
      </c>
    </row>
    <row r="754" spans="1:10" x14ac:dyDescent="0.3">
      <c r="A754" t="str">
        <f>_xlfn.XLOOKUP(branches[[#This Row],[Филиал]], tbl_Filialy[Филиал], tbl_Filialy[Город])</f>
        <v>Казань</v>
      </c>
      <c r="B754" s="1" t="s">
        <v>30</v>
      </c>
      <c r="C754" s="2">
        <v>45703</v>
      </c>
      <c r="D754" s="2" t="str">
        <f>CHOOSE(MONTH(branches[[#This Row],[Дата]]),"Январь","Февраль","Март","Апрель","Май","Июнь","Июль","Август","Сентябрь","Октябрь","Ноябрь","Декабрь")&amp;" "&amp;YEAR(branches[[#This Row],[Дата]])</f>
        <v>Февраль 2025</v>
      </c>
      <c r="E754" t="s">
        <v>16</v>
      </c>
      <c r="F754" t="s">
        <v>17</v>
      </c>
      <c r="G754">
        <v>2</v>
      </c>
      <c r="H754">
        <v>660</v>
      </c>
      <c r="I754" t="s">
        <v>13</v>
      </c>
      <c r="J754" t="str">
        <f>_xlfn.XLOOKUP(branches[[#This Row],[Филиал]], tbl_Filialy[Филиал], tbl_Filialy[Менеджер])</f>
        <v>Алия Гайнутдинова</v>
      </c>
    </row>
    <row r="755" spans="1:10" x14ac:dyDescent="0.3">
      <c r="A755" t="str">
        <f>_xlfn.XLOOKUP(branches[[#This Row],[Филиал]], tbl_Filialy[Филиал], tbl_Filialy[Город])</f>
        <v>Казань</v>
      </c>
      <c r="B755" s="1" t="s">
        <v>30</v>
      </c>
      <c r="C755" s="2">
        <v>45732</v>
      </c>
      <c r="D755" s="2" t="str">
        <f>CHOOSE(MONTH(branches[[#This Row],[Дата]]),"Январь","Февраль","Март","Апрель","Май","Июнь","Июль","Август","Сентябрь","Октябрь","Ноябрь","Декабрь")&amp;" "&amp;YEAR(branches[[#This Row],[Дата]])</f>
        <v>Март 2025</v>
      </c>
      <c r="E755" t="s">
        <v>26</v>
      </c>
      <c r="F755" t="s">
        <v>9</v>
      </c>
      <c r="G755">
        <v>1</v>
      </c>
      <c r="H755">
        <v>230</v>
      </c>
      <c r="I755" t="s">
        <v>19</v>
      </c>
      <c r="J755" t="str">
        <f>_xlfn.XLOOKUP(branches[[#This Row],[Филиал]], tbl_Filialy[Филиал], tbl_Filialy[Менеджер])</f>
        <v>Алия Гайнутдинова</v>
      </c>
    </row>
    <row r="756" spans="1:10" x14ac:dyDescent="0.3">
      <c r="A756" t="str">
        <f>_xlfn.XLOOKUP(branches[[#This Row],[Филиал]], tbl_Filialy[Филиал], tbl_Filialy[Город])</f>
        <v>Казань</v>
      </c>
      <c r="B756" s="1" t="s">
        <v>30</v>
      </c>
      <c r="C756" s="2">
        <v>45706</v>
      </c>
      <c r="D756" s="2" t="str">
        <f>CHOOSE(MONTH(branches[[#This Row],[Дата]]),"Январь","Февраль","Март","Апрель","Май","Июнь","Июль","Август","Сентябрь","Октябрь","Ноябрь","Декабрь")&amp;" "&amp;YEAR(branches[[#This Row],[Дата]])</f>
        <v>Февраль 2025</v>
      </c>
      <c r="E756" t="s">
        <v>26</v>
      </c>
      <c r="F756" t="s">
        <v>9</v>
      </c>
      <c r="G756">
        <v>1</v>
      </c>
      <c r="H756">
        <v>206</v>
      </c>
      <c r="I756" t="s">
        <v>23</v>
      </c>
      <c r="J756" t="str">
        <f>_xlfn.XLOOKUP(branches[[#This Row],[Филиал]], tbl_Filialy[Филиал], tbl_Filialy[Менеджер])</f>
        <v>Алия Гайнутдинова</v>
      </c>
    </row>
    <row r="757" spans="1:10" x14ac:dyDescent="0.3">
      <c r="A757" t="str">
        <f>_xlfn.XLOOKUP(branches[[#This Row],[Филиал]], tbl_Filialy[Филиал], tbl_Filialy[Город])</f>
        <v>Казань</v>
      </c>
      <c r="B757" s="1" t="s">
        <v>30</v>
      </c>
      <c r="C757" s="2">
        <v>46006</v>
      </c>
      <c r="D757" s="2" t="str">
        <f>CHOOSE(MONTH(branches[[#This Row],[Дата]]),"Январь","Февраль","Март","Апрель","Май","Июнь","Июль","Август","Сентябрь","Октябрь","Ноябрь","Декабрь")&amp;" "&amp;YEAR(branches[[#This Row],[Дата]])</f>
        <v>Декабрь 2025</v>
      </c>
      <c r="E757" t="s">
        <v>14</v>
      </c>
      <c r="F757" t="s">
        <v>12</v>
      </c>
      <c r="G757">
        <v>2</v>
      </c>
      <c r="H757">
        <v>512</v>
      </c>
      <c r="I757" t="s">
        <v>23</v>
      </c>
      <c r="J757" t="str">
        <f>_xlfn.XLOOKUP(branches[[#This Row],[Филиал]], tbl_Filialy[Филиал], tbl_Filialy[Менеджер])</f>
        <v>Алия Гайнутдинова</v>
      </c>
    </row>
    <row r="758" spans="1:10" x14ac:dyDescent="0.3">
      <c r="A758" t="str">
        <f>_xlfn.XLOOKUP(branches[[#This Row],[Филиал]], tbl_Filialy[Филиал], tbl_Filialy[Город])</f>
        <v>Казань</v>
      </c>
      <c r="B758" s="1" t="s">
        <v>30</v>
      </c>
      <c r="C758" s="2">
        <v>45800</v>
      </c>
      <c r="D758" s="2" t="str">
        <f>CHOOSE(MONTH(branches[[#This Row],[Дата]]),"Январь","Февраль","Март","Апрель","Май","Июнь","Июль","Август","Сентябрь","Октябрь","Ноябрь","Декабрь")&amp;" "&amp;YEAR(branches[[#This Row],[Дата]])</f>
        <v>Май 2025</v>
      </c>
      <c r="E758" t="s">
        <v>22</v>
      </c>
      <c r="F758" t="s">
        <v>9</v>
      </c>
      <c r="G758">
        <v>1</v>
      </c>
      <c r="H758">
        <v>179</v>
      </c>
      <c r="I758" t="s">
        <v>10</v>
      </c>
      <c r="J758" t="str">
        <f>_xlfn.XLOOKUP(branches[[#This Row],[Филиал]], tbl_Filialy[Филиал], tbl_Filialy[Менеджер])</f>
        <v>Алия Гайнутдинова</v>
      </c>
    </row>
    <row r="759" spans="1:10" x14ac:dyDescent="0.3">
      <c r="A759" t="str">
        <f>_xlfn.XLOOKUP(branches[[#This Row],[Филиал]], tbl_Filialy[Филиал], tbl_Filialy[Город])</f>
        <v>Казань</v>
      </c>
      <c r="B759" s="1" t="s">
        <v>30</v>
      </c>
      <c r="C759" s="2">
        <v>45914</v>
      </c>
      <c r="D759" s="2" t="str">
        <f>CHOOSE(MONTH(branches[[#This Row],[Дата]]),"Январь","Февраль","Март","Апрель","Май","Июнь","Июль","Август","Сентябрь","Октябрь","Ноябрь","Декабрь")&amp;" "&amp;YEAR(branches[[#This Row],[Дата]])</f>
        <v>Сентябрь 2025</v>
      </c>
      <c r="E759" t="s">
        <v>8</v>
      </c>
      <c r="F759" t="s">
        <v>9</v>
      </c>
      <c r="G759">
        <v>2</v>
      </c>
      <c r="H759">
        <v>462</v>
      </c>
      <c r="I759" t="s">
        <v>23</v>
      </c>
      <c r="J759" t="str">
        <f>_xlfn.XLOOKUP(branches[[#This Row],[Филиал]], tbl_Filialy[Филиал], tbl_Filialy[Менеджер])</f>
        <v>Алия Гайнутдинова</v>
      </c>
    </row>
    <row r="760" spans="1:10" x14ac:dyDescent="0.3">
      <c r="A760" t="str">
        <f>_xlfn.XLOOKUP(branches[[#This Row],[Филиал]], tbl_Filialy[Филиал], tbl_Filialy[Город])</f>
        <v>Казань</v>
      </c>
      <c r="B760" s="1" t="s">
        <v>30</v>
      </c>
      <c r="C760" s="2">
        <v>45778</v>
      </c>
      <c r="D760" s="2" t="str">
        <f>CHOOSE(MONTH(branches[[#This Row],[Дата]]),"Январь","Февраль","Март","Апрель","Май","Июнь","Июль","Август","Сентябрь","Октябрь","Ноябрь","Декабрь")&amp;" "&amp;YEAR(branches[[#This Row],[Дата]])</f>
        <v>Май 2025</v>
      </c>
      <c r="E760" t="s">
        <v>26</v>
      </c>
      <c r="F760" t="s">
        <v>9</v>
      </c>
      <c r="G760">
        <v>2</v>
      </c>
      <c r="H760">
        <v>380</v>
      </c>
      <c r="I760" t="s">
        <v>15</v>
      </c>
      <c r="J760" t="str">
        <f>_xlfn.XLOOKUP(branches[[#This Row],[Филиал]], tbl_Filialy[Филиал], tbl_Filialy[Менеджер])</f>
        <v>Алия Гайнутдинова</v>
      </c>
    </row>
    <row r="761" spans="1:10" x14ac:dyDescent="0.3">
      <c r="A761" t="str">
        <f>_xlfn.XLOOKUP(branches[[#This Row],[Филиал]], tbl_Filialy[Филиал], tbl_Filialy[Город])</f>
        <v>Казань</v>
      </c>
      <c r="B761" s="1" t="s">
        <v>30</v>
      </c>
      <c r="C761" s="2">
        <v>45825</v>
      </c>
      <c r="D761" s="2" t="str">
        <f>CHOOSE(MONTH(branches[[#This Row],[Дата]]),"Январь","Февраль","Март","Апрель","Май","Июнь","Июль","Август","Сентябрь","Октябрь","Ноябрь","Декабрь")&amp;" "&amp;YEAR(branches[[#This Row],[Дата]])</f>
        <v>Июнь 2025</v>
      </c>
      <c r="E761" t="s">
        <v>22</v>
      </c>
      <c r="F761" t="s">
        <v>9</v>
      </c>
      <c r="G761">
        <v>2</v>
      </c>
      <c r="H761">
        <v>340</v>
      </c>
      <c r="I761" t="s">
        <v>23</v>
      </c>
      <c r="J761" t="str">
        <f>_xlfn.XLOOKUP(branches[[#This Row],[Филиал]], tbl_Filialy[Филиал], tbl_Filialy[Менеджер])</f>
        <v>Алия Гайнутдинова</v>
      </c>
    </row>
    <row r="762" spans="1:10" x14ac:dyDescent="0.3">
      <c r="A762" t="str">
        <f>_xlfn.XLOOKUP(branches[[#This Row],[Филиал]], tbl_Filialy[Филиал], tbl_Filialy[Город])</f>
        <v>Казань</v>
      </c>
      <c r="B762" s="1" t="s">
        <v>30</v>
      </c>
      <c r="C762" s="2">
        <v>45732</v>
      </c>
      <c r="D762" s="2" t="str">
        <f>CHOOSE(MONTH(branches[[#This Row],[Дата]]),"Январь","Февраль","Март","Апрель","Май","Июнь","Июль","Август","Сентябрь","Октябрь","Ноябрь","Декабрь")&amp;" "&amp;YEAR(branches[[#This Row],[Дата]])</f>
        <v>Март 2025</v>
      </c>
      <c r="E762" t="s">
        <v>8</v>
      </c>
      <c r="F762" t="s">
        <v>9</v>
      </c>
      <c r="G762">
        <v>3</v>
      </c>
      <c r="H762">
        <v>717</v>
      </c>
      <c r="I762" t="s">
        <v>19</v>
      </c>
      <c r="J762" t="str">
        <f>_xlfn.XLOOKUP(branches[[#This Row],[Филиал]], tbl_Filialy[Филиал], tbl_Filialy[Менеджер])</f>
        <v>Алия Гайнутдинова</v>
      </c>
    </row>
    <row r="763" spans="1:10" x14ac:dyDescent="0.3">
      <c r="A763" t="str">
        <f>_xlfn.XLOOKUP(branches[[#This Row],[Филиал]], tbl_Filialy[Филиал], tbl_Filialy[Город])</f>
        <v>Казань</v>
      </c>
      <c r="B763" s="1" t="s">
        <v>30</v>
      </c>
      <c r="C763" s="2">
        <v>46018</v>
      </c>
      <c r="D763" s="2" t="str">
        <f>CHOOSE(MONTH(branches[[#This Row],[Дата]]),"Январь","Февраль","Март","Апрель","Май","Июнь","Июль","Август","Сентябрь","Октябрь","Ноябрь","Декабрь")&amp;" "&amp;YEAR(branches[[#This Row],[Дата]])</f>
        <v>Декабрь 2025</v>
      </c>
      <c r="E763" t="s">
        <v>27</v>
      </c>
      <c r="F763" t="s">
        <v>12</v>
      </c>
      <c r="G763">
        <v>1</v>
      </c>
      <c r="H763">
        <v>212</v>
      </c>
      <c r="I763" t="s">
        <v>19</v>
      </c>
      <c r="J763" t="str">
        <f>_xlfn.XLOOKUP(branches[[#This Row],[Филиал]], tbl_Filialy[Филиал], tbl_Filialy[Менеджер])</f>
        <v>Алия Гайнутдинова</v>
      </c>
    </row>
    <row r="764" spans="1:10" x14ac:dyDescent="0.3">
      <c r="A764" t="str">
        <f>_xlfn.XLOOKUP(branches[[#This Row],[Филиал]], tbl_Filialy[Филиал], tbl_Filialy[Город])</f>
        <v>Казань</v>
      </c>
      <c r="B764" s="1" t="s">
        <v>30</v>
      </c>
      <c r="C764" s="2">
        <v>45663</v>
      </c>
      <c r="D764" s="2" t="str">
        <f>CHOOSE(MONTH(branches[[#This Row],[Дата]]),"Январь","Февраль","Март","Апрель","Май","Июнь","Июль","Август","Сентябрь","Октябрь","Ноябрь","Декабрь")&amp;" "&amp;YEAR(branches[[#This Row],[Дата]])</f>
        <v>Январь 2025</v>
      </c>
      <c r="E764" t="s">
        <v>26</v>
      </c>
      <c r="F764" t="s">
        <v>9</v>
      </c>
      <c r="G764">
        <v>2</v>
      </c>
      <c r="H764">
        <v>418</v>
      </c>
      <c r="I764" t="s">
        <v>19</v>
      </c>
      <c r="J764" t="str">
        <f>_xlfn.XLOOKUP(branches[[#This Row],[Филиал]], tbl_Filialy[Филиал], tbl_Filialy[Менеджер])</f>
        <v>Алия Гайнутдинова</v>
      </c>
    </row>
    <row r="765" spans="1:10" x14ac:dyDescent="0.3">
      <c r="A765" t="str">
        <f>_xlfn.XLOOKUP(branches[[#This Row],[Филиал]], tbl_Filialy[Филиал], tbl_Filialy[Город])</f>
        <v>Казань</v>
      </c>
      <c r="B765" s="1" t="s">
        <v>30</v>
      </c>
      <c r="C765" s="2">
        <v>45789</v>
      </c>
      <c r="D765" s="2" t="str">
        <f>CHOOSE(MONTH(branches[[#This Row],[Дата]]),"Январь","Февраль","Март","Апрель","Май","Июнь","Июль","Август","Сентябрь","Октябрь","Ноябрь","Декабрь")&amp;" "&amp;YEAR(branches[[#This Row],[Дата]])</f>
        <v>Май 2025</v>
      </c>
      <c r="E765" t="s">
        <v>11</v>
      </c>
      <c r="F765" t="s">
        <v>12</v>
      </c>
      <c r="G765">
        <v>2</v>
      </c>
      <c r="H765">
        <v>326</v>
      </c>
      <c r="I765" t="s">
        <v>15</v>
      </c>
      <c r="J765" t="str">
        <f>_xlfn.XLOOKUP(branches[[#This Row],[Филиал]], tbl_Filialy[Филиал], tbl_Filialy[Менеджер])</f>
        <v>Алия Гайнутдинова</v>
      </c>
    </row>
    <row r="766" spans="1:10" x14ac:dyDescent="0.3">
      <c r="A766" t="str">
        <f>_xlfn.XLOOKUP(branches[[#This Row],[Филиал]], tbl_Filialy[Филиал], tbl_Filialy[Город])</f>
        <v>Казань</v>
      </c>
      <c r="B766" s="1" t="s">
        <v>30</v>
      </c>
      <c r="C766" s="2">
        <v>45911</v>
      </c>
      <c r="D766" s="2" t="str">
        <f>CHOOSE(MONTH(branches[[#This Row],[Дата]]),"Январь","Февраль","Март","Апрель","Май","Июнь","Июль","Август","Сентябрь","Октябрь","Ноябрь","Декабрь")&amp;" "&amp;YEAR(branches[[#This Row],[Дата]])</f>
        <v>Сентябрь 2025</v>
      </c>
      <c r="E766" t="s">
        <v>11</v>
      </c>
      <c r="F766" t="s">
        <v>12</v>
      </c>
      <c r="G766">
        <v>1</v>
      </c>
      <c r="H766">
        <v>152</v>
      </c>
      <c r="I766" t="s">
        <v>23</v>
      </c>
      <c r="J766" t="str">
        <f>_xlfn.XLOOKUP(branches[[#This Row],[Филиал]], tbl_Filialy[Филиал], tbl_Filialy[Менеджер])</f>
        <v>Алия Гайнутдинова</v>
      </c>
    </row>
    <row r="767" spans="1:10" x14ac:dyDescent="0.3">
      <c r="A767" t="str">
        <f>_xlfn.XLOOKUP(branches[[#This Row],[Филиал]], tbl_Filialy[Филиал], tbl_Filialy[Город])</f>
        <v>Казань</v>
      </c>
      <c r="B767" s="1" t="s">
        <v>30</v>
      </c>
      <c r="C767" s="2">
        <v>45964</v>
      </c>
      <c r="D767" s="2" t="str">
        <f>CHOOSE(MONTH(branches[[#This Row],[Дата]]),"Январь","Февраль","Март","Апрель","Май","Июнь","Июль","Август","Сентябрь","Октябрь","Ноябрь","Декабрь")&amp;" "&amp;YEAR(branches[[#This Row],[Дата]])</f>
        <v>Ноябрь 2025</v>
      </c>
      <c r="E767" t="s">
        <v>24</v>
      </c>
      <c r="F767" t="s">
        <v>17</v>
      </c>
      <c r="G767">
        <v>1</v>
      </c>
      <c r="H767">
        <v>417</v>
      </c>
      <c r="I767" t="s">
        <v>21</v>
      </c>
      <c r="J767" t="str">
        <f>_xlfn.XLOOKUP(branches[[#This Row],[Филиал]], tbl_Filialy[Филиал], tbl_Filialy[Менеджер])</f>
        <v>Алия Гайнутдинова</v>
      </c>
    </row>
    <row r="768" spans="1:10" x14ac:dyDescent="0.3">
      <c r="A768" t="str">
        <f>_xlfn.XLOOKUP(branches[[#This Row],[Филиал]], tbl_Filialy[Филиал], tbl_Filialy[Город])</f>
        <v>Казань</v>
      </c>
      <c r="B768" s="1" t="s">
        <v>30</v>
      </c>
      <c r="C768" s="2">
        <v>46017</v>
      </c>
      <c r="D768" s="2" t="str">
        <f>CHOOSE(MONTH(branches[[#This Row],[Дата]]),"Январь","Февраль","Март","Апрель","Май","Июнь","Июль","Август","Сентябрь","Октябрь","Ноябрь","Декабрь")&amp;" "&amp;YEAR(branches[[#This Row],[Дата]])</f>
        <v>Декабрь 2025</v>
      </c>
      <c r="E768" t="s">
        <v>25</v>
      </c>
      <c r="F768" t="s">
        <v>12</v>
      </c>
      <c r="G768">
        <v>1</v>
      </c>
      <c r="H768">
        <v>244</v>
      </c>
      <c r="I768" t="s">
        <v>13</v>
      </c>
      <c r="J768" t="str">
        <f>_xlfn.XLOOKUP(branches[[#This Row],[Филиал]], tbl_Filialy[Филиал], tbl_Filialy[Менеджер])</f>
        <v>Алия Гайнутдинова</v>
      </c>
    </row>
    <row r="769" spans="1:10" x14ac:dyDescent="0.3">
      <c r="A769" t="str">
        <f>_xlfn.XLOOKUP(branches[[#This Row],[Филиал]], tbl_Filialy[Филиал], tbl_Filialy[Город])</f>
        <v>Казань</v>
      </c>
      <c r="B769" s="1" t="s">
        <v>30</v>
      </c>
      <c r="C769" s="2">
        <v>45921</v>
      </c>
      <c r="D769" s="2" t="str">
        <f>CHOOSE(MONTH(branches[[#This Row],[Дата]]),"Январь","Февраль","Март","Апрель","Май","Июнь","Июль","Август","Сентябрь","Октябрь","Ноябрь","Декабрь")&amp;" "&amp;YEAR(branches[[#This Row],[Дата]])</f>
        <v>Сентябрь 2025</v>
      </c>
      <c r="E769" t="s">
        <v>22</v>
      </c>
      <c r="F769" t="s">
        <v>9</v>
      </c>
      <c r="G769">
        <v>3</v>
      </c>
      <c r="H769">
        <v>522</v>
      </c>
      <c r="I769" t="s">
        <v>13</v>
      </c>
      <c r="J769" t="str">
        <f>_xlfn.XLOOKUP(branches[[#This Row],[Филиал]], tbl_Filialy[Филиал], tbl_Filialy[Менеджер])</f>
        <v>Алия Гайнутдинова</v>
      </c>
    </row>
    <row r="770" spans="1:10" x14ac:dyDescent="0.3">
      <c r="A770" t="str">
        <f>_xlfn.XLOOKUP(branches[[#This Row],[Филиал]], tbl_Filialy[Филиал], tbl_Filialy[Город])</f>
        <v>Казань</v>
      </c>
      <c r="B770" s="1" t="s">
        <v>30</v>
      </c>
      <c r="C770" s="2">
        <v>45902</v>
      </c>
      <c r="D770" s="2" t="str">
        <f>CHOOSE(MONTH(branches[[#This Row],[Дата]]),"Январь","Февраль","Март","Апрель","Май","Июнь","Июль","Август","Сентябрь","Октябрь","Ноябрь","Декабрь")&amp;" "&amp;YEAR(branches[[#This Row],[Дата]])</f>
        <v>Сентябрь 2025</v>
      </c>
      <c r="E770" t="s">
        <v>25</v>
      </c>
      <c r="F770" t="s">
        <v>12</v>
      </c>
      <c r="G770">
        <v>1</v>
      </c>
      <c r="H770">
        <v>226</v>
      </c>
      <c r="I770" t="s">
        <v>15</v>
      </c>
      <c r="J770" t="str">
        <f>_xlfn.XLOOKUP(branches[[#This Row],[Филиал]], tbl_Filialy[Филиал], tbl_Filialy[Менеджер])</f>
        <v>Алия Гайнутдинова</v>
      </c>
    </row>
    <row r="771" spans="1:10" x14ac:dyDescent="0.3">
      <c r="A771" t="str">
        <f>_xlfn.XLOOKUP(branches[[#This Row],[Филиал]], tbl_Filialy[Филиал], tbl_Filialy[Город])</f>
        <v>Казань</v>
      </c>
      <c r="B771" s="1" t="s">
        <v>30</v>
      </c>
      <c r="C771" s="2">
        <v>45678</v>
      </c>
      <c r="D771" s="2" t="str">
        <f>CHOOSE(MONTH(branches[[#This Row],[Дата]]),"Январь","Февраль","Март","Апрель","Май","Июнь","Июль","Август","Сентябрь","Октябрь","Ноябрь","Декабрь")&amp;" "&amp;YEAR(branches[[#This Row],[Дата]])</f>
        <v>Январь 2025</v>
      </c>
      <c r="E771" t="s">
        <v>11</v>
      </c>
      <c r="F771" t="s">
        <v>12</v>
      </c>
      <c r="G771">
        <v>1</v>
      </c>
      <c r="H771">
        <v>149</v>
      </c>
      <c r="I771" t="s">
        <v>23</v>
      </c>
      <c r="J771" t="str">
        <f>_xlfn.XLOOKUP(branches[[#This Row],[Филиал]], tbl_Filialy[Филиал], tbl_Filialy[Менеджер])</f>
        <v>Алия Гайнутдинова</v>
      </c>
    </row>
    <row r="772" spans="1:10" x14ac:dyDescent="0.3">
      <c r="A772" t="str">
        <f>_xlfn.XLOOKUP(branches[[#This Row],[Филиал]], tbl_Filialy[Филиал], tbl_Filialy[Город])</f>
        <v>Казань</v>
      </c>
      <c r="B772" s="1" t="s">
        <v>30</v>
      </c>
      <c r="C772" s="2">
        <v>45998</v>
      </c>
      <c r="D772" s="2" t="str">
        <f>CHOOSE(MONTH(branches[[#This Row],[Дата]]),"Январь","Февраль","Март","Апрель","Май","Июнь","Июль","Август","Сентябрь","Октябрь","Ноябрь","Декабрь")&amp;" "&amp;YEAR(branches[[#This Row],[Дата]])</f>
        <v>Декабрь 2025</v>
      </c>
      <c r="E772" t="s">
        <v>28</v>
      </c>
      <c r="F772" t="s">
        <v>12</v>
      </c>
      <c r="G772">
        <v>2</v>
      </c>
      <c r="H772">
        <v>446</v>
      </c>
      <c r="I772" t="s">
        <v>15</v>
      </c>
      <c r="J772" t="str">
        <f>_xlfn.XLOOKUP(branches[[#This Row],[Филиал]], tbl_Filialy[Филиал], tbl_Filialy[Менеджер])</f>
        <v>Алия Гайнутдинова</v>
      </c>
    </row>
    <row r="773" spans="1:10" x14ac:dyDescent="0.3">
      <c r="A773" t="str">
        <f>_xlfn.XLOOKUP(branches[[#This Row],[Филиал]], tbl_Filialy[Филиал], tbl_Filialy[Город])</f>
        <v>Казань</v>
      </c>
      <c r="B773" s="1" t="s">
        <v>30</v>
      </c>
      <c r="C773" s="2">
        <v>45977</v>
      </c>
      <c r="D773" s="2" t="str">
        <f>CHOOSE(MONTH(branches[[#This Row],[Дата]]),"Январь","Февраль","Март","Апрель","Май","Июнь","Июль","Август","Сентябрь","Октябрь","Ноябрь","Декабрь")&amp;" "&amp;YEAR(branches[[#This Row],[Дата]])</f>
        <v>Ноябрь 2025</v>
      </c>
      <c r="E773" t="s">
        <v>24</v>
      </c>
      <c r="F773" t="s">
        <v>17</v>
      </c>
      <c r="G773">
        <v>1</v>
      </c>
      <c r="H773">
        <v>393</v>
      </c>
      <c r="I773" t="s">
        <v>23</v>
      </c>
      <c r="J773" t="str">
        <f>_xlfn.XLOOKUP(branches[[#This Row],[Филиал]], tbl_Filialy[Филиал], tbl_Filialy[Менеджер])</f>
        <v>Алия Гайнутдинова</v>
      </c>
    </row>
    <row r="774" spans="1:10" x14ac:dyDescent="0.3">
      <c r="A774" t="str">
        <f>_xlfn.XLOOKUP(branches[[#This Row],[Филиал]], tbl_Filialy[Филиал], tbl_Filialy[Город])</f>
        <v>Казань</v>
      </c>
      <c r="B774" s="1" t="s">
        <v>30</v>
      </c>
      <c r="C774" s="2">
        <v>45718</v>
      </c>
      <c r="D774" s="2" t="str">
        <f>CHOOSE(MONTH(branches[[#This Row],[Дата]]),"Январь","Февраль","Март","Апрель","Май","Июнь","Июль","Август","Сентябрь","Октябрь","Ноябрь","Декабрь")&amp;" "&amp;YEAR(branches[[#This Row],[Дата]])</f>
        <v>Март 2025</v>
      </c>
      <c r="E774" t="s">
        <v>22</v>
      </c>
      <c r="F774" t="s">
        <v>9</v>
      </c>
      <c r="G774">
        <v>2</v>
      </c>
      <c r="H774">
        <v>382</v>
      </c>
      <c r="I774" t="s">
        <v>15</v>
      </c>
      <c r="J774" t="str">
        <f>_xlfn.XLOOKUP(branches[[#This Row],[Филиал]], tbl_Filialy[Филиал], tbl_Filialy[Менеджер])</f>
        <v>Алия Гайнутдинова</v>
      </c>
    </row>
    <row r="775" spans="1:10" x14ac:dyDescent="0.3">
      <c r="A775" t="str">
        <f>_xlfn.XLOOKUP(branches[[#This Row],[Филиал]], tbl_Filialy[Филиал], tbl_Filialy[Город])</f>
        <v>Казань</v>
      </c>
      <c r="B775" s="1" t="s">
        <v>30</v>
      </c>
      <c r="C775" s="2">
        <v>45906</v>
      </c>
      <c r="D775" s="2" t="str">
        <f>CHOOSE(MONTH(branches[[#This Row],[Дата]]),"Январь","Февраль","Март","Апрель","Май","Июнь","Июль","Август","Сентябрь","Октябрь","Ноябрь","Декабрь")&amp;" "&amp;YEAR(branches[[#This Row],[Дата]])</f>
        <v>Сентябрь 2025</v>
      </c>
      <c r="E775" t="s">
        <v>27</v>
      </c>
      <c r="F775" t="s">
        <v>12</v>
      </c>
      <c r="G775">
        <v>2</v>
      </c>
      <c r="H775">
        <v>392</v>
      </c>
      <c r="I775" t="s">
        <v>13</v>
      </c>
      <c r="J775" t="str">
        <f>_xlfn.XLOOKUP(branches[[#This Row],[Филиал]], tbl_Filialy[Филиал], tbl_Filialy[Менеджер])</f>
        <v>Алия Гайнутдинова</v>
      </c>
    </row>
    <row r="776" spans="1:10" x14ac:dyDescent="0.3">
      <c r="A776" t="str">
        <f>_xlfn.XLOOKUP(branches[[#This Row],[Филиал]], tbl_Filialy[Филиал], tbl_Filialy[Город])</f>
        <v>Казань</v>
      </c>
      <c r="B776" s="1" t="s">
        <v>30</v>
      </c>
      <c r="C776" s="2">
        <v>45913</v>
      </c>
      <c r="D776" s="2" t="str">
        <f>CHOOSE(MONTH(branches[[#This Row],[Дата]]),"Январь","Февраль","Март","Апрель","Май","Июнь","Июль","Август","Сентябрь","Октябрь","Ноябрь","Декабрь")&amp;" "&amp;YEAR(branches[[#This Row],[Дата]])</f>
        <v>Сентябрь 2025</v>
      </c>
      <c r="E776" t="s">
        <v>27</v>
      </c>
      <c r="F776" t="s">
        <v>12</v>
      </c>
      <c r="G776">
        <v>1</v>
      </c>
      <c r="H776">
        <v>190</v>
      </c>
      <c r="I776" t="s">
        <v>15</v>
      </c>
      <c r="J776" t="str">
        <f>_xlfn.XLOOKUP(branches[[#This Row],[Филиал]], tbl_Filialy[Филиал], tbl_Filialy[Менеджер])</f>
        <v>Алия Гайнутдинова</v>
      </c>
    </row>
    <row r="777" spans="1:10" x14ac:dyDescent="0.3">
      <c r="A777" t="str">
        <f>_xlfn.XLOOKUP(branches[[#This Row],[Филиал]], tbl_Filialy[Филиал], tbl_Filialy[Город])</f>
        <v>Казань</v>
      </c>
      <c r="B777" s="1" t="s">
        <v>30</v>
      </c>
      <c r="C777" s="2">
        <v>45743</v>
      </c>
      <c r="D777" s="2" t="str">
        <f>CHOOSE(MONTH(branches[[#This Row],[Дата]]),"Январь","Февраль","Март","Апрель","Май","Июнь","Июль","Август","Сентябрь","Октябрь","Ноябрь","Декабрь")&amp;" "&amp;YEAR(branches[[#This Row],[Дата]])</f>
        <v>Март 2025</v>
      </c>
      <c r="E777" t="s">
        <v>22</v>
      </c>
      <c r="F777" t="s">
        <v>9</v>
      </c>
      <c r="G777">
        <v>2</v>
      </c>
      <c r="H777">
        <v>340</v>
      </c>
      <c r="I777" t="s">
        <v>19</v>
      </c>
      <c r="J777" t="str">
        <f>_xlfn.XLOOKUP(branches[[#This Row],[Филиал]], tbl_Filialy[Филиал], tbl_Filialy[Менеджер])</f>
        <v>Алия Гайнутдинова</v>
      </c>
    </row>
    <row r="778" spans="1:10" x14ac:dyDescent="0.3">
      <c r="A778" t="str">
        <f>_xlfn.XLOOKUP(branches[[#This Row],[Филиал]], tbl_Filialy[Филиал], tbl_Filialy[Город])</f>
        <v>Казань</v>
      </c>
      <c r="B778" s="1" t="s">
        <v>30</v>
      </c>
      <c r="C778" s="2">
        <v>45953</v>
      </c>
      <c r="D778" s="2" t="str">
        <f>CHOOSE(MONTH(branches[[#This Row],[Дата]]),"Январь","Февраль","Март","Апрель","Май","Июнь","Июль","Август","Сентябрь","Октябрь","Ноябрь","Декабрь")&amp;" "&amp;YEAR(branches[[#This Row],[Дата]])</f>
        <v>Октябрь 2025</v>
      </c>
      <c r="E778" t="s">
        <v>26</v>
      </c>
      <c r="F778" t="s">
        <v>9</v>
      </c>
      <c r="G778">
        <v>1</v>
      </c>
      <c r="H778">
        <v>225</v>
      </c>
      <c r="I778" t="s">
        <v>13</v>
      </c>
      <c r="J778" t="str">
        <f>_xlfn.XLOOKUP(branches[[#This Row],[Филиал]], tbl_Filialy[Филиал], tbl_Filialy[Менеджер])</f>
        <v>Алия Гайнутдинова</v>
      </c>
    </row>
    <row r="779" spans="1:10" x14ac:dyDescent="0.3">
      <c r="A779" t="str">
        <f>_xlfn.XLOOKUP(branches[[#This Row],[Филиал]], tbl_Filialy[Филиал], tbl_Filialy[Город])</f>
        <v>Казань</v>
      </c>
      <c r="B779" s="1" t="s">
        <v>30</v>
      </c>
      <c r="C779" s="2">
        <v>45857</v>
      </c>
      <c r="D779" s="2" t="str">
        <f>CHOOSE(MONTH(branches[[#This Row],[Дата]]),"Январь","Февраль","Март","Апрель","Май","Июнь","Июль","Август","Сентябрь","Октябрь","Ноябрь","Декабрь")&amp;" "&amp;YEAR(branches[[#This Row],[Дата]])</f>
        <v>Июль 2025</v>
      </c>
      <c r="E779" t="s">
        <v>8</v>
      </c>
      <c r="F779" t="s">
        <v>9</v>
      </c>
      <c r="G779">
        <v>3</v>
      </c>
      <c r="H779">
        <v>819</v>
      </c>
      <c r="I779" t="s">
        <v>19</v>
      </c>
      <c r="J779" t="str">
        <f>_xlfn.XLOOKUP(branches[[#This Row],[Филиал]], tbl_Filialy[Филиал], tbl_Filialy[Менеджер])</f>
        <v>Алия Гайнутдинова</v>
      </c>
    </row>
    <row r="780" spans="1:10" x14ac:dyDescent="0.3">
      <c r="A780" t="str">
        <f>_xlfn.XLOOKUP(branches[[#This Row],[Филиал]], tbl_Filialy[Филиал], tbl_Filialy[Город])</f>
        <v>Казань</v>
      </c>
      <c r="B780" s="1" t="s">
        <v>30</v>
      </c>
      <c r="C780" s="2">
        <v>45901</v>
      </c>
      <c r="D780" s="2" t="str">
        <f>CHOOSE(MONTH(branches[[#This Row],[Дата]]),"Январь","Февраль","Март","Апрель","Май","Июнь","Июль","Август","Сентябрь","Октябрь","Ноябрь","Декабрь")&amp;" "&amp;YEAR(branches[[#This Row],[Дата]])</f>
        <v>Сентябрь 2025</v>
      </c>
      <c r="E780" t="s">
        <v>25</v>
      </c>
      <c r="F780" t="s">
        <v>12</v>
      </c>
      <c r="G780">
        <v>2</v>
      </c>
      <c r="H780">
        <v>392</v>
      </c>
      <c r="I780" t="s">
        <v>15</v>
      </c>
      <c r="J780" t="str">
        <f>_xlfn.XLOOKUP(branches[[#This Row],[Филиал]], tbl_Filialy[Филиал], tbl_Filialy[Менеджер])</f>
        <v>Алия Гайнутдинова</v>
      </c>
    </row>
    <row r="781" spans="1:10" x14ac:dyDescent="0.3">
      <c r="A781" t="str">
        <f>_xlfn.XLOOKUP(branches[[#This Row],[Филиал]], tbl_Filialy[Филиал], tbl_Filialy[Город])</f>
        <v>Казань</v>
      </c>
      <c r="B781" s="1" t="s">
        <v>30</v>
      </c>
      <c r="C781" s="2">
        <v>45739</v>
      </c>
      <c r="D781" s="2" t="str">
        <f>CHOOSE(MONTH(branches[[#This Row],[Дата]]),"Январь","Февраль","Март","Апрель","Май","Июнь","Июль","Август","Сентябрь","Октябрь","Ноябрь","Декабрь")&amp;" "&amp;YEAR(branches[[#This Row],[Дата]])</f>
        <v>Март 2025</v>
      </c>
      <c r="E781" t="s">
        <v>16</v>
      </c>
      <c r="F781" t="s">
        <v>17</v>
      </c>
      <c r="G781">
        <v>1</v>
      </c>
      <c r="H781">
        <v>318</v>
      </c>
      <c r="I781" t="s">
        <v>15</v>
      </c>
      <c r="J781" t="str">
        <f>_xlfn.XLOOKUP(branches[[#This Row],[Филиал]], tbl_Filialy[Филиал], tbl_Filialy[Менеджер])</f>
        <v>Алия Гайнутдинова</v>
      </c>
    </row>
    <row r="782" spans="1:10" x14ac:dyDescent="0.3">
      <c r="A782" t="str">
        <f>_xlfn.XLOOKUP(branches[[#This Row],[Филиал]], tbl_Filialy[Филиал], tbl_Filialy[Город])</f>
        <v>Казань</v>
      </c>
      <c r="B782" s="1" t="s">
        <v>30</v>
      </c>
      <c r="C782" s="2">
        <v>45701</v>
      </c>
      <c r="D782" s="2" t="str">
        <f>CHOOSE(MONTH(branches[[#This Row],[Дата]]),"Январь","Февраль","Март","Апрель","Май","Июнь","Июль","Август","Сентябрь","Октябрь","Ноябрь","Декабрь")&amp;" "&amp;YEAR(branches[[#This Row],[Дата]])</f>
        <v>Февраль 2025</v>
      </c>
      <c r="E782" t="s">
        <v>25</v>
      </c>
      <c r="F782" t="s">
        <v>12</v>
      </c>
      <c r="G782">
        <v>3</v>
      </c>
      <c r="H782">
        <v>720</v>
      </c>
      <c r="I782" t="s">
        <v>15</v>
      </c>
      <c r="J782" t="str">
        <f>_xlfn.XLOOKUP(branches[[#This Row],[Филиал]], tbl_Filialy[Филиал], tbl_Filialy[Менеджер])</f>
        <v>Алия Гайнутдинова</v>
      </c>
    </row>
    <row r="783" spans="1:10" x14ac:dyDescent="0.3">
      <c r="A783" t="str">
        <f>_xlfn.XLOOKUP(branches[[#This Row],[Филиал]], tbl_Filialy[Филиал], tbl_Filialy[Город])</f>
        <v>Казань</v>
      </c>
      <c r="B783" s="1" t="s">
        <v>30</v>
      </c>
      <c r="C783" s="2">
        <v>45953</v>
      </c>
      <c r="D783" s="2" t="str">
        <f>CHOOSE(MONTH(branches[[#This Row],[Дата]]),"Январь","Февраль","Март","Апрель","Май","Июнь","Июль","Август","Сентябрь","Октябрь","Ноябрь","Декабрь")&amp;" "&amp;YEAR(branches[[#This Row],[Дата]])</f>
        <v>Октябрь 2025</v>
      </c>
      <c r="E783" t="s">
        <v>25</v>
      </c>
      <c r="F783" t="s">
        <v>12</v>
      </c>
      <c r="G783">
        <v>2</v>
      </c>
      <c r="H783">
        <v>476</v>
      </c>
      <c r="I783" t="s">
        <v>19</v>
      </c>
      <c r="J783" t="str">
        <f>_xlfn.XLOOKUP(branches[[#This Row],[Филиал]], tbl_Filialy[Филиал], tbl_Filialy[Менеджер])</f>
        <v>Алия Гайнутдинова</v>
      </c>
    </row>
    <row r="784" spans="1:10" x14ac:dyDescent="0.3">
      <c r="A784" t="str">
        <f>_xlfn.XLOOKUP(branches[[#This Row],[Филиал]], tbl_Filialy[Филиал], tbl_Filialy[Город])</f>
        <v>Казань</v>
      </c>
      <c r="B784" s="1" t="s">
        <v>30</v>
      </c>
      <c r="C784" s="2">
        <v>45779</v>
      </c>
      <c r="D784" s="2" t="str">
        <f>CHOOSE(MONTH(branches[[#This Row],[Дата]]),"Январь","Февраль","Март","Апрель","Май","Июнь","Июль","Август","Сентябрь","Октябрь","Ноябрь","Декабрь")&amp;" "&amp;YEAR(branches[[#This Row],[Дата]])</f>
        <v>Май 2025</v>
      </c>
      <c r="E784" t="s">
        <v>14</v>
      </c>
      <c r="F784" t="s">
        <v>12</v>
      </c>
      <c r="G784">
        <v>1</v>
      </c>
      <c r="H784">
        <v>267</v>
      </c>
      <c r="I784" t="s">
        <v>21</v>
      </c>
      <c r="J784" t="str">
        <f>_xlfn.XLOOKUP(branches[[#This Row],[Филиал]], tbl_Filialy[Филиал], tbl_Filialy[Менеджер])</f>
        <v>Алия Гайнутдинова</v>
      </c>
    </row>
    <row r="785" spans="1:10" x14ac:dyDescent="0.3">
      <c r="A785" t="str">
        <f>_xlfn.XLOOKUP(branches[[#This Row],[Филиал]], tbl_Filialy[Филиал], tbl_Filialy[Город])</f>
        <v>Казань</v>
      </c>
      <c r="B785" s="1" t="s">
        <v>30</v>
      </c>
      <c r="C785" s="2">
        <v>45928</v>
      </c>
      <c r="D785" s="2" t="str">
        <f>CHOOSE(MONTH(branches[[#This Row],[Дата]]),"Январь","Февраль","Март","Апрель","Май","Июнь","Июль","Август","Сентябрь","Октябрь","Ноябрь","Декабрь")&amp;" "&amp;YEAR(branches[[#This Row],[Дата]])</f>
        <v>Сентябрь 2025</v>
      </c>
      <c r="E785" t="s">
        <v>26</v>
      </c>
      <c r="F785" t="s">
        <v>9</v>
      </c>
      <c r="G785">
        <v>1</v>
      </c>
      <c r="H785">
        <v>206</v>
      </c>
      <c r="I785" t="s">
        <v>21</v>
      </c>
      <c r="J785" t="str">
        <f>_xlfn.XLOOKUP(branches[[#This Row],[Филиал]], tbl_Filialy[Филиал], tbl_Filialy[Менеджер])</f>
        <v>Алия Гайнутдинова</v>
      </c>
    </row>
    <row r="786" spans="1:10" x14ac:dyDescent="0.3">
      <c r="A786" t="str">
        <f>_xlfn.XLOOKUP(branches[[#This Row],[Филиал]], tbl_Filialy[Филиал], tbl_Filialy[Город])</f>
        <v>Казань</v>
      </c>
      <c r="B786" s="1" t="s">
        <v>30</v>
      </c>
      <c r="C786" s="2">
        <v>45671</v>
      </c>
      <c r="D786" s="2" t="str">
        <f>CHOOSE(MONTH(branches[[#This Row],[Дата]]),"Январь","Февраль","Март","Апрель","Май","Июнь","Июль","Август","Сентябрь","Октябрь","Ноябрь","Декабрь")&amp;" "&amp;YEAR(branches[[#This Row],[Дата]])</f>
        <v>Январь 2025</v>
      </c>
      <c r="E786" t="s">
        <v>24</v>
      </c>
      <c r="F786" t="s">
        <v>17</v>
      </c>
      <c r="G786">
        <v>2</v>
      </c>
      <c r="H786">
        <v>838</v>
      </c>
      <c r="I786" t="s">
        <v>21</v>
      </c>
      <c r="J786" t="str">
        <f>_xlfn.XLOOKUP(branches[[#This Row],[Филиал]], tbl_Filialy[Филиал], tbl_Filialy[Менеджер])</f>
        <v>Алия Гайнутдинова</v>
      </c>
    </row>
    <row r="787" spans="1:10" x14ac:dyDescent="0.3">
      <c r="A787" t="str">
        <f>_xlfn.XLOOKUP(branches[[#This Row],[Филиал]], tbl_Filialy[Филиал], tbl_Filialy[Город])</f>
        <v>Казань</v>
      </c>
      <c r="B787" s="1" t="s">
        <v>30</v>
      </c>
      <c r="C787" s="2">
        <v>45916</v>
      </c>
      <c r="D787" s="2" t="str">
        <f>CHOOSE(MONTH(branches[[#This Row],[Дата]]),"Январь","Февраль","Март","Апрель","Май","Июнь","Июль","Август","Сентябрь","Октябрь","Ноябрь","Декабрь")&amp;" "&amp;YEAR(branches[[#This Row],[Дата]])</f>
        <v>Сентябрь 2025</v>
      </c>
      <c r="E787" t="s">
        <v>27</v>
      </c>
      <c r="F787" t="s">
        <v>12</v>
      </c>
      <c r="G787">
        <v>1</v>
      </c>
      <c r="H787">
        <v>221</v>
      </c>
      <c r="I787" t="s">
        <v>15</v>
      </c>
      <c r="J787" t="str">
        <f>_xlfn.XLOOKUP(branches[[#This Row],[Филиал]], tbl_Filialy[Филиал], tbl_Filialy[Менеджер])</f>
        <v>Алия Гайнутдинова</v>
      </c>
    </row>
    <row r="788" spans="1:10" x14ac:dyDescent="0.3">
      <c r="A788" t="str">
        <f>_xlfn.XLOOKUP(branches[[#This Row],[Филиал]], tbl_Filialy[Филиал], tbl_Filialy[Город])</f>
        <v>Казань</v>
      </c>
      <c r="B788" s="1" t="s">
        <v>30</v>
      </c>
      <c r="C788" s="2">
        <v>45945</v>
      </c>
      <c r="D788" s="2" t="str">
        <f>CHOOSE(MONTH(branches[[#This Row],[Дата]]),"Январь","Февраль","Март","Апрель","Май","Июнь","Июль","Август","Сентябрь","Октябрь","Ноябрь","Декабрь")&amp;" "&amp;YEAR(branches[[#This Row],[Дата]])</f>
        <v>Октябрь 2025</v>
      </c>
      <c r="E788" t="s">
        <v>11</v>
      </c>
      <c r="F788" t="s">
        <v>12</v>
      </c>
      <c r="G788">
        <v>1</v>
      </c>
      <c r="H788">
        <v>157</v>
      </c>
      <c r="I788" t="s">
        <v>15</v>
      </c>
      <c r="J788" t="str">
        <f>_xlfn.XLOOKUP(branches[[#This Row],[Филиал]], tbl_Filialy[Филиал], tbl_Filialy[Менеджер])</f>
        <v>Алия Гайнутдинова</v>
      </c>
    </row>
    <row r="789" spans="1:10" x14ac:dyDescent="0.3">
      <c r="A789" t="str">
        <f>_xlfn.XLOOKUP(branches[[#This Row],[Филиал]], tbl_Filialy[Филиал], tbl_Filialy[Город])</f>
        <v>Казань</v>
      </c>
      <c r="B789" s="1" t="s">
        <v>30</v>
      </c>
      <c r="C789" s="2">
        <v>45703</v>
      </c>
      <c r="D789" s="2" t="str">
        <f>CHOOSE(MONTH(branches[[#This Row],[Дата]]),"Январь","Февраль","Март","Апрель","Май","Июнь","Июль","Август","Сентябрь","Октябрь","Ноябрь","Декабрь")&amp;" "&amp;YEAR(branches[[#This Row],[Дата]])</f>
        <v>Февраль 2025</v>
      </c>
      <c r="E789" t="s">
        <v>18</v>
      </c>
      <c r="F789" t="s">
        <v>12</v>
      </c>
      <c r="G789">
        <v>2</v>
      </c>
      <c r="H789">
        <v>252</v>
      </c>
      <c r="I789" t="s">
        <v>13</v>
      </c>
      <c r="J789" t="str">
        <f>_xlfn.XLOOKUP(branches[[#This Row],[Филиал]], tbl_Filialy[Филиал], tbl_Filialy[Менеджер])</f>
        <v>Алия Гайнутдинова</v>
      </c>
    </row>
    <row r="790" spans="1:10" x14ac:dyDescent="0.3">
      <c r="A790" t="str">
        <f>_xlfn.XLOOKUP(branches[[#This Row],[Филиал]], tbl_Filialy[Филиал], tbl_Filialy[Город])</f>
        <v>Казань</v>
      </c>
      <c r="B790" s="1" t="s">
        <v>30</v>
      </c>
      <c r="C790" s="2">
        <v>45676</v>
      </c>
      <c r="D790" s="2" t="str">
        <f>CHOOSE(MONTH(branches[[#This Row],[Дата]]),"Январь","Февраль","Март","Апрель","Май","Июнь","Июль","Август","Сентябрь","Октябрь","Ноябрь","Декабрь")&amp;" "&amp;YEAR(branches[[#This Row],[Дата]])</f>
        <v>Январь 2025</v>
      </c>
      <c r="E790" t="s">
        <v>11</v>
      </c>
      <c r="F790" t="s">
        <v>12</v>
      </c>
      <c r="G790">
        <v>3</v>
      </c>
      <c r="H790">
        <v>489</v>
      </c>
      <c r="I790" t="s">
        <v>21</v>
      </c>
      <c r="J790" t="str">
        <f>_xlfn.XLOOKUP(branches[[#This Row],[Филиал]], tbl_Filialy[Филиал], tbl_Filialy[Менеджер])</f>
        <v>Алия Гайнутдинова</v>
      </c>
    </row>
    <row r="791" spans="1:10" x14ac:dyDescent="0.3">
      <c r="A791" t="str">
        <f>_xlfn.XLOOKUP(branches[[#This Row],[Филиал]], tbl_Filialy[Филиал], tbl_Filialy[Город])</f>
        <v>Казань</v>
      </c>
      <c r="B791" s="1" t="s">
        <v>30</v>
      </c>
      <c r="C791" s="2">
        <v>45753</v>
      </c>
      <c r="D791" s="2" t="str">
        <f>CHOOSE(MONTH(branches[[#This Row],[Дата]]),"Январь","Февраль","Март","Апрель","Май","Июнь","Июль","Август","Сентябрь","Октябрь","Ноябрь","Декабрь")&amp;" "&amp;YEAR(branches[[#This Row],[Дата]])</f>
        <v>Апрель 2025</v>
      </c>
      <c r="E791" t="s">
        <v>24</v>
      </c>
      <c r="F791" t="s">
        <v>17</v>
      </c>
      <c r="G791">
        <v>2</v>
      </c>
      <c r="H791">
        <v>742</v>
      </c>
      <c r="I791" t="s">
        <v>21</v>
      </c>
      <c r="J791" t="str">
        <f>_xlfn.XLOOKUP(branches[[#This Row],[Филиал]], tbl_Filialy[Филиал], tbl_Filialy[Менеджер])</f>
        <v>Алия Гайнутдинова</v>
      </c>
    </row>
    <row r="792" spans="1:10" x14ac:dyDescent="0.3">
      <c r="A792" t="str">
        <f>_xlfn.XLOOKUP(branches[[#This Row],[Филиал]], tbl_Filialy[Филиал], tbl_Filialy[Город])</f>
        <v>Казань</v>
      </c>
      <c r="B792" s="1" t="s">
        <v>30</v>
      </c>
      <c r="C792" s="2">
        <v>45736</v>
      </c>
      <c r="D792" s="2" t="str">
        <f>CHOOSE(MONTH(branches[[#This Row],[Дата]]),"Январь","Февраль","Март","Апрель","Май","Июнь","Июль","Август","Сентябрь","Октябрь","Ноябрь","Декабрь")&amp;" "&amp;YEAR(branches[[#This Row],[Дата]])</f>
        <v>Март 2025</v>
      </c>
      <c r="E792" t="s">
        <v>28</v>
      </c>
      <c r="F792" t="s">
        <v>12</v>
      </c>
      <c r="G792">
        <v>1</v>
      </c>
      <c r="H792">
        <v>231</v>
      </c>
      <c r="I792" t="s">
        <v>19</v>
      </c>
      <c r="J792" t="str">
        <f>_xlfn.XLOOKUP(branches[[#This Row],[Филиал]], tbl_Filialy[Филиал], tbl_Filialy[Менеджер])</f>
        <v>Алия Гайнутдинова</v>
      </c>
    </row>
    <row r="793" spans="1:10" x14ac:dyDescent="0.3">
      <c r="A793" t="str">
        <f>_xlfn.XLOOKUP(branches[[#This Row],[Филиал]], tbl_Filialy[Филиал], tbl_Filialy[Город])</f>
        <v>Казань</v>
      </c>
      <c r="B793" s="1" t="s">
        <v>30</v>
      </c>
      <c r="C793" s="2">
        <v>45872</v>
      </c>
      <c r="D793" s="2" t="str">
        <f>CHOOSE(MONTH(branches[[#This Row],[Дата]]),"Январь","Февраль","Март","Апрель","Май","Июнь","Июль","Август","Сентябрь","Октябрь","Ноябрь","Декабрь")&amp;" "&amp;YEAR(branches[[#This Row],[Дата]])</f>
        <v>Август 2025</v>
      </c>
      <c r="E793" t="s">
        <v>25</v>
      </c>
      <c r="F793" t="s">
        <v>12</v>
      </c>
      <c r="G793">
        <v>1</v>
      </c>
      <c r="H793">
        <v>214</v>
      </c>
      <c r="I793" t="s">
        <v>21</v>
      </c>
      <c r="J793" t="str">
        <f>_xlfn.XLOOKUP(branches[[#This Row],[Филиал]], tbl_Filialy[Филиал], tbl_Filialy[Менеджер])</f>
        <v>Алия Гайнутдинова</v>
      </c>
    </row>
    <row r="794" spans="1:10" x14ac:dyDescent="0.3">
      <c r="A794" t="str">
        <f>_xlfn.XLOOKUP(branches[[#This Row],[Филиал]], tbl_Filialy[Филиал], tbl_Filialy[Город])</f>
        <v>Казань</v>
      </c>
      <c r="B794" s="1" t="s">
        <v>30</v>
      </c>
      <c r="C794" s="2">
        <v>45947</v>
      </c>
      <c r="D794" s="2" t="str">
        <f>CHOOSE(MONTH(branches[[#This Row],[Дата]]),"Январь","Февраль","Март","Апрель","Май","Июнь","Июль","Август","Сентябрь","Октябрь","Ноябрь","Декабрь")&amp;" "&amp;YEAR(branches[[#This Row],[Дата]])</f>
        <v>Октябрь 2025</v>
      </c>
      <c r="E794" t="s">
        <v>27</v>
      </c>
      <c r="F794" t="s">
        <v>12</v>
      </c>
      <c r="G794">
        <v>3</v>
      </c>
      <c r="H794">
        <v>693</v>
      </c>
      <c r="I794" t="s">
        <v>23</v>
      </c>
      <c r="J794" t="str">
        <f>_xlfn.XLOOKUP(branches[[#This Row],[Филиал]], tbl_Filialy[Филиал], tbl_Filialy[Менеджер])</f>
        <v>Алия Гайнутдинова</v>
      </c>
    </row>
    <row r="795" spans="1:10" x14ac:dyDescent="0.3">
      <c r="A795" t="str">
        <f>_xlfn.XLOOKUP(branches[[#This Row],[Филиал]], tbl_Filialy[Филиал], tbl_Filialy[Город])</f>
        <v>Казань</v>
      </c>
      <c r="B795" s="1" t="s">
        <v>30</v>
      </c>
      <c r="C795" s="2">
        <v>45986</v>
      </c>
      <c r="D795" s="2" t="str">
        <f>CHOOSE(MONTH(branches[[#This Row],[Дата]]),"Январь","Февраль","Март","Апрель","Май","Июнь","Июль","Август","Сентябрь","Октябрь","Ноябрь","Декабрь")&amp;" "&amp;YEAR(branches[[#This Row],[Дата]])</f>
        <v>Ноябрь 2025</v>
      </c>
      <c r="E795" t="s">
        <v>26</v>
      </c>
      <c r="F795" t="s">
        <v>9</v>
      </c>
      <c r="G795">
        <v>2</v>
      </c>
      <c r="H795">
        <v>436</v>
      </c>
      <c r="I795" t="s">
        <v>15</v>
      </c>
      <c r="J795" t="str">
        <f>_xlfn.XLOOKUP(branches[[#This Row],[Филиал]], tbl_Filialy[Филиал], tbl_Filialy[Менеджер])</f>
        <v>Алия Гайнутдинова</v>
      </c>
    </row>
    <row r="796" spans="1:10" x14ac:dyDescent="0.3">
      <c r="A796" t="str">
        <f>_xlfn.XLOOKUP(branches[[#This Row],[Филиал]], tbl_Filialy[Филиал], tbl_Filialy[Город])</f>
        <v>Казань</v>
      </c>
      <c r="B796" s="1" t="s">
        <v>30</v>
      </c>
      <c r="C796" s="2">
        <v>45711</v>
      </c>
      <c r="D796" s="2" t="str">
        <f>CHOOSE(MONTH(branches[[#This Row],[Дата]]),"Январь","Февраль","Март","Апрель","Май","Июнь","Июль","Август","Сентябрь","Октябрь","Ноябрь","Декабрь")&amp;" "&amp;YEAR(branches[[#This Row],[Дата]])</f>
        <v>Февраль 2025</v>
      </c>
      <c r="E796" t="s">
        <v>22</v>
      </c>
      <c r="F796" t="s">
        <v>9</v>
      </c>
      <c r="G796">
        <v>3</v>
      </c>
      <c r="H796">
        <v>525</v>
      </c>
      <c r="I796" t="s">
        <v>19</v>
      </c>
      <c r="J796" t="str">
        <f>_xlfn.XLOOKUP(branches[[#This Row],[Филиал]], tbl_Filialy[Филиал], tbl_Filialy[Менеджер])</f>
        <v>Алия Гайнутдинова</v>
      </c>
    </row>
    <row r="797" spans="1:10" x14ac:dyDescent="0.3">
      <c r="A797" t="str">
        <f>_xlfn.XLOOKUP(branches[[#This Row],[Филиал]], tbl_Filialy[Филиал], tbl_Filialy[Город])</f>
        <v>Казань</v>
      </c>
      <c r="B797" s="1" t="s">
        <v>30</v>
      </c>
      <c r="C797" s="2">
        <v>45936</v>
      </c>
      <c r="D797" s="2" t="str">
        <f>CHOOSE(MONTH(branches[[#This Row],[Дата]]),"Январь","Февраль","Март","Апрель","Май","Июнь","Июль","Август","Сентябрь","Октябрь","Ноябрь","Декабрь")&amp;" "&amp;YEAR(branches[[#This Row],[Дата]])</f>
        <v>Октябрь 2025</v>
      </c>
      <c r="E797" t="s">
        <v>16</v>
      </c>
      <c r="F797" t="s">
        <v>17</v>
      </c>
      <c r="G797">
        <v>2</v>
      </c>
      <c r="H797">
        <v>592</v>
      </c>
      <c r="I797" t="s">
        <v>21</v>
      </c>
      <c r="J797" t="str">
        <f>_xlfn.XLOOKUP(branches[[#This Row],[Филиал]], tbl_Filialy[Филиал], tbl_Filialy[Менеджер])</f>
        <v>Алия Гайнутдинова</v>
      </c>
    </row>
    <row r="798" spans="1:10" x14ac:dyDescent="0.3">
      <c r="A798" t="str">
        <f>_xlfn.XLOOKUP(branches[[#This Row],[Филиал]], tbl_Filialy[Филиал], tbl_Filialy[Город])</f>
        <v>Казань</v>
      </c>
      <c r="B798" s="1" t="s">
        <v>30</v>
      </c>
      <c r="C798" s="2">
        <v>45861</v>
      </c>
      <c r="D798" s="2" t="str">
        <f>CHOOSE(MONTH(branches[[#This Row],[Дата]]),"Январь","Февраль","Март","Апрель","Май","Июнь","Июль","Август","Сентябрь","Октябрь","Ноябрь","Декабрь")&amp;" "&amp;YEAR(branches[[#This Row],[Дата]])</f>
        <v>Июль 2025</v>
      </c>
      <c r="E798" t="s">
        <v>22</v>
      </c>
      <c r="F798" t="s">
        <v>9</v>
      </c>
      <c r="G798">
        <v>2</v>
      </c>
      <c r="H798">
        <v>366</v>
      </c>
      <c r="I798" t="s">
        <v>23</v>
      </c>
      <c r="J798" t="str">
        <f>_xlfn.XLOOKUP(branches[[#This Row],[Филиал]], tbl_Filialy[Филиал], tbl_Filialy[Менеджер])</f>
        <v>Алия Гайнутдинова</v>
      </c>
    </row>
    <row r="799" spans="1:10" x14ac:dyDescent="0.3">
      <c r="A799" t="str">
        <f>_xlfn.XLOOKUP(branches[[#This Row],[Филиал]], tbl_Filialy[Филиал], tbl_Filialy[Город])</f>
        <v>Казань</v>
      </c>
      <c r="B799" s="1" t="s">
        <v>30</v>
      </c>
      <c r="C799" s="2">
        <v>45789</v>
      </c>
      <c r="D799" s="2" t="str">
        <f>CHOOSE(MONTH(branches[[#This Row],[Дата]]),"Январь","Февраль","Март","Апрель","Май","Июнь","Июль","Август","Сентябрь","Октябрь","Ноябрь","Декабрь")&amp;" "&amp;YEAR(branches[[#This Row],[Дата]])</f>
        <v>Май 2025</v>
      </c>
      <c r="E799" t="s">
        <v>20</v>
      </c>
      <c r="F799" t="s">
        <v>12</v>
      </c>
      <c r="G799">
        <v>1</v>
      </c>
      <c r="H799">
        <v>263</v>
      </c>
      <c r="I799" t="s">
        <v>15</v>
      </c>
      <c r="J799" t="str">
        <f>_xlfn.XLOOKUP(branches[[#This Row],[Филиал]], tbl_Filialy[Филиал], tbl_Filialy[Менеджер])</f>
        <v>Алия Гайнутдинова</v>
      </c>
    </row>
    <row r="800" spans="1:10" x14ac:dyDescent="0.3">
      <c r="A800" t="str">
        <f>_xlfn.XLOOKUP(branches[[#This Row],[Филиал]], tbl_Filialy[Филиал], tbl_Filialy[Город])</f>
        <v>Казань</v>
      </c>
      <c r="B800" s="1" t="s">
        <v>30</v>
      </c>
      <c r="C800" s="2">
        <v>45965</v>
      </c>
      <c r="D800" s="2" t="str">
        <f>CHOOSE(MONTH(branches[[#This Row],[Дата]]),"Январь","Февраль","Март","Апрель","Май","Июнь","Июль","Август","Сентябрь","Октябрь","Ноябрь","Декабрь")&amp;" "&amp;YEAR(branches[[#This Row],[Дата]])</f>
        <v>Ноябрь 2025</v>
      </c>
      <c r="E800" t="s">
        <v>22</v>
      </c>
      <c r="F800" t="s">
        <v>9</v>
      </c>
      <c r="G800">
        <v>2</v>
      </c>
      <c r="H800">
        <v>322</v>
      </c>
      <c r="I800" t="s">
        <v>13</v>
      </c>
      <c r="J800" t="str">
        <f>_xlfn.XLOOKUP(branches[[#This Row],[Филиал]], tbl_Filialy[Филиал], tbl_Filialy[Менеджер])</f>
        <v>Алия Гайнутдинова</v>
      </c>
    </row>
    <row r="801" spans="1:10" x14ac:dyDescent="0.3">
      <c r="A801" t="str">
        <f>_xlfn.XLOOKUP(branches[[#This Row],[Филиал]], tbl_Filialy[Филиал], tbl_Filialy[Город])</f>
        <v>Казань</v>
      </c>
      <c r="B801" s="1" t="s">
        <v>30</v>
      </c>
      <c r="C801" s="2">
        <v>46011</v>
      </c>
      <c r="D801" s="2" t="str">
        <f>CHOOSE(MONTH(branches[[#This Row],[Дата]]),"Январь","Февраль","Март","Апрель","Май","Июнь","Июль","Август","Сентябрь","Октябрь","Ноябрь","Декабрь")&amp;" "&amp;YEAR(branches[[#This Row],[Дата]])</f>
        <v>Декабрь 2025</v>
      </c>
      <c r="E801" t="s">
        <v>22</v>
      </c>
      <c r="F801" t="s">
        <v>9</v>
      </c>
      <c r="G801">
        <v>2</v>
      </c>
      <c r="H801">
        <v>398</v>
      </c>
      <c r="I801" t="s">
        <v>23</v>
      </c>
      <c r="J801" t="str">
        <f>_xlfn.XLOOKUP(branches[[#This Row],[Филиал]], tbl_Filialy[Филиал], tbl_Filialy[Менеджер])</f>
        <v>Алия Гайнутдинова</v>
      </c>
    </row>
    <row r="802" spans="1:10" x14ac:dyDescent="0.3">
      <c r="A802" t="str">
        <f>_xlfn.XLOOKUP(branches[[#This Row],[Филиал]], tbl_Filialy[Филиал], tbl_Filialy[Город])</f>
        <v>Казань</v>
      </c>
      <c r="B802" s="1" t="s">
        <v>30</v>
      </c>
      <c r="C802" s="2">
        <v>45659</v>
      </c>
      <c r="D802" s="2" t="str">
        <f>CHOOSE(MONTH(branches[[#This Row],[Дата]]),"Январь","Февраль","Март","Апрель","Май","Июнь","Июль","Август","Сентябрь","Октябрь","Ноябрь","Декабрь")&amp;" "&amp;YEAR(branches[[#This Row],[Дата]])</f>
        <v>Январь 2025</v>
      </c>
      <c r="E802" t="s">
        <v>28</v>
      </c>
      <c r="F802" t="s">
        <v>12</v>
      </c>
      <c r="G802">
        <v>1</v>
      </c>
      <c r="H802">
        <v>250</v>
      </c>
      <c r="I802" t="s">
        <v>21</v>
      </c>
      <c r="J802" t="str">
        <f>_xlfn.XLOOKUP(branches[[#This Row],[Филиал]], tbl_Filialy[Филиал], tbl_Filialy[Менеджер])</f>
        <v>Алия Гайнутдинова</v>
      </c>
    </row>
    <row r="803" spans="1:10" x14ac:dyDescent="0.3">
      <c r="A803" t="str">
        <f>_xlfn.XLOOKUP(branches[[#This Row],[Филиал]], tbl_Filialy[Филиал], tbl_Filialy[Город])</f>
        <v>Казань</v>
      </c>
      <c r="B803" s="1" t="s">
        <v>30</v>
      </c>
      <c r="C803" s="2">
        <v>45920</v>
      </c>
      <c r="D803" s="2" t="str">
        <f>CHOOSE(MONTH(branches[[#This Row],[Дата]]),"Январь","Февраль","Март","Апрель","Май","Июнь","Июль","Август","Сентябрь","Октябрь","Ноябрь","Декабрь")&amp;" "&amp;YEAR(branches[[#This Row],[Дата]])</f>
        <v>Сентябрь 2025</v>
      </c>
      <c r="E803" t="s">
        <v>11</v>
      </c>
      <c r="F803" t="s">
        <v>12</v>
      </c>
      <c r="G803">
        <v>1</v>
      </c>
      <c r="H803">
        <v>192</v>
      </c>
      <c r="I803" t="s">
        <v>10</v>
      </c>
      <c r="J803" t="str">
        <f>_xlfn.XLOOKUP(branches[[#This Row],[Филиал]], tbl_Filialy[Филиал], tbl_Filialy[Менеджер])</f>
        <v>Алия Гайнутдинова</v>
      </c>
    </row>
    <row r="804" spans="1:10" x14ac:dyDescent="0.3">
      <c r="A804" t="str">
        <f>_xlfn.XLOOKUP(branches[[#This Row],[Филиал]], tbl_Filialy[Филиал], tbl_Filialy[Город])</f>
        <v>Казань</v>
      </c>
      <c r="B804" s="1" t="s">
        <v>30</v>
      </c>
      <c r="C804" s="2">
        <v>45674</v>
      </c>
      <c r="D804" s="2" t="str">
        <f>CHOOSE(MONTH(branches[[#This Row],[Дата]]),"Январь","Февраль","Март","Апрель","Май","Июнь","Июль","Август","Сентябрь","Октябрь","Ноябрь","Декабрь")&amp;" "&amp;YEAR(branches[[#This Row],[Дата]])</f>
        <v>Январь 2025</v>
      </c>
      <c r="E804" t="s">
        <v>20</v>
      </c>
      <c r="F804" t="s">
        <v>12</v>
      </c>
      <c r="G804">
        <v>2</v>
      </c>
      <c r="H804">
        <v>522</v>
      </c>
      <c r="I804" t="s">
        <v>23</v>
      </c>
      <c r="J804" t="str">
        <f>_xlfn.XLOOKUP(branches[[#This Row],[Филиал]], tbl_Filialy[Филиал], tbl_Filialy[Менеджер])</f>
        <v>Алия Гайнутдинова</v>
      </c>
    </row>
    <row r="805" spans="1:10" x14ac:dyDescent="0.3">
      <c r="A805" t="str">
        <f>_xlfn.XLOOKUP(branches[[#This Row],[Филиал]], tbl_Filialy[Филиал], tbl_Filialy[Город])</f>
        <v>Казань</v>
      </c>
      <c r="B805" s="1" t="s">
        <v>30</v>
      </c>
      <c r="C805" s="2">
        <v>45781</v>
      </c>
      <c r="D805" s="2" t="str">
        <f>CHOOSE(MONTH(branches[[#This Row],[Дата]]),"Январь","Февраль","Март","Апрель","Май","Июнь","Июль","Август","Сентябрь","Октябрь","Ноябрь","Декабрь")&amp;" "&amp;YEAR(branches[[#This Row],[Дата]])</f>
        <v>Май 2025</v>
      </c>
      <c r="E805" t="s">
        <v>25</v>
      </c>
      <c r="F805" t="s">
        <v>12</v>
      </c>
      <c r="G805">
        <v>2</v>
      </c>
      <c r="H805">
        <v>398</v>
      </c>
      <c r="I805" t="s">
        <v>21</v>
      </c>
      <c r="J805" t="str">
        <f>_xlfn.XLOOKUP(branches[[#This Row],[Филиал]], tbl_Filialy[Филиал], tbl_Filialy[Менеджер])</f>
        <v>Алия Гайнутдинова</v>
      </c>
    </row>
    <row r="806" spans="1:10" x14ac:dyDescent="0.3">
      <c r="A806" t="str">
        <f>_xlfn.XLOOKUP(branches[[#This Row],[Филиал]], tbl_Filialy[Филиал], tbl_Filialy[Город])</f>
        <v>Казань</v>
      </c>
      <c r="B806" s="1" t="s">
        <v>30</v>
      </c>
      <c r="C806" s="2">
        <v>45812</v>
      </c>
      <c r="D806" s="2" t="str">
        <f>CHOOSE(MONTH(branches[[#This Row],[Дата]]),"Январь","Февраль","Март","Апрель","Май","Июнь","Июль","Август","Сентябрь","Октябрь","Ноябрь","Декабрь")&amp;" "&amp;YEAR(branches[[#This Row],[Дата]])</f>
        <v>Июнь 2025</v>
      </c>
      <c r="E806" t="s">
        <v>27</v>
      </c>
      <c r="F806" t="s">
        <v>12</v>
      </c>
      <c r="G806">
        <v>2</v>
      </c>
      <c r="H806">
        <v>472</v>
      </c>
      <c r="I806" t="s">
        <v>15</v>
      </c>
      <c r="J806" t="str">
        <f>_xlfn.XLOOKUP(branches[[#This Row],[Филиал]], tbl_Filialy[Филиал], tbl_Filialy[Менеджер])</f>
        <v>Алия Гайнутдинова</v>
      </c>
    </row>
    <row r="807" spans="1:10" x14ac:dyDescent="0.3">
      <c r="A807" t="str">
        <f>_xlfn.XLOOKUP(branches[[#This Row],[Филиал]], tbl_Filialy[Филиал], tbl_Filialy[Город])</f>
        <v>Казань</v>
      </c>
      <c r="B807" s="1" t="s">
        <v>30</v>
      </c>
      <c r="C807" s="2">
        <v>45723</v>
      </c>
      <c r="D807" s="2" t="str">
        <f>CHOOSE(MONTH(branches[[#This Row],[Дата]]),"Январь","Февраль","Март","Апрель","Май","Июнь","Июль","Август","Сентябрь","Октябрь","Ноябрь","Декабрь")&amp;" "&amp;YEAR(branches[[#This Row],[Дата]])</f>
        <v>Март 2025</v>
      </c>
      <c r="E807" t="s">
        <v>11</v>
      </c>
      <c r="F807" t="s">
        <v>12</v>
      </c>
      <c r="G807">
        <v>2</v>
      </c>
      <c r="H807">
        <v>382</v>
      </c>
      <c r="I807" t="s">
        <v>13</v>
      </c>
      <c r="J807" t="str">
        <f>_xlfn.XLOOKUP(branches[[#This Row],[Филиал]], tbl_Filialy[Филиал], tbl_Filialy[Менеджер])</f>
        <v>Алия Гайнутдинова</v>
      </c>
    </row>
    <row r="808" spans="1:10" x14ac:dyDescent="0.3">
      <c r="A808" t="str">
        <f>_xlfn.XLOOKUP(branches[[#This Row],[Филиал]], tbl_Filialy[Филиал], tbl_Filialy[Город])</f>
        <v>Казань</v>
      </c>
      <c r="B808" s="1" t="s">
        <v>30</v>
      </c>
      <c r="C808" s="2">
        <v>46013</v>
      </c>
      <c r="D808" s="2" t="str">
        <f>CHOOSE(MONTH(branches[[#This Row],[Дата]]),"Январь","Февраль","Март","Апрель","Май","Июнь","Июль","Август","Сентябрь","Октябрь","Ноябрь","Декабрь")&amp;" "&amp;YEAR(branches[[#This Row],[Дата]])</f>
        <v>Декабрь 2025</v>
      </c>
      <c r="E808" t="s">
        <v>11</v>
      </c>
      <c r="F808" t="s">
        <v>12</v>
      </c>
      <c r="G808">
        <v>2</v>
      </c>
      <c r="H808">
        <v>314</v>
      </c>
      <c r="I808" t="s">
        <v>13</v>
      </c>
      <c r="J808" t="str">
        <f>_xlfn.XLOOKUP(branches[[#This Row],[Филиал]], tbl_Filialy[Филиал], tbl_Filialy[Менеджер])</f>
        <v>Алия Гайнутдинова</v>
      </c>
    </row>
    <row r="809" spans="1:10" x14ac:dyDescent="0.3">
      <c r="A809" t="str">
        <f>_xlfn.XLOOKUP(branches[[#This Row],[Филиал]], tbl_Filialy[Филиал], tbl_Filialy[Город])</f>
        <v>Казань</v>
      </c>
      <c r="B809" s="1" t="s">
        <v>30</v>
      </c>
      <c r="C809" s="2">
        <v>45743</v>
      </c>
      <c r="D809" s="2" t="str">
        <f>CHOOSE(MONTH(branches[[#This Row],[Дата]]),"Январь","Февраль","Март","Апрель","Май","Июнь","Июль","Август","Сентябрь","Октябрь","Ноябрь","Декабрь")&amp;" "&amp;YEAR(branches[[#This Row],[Дата]])</f>
        <v>Март 2025</v>
      </c>
      <c r="E809" t="s">
        <v>27</v>
      </c>
      <c r="F809" t="s">
        <v>12</v>
      </c>
      <c r="G809">
        <v>2</v>
      </c>
      <c r="H809">
        <v>448</v>
      </c>
      <c r="I809" t="s">
        <v>15</v>
      </c>
      <c r="J809" t="str">
        <f>_xlfn.XLOOKUP(branches[[#This Row],[Филиал]], tbl_Filialy[Филиал], tbl_Filialy[Менеджер])</f>
        <v>Алия Гайнутдинова</v>
      </c>
    </row>
    <row r="810" spans="1:10" x14ac:dyDescent="0.3">
      <c r="A810" t="str">
        <f>_xlfn.XLOOKUP(branches[[#This Row],[Филиал]], tbl_Filialy[Филиал], tbl_Filialy[Город])</f>
        <v>Казань</v>
      </c>
      <c r="B810" s="1" t="s">
        <v>30</v>
      </c>
      <c r="C810" s="2">
        <v>46015</v>
      </c>
      <c r="D810" s="2" t="str">
        <f>CHOOSE(MONTH(branches[[#This Row],[Дата]]),"Январь","Февраль","Март","Апрель","Май","Июнь","Июль","Август","Сентябрь","Октябрь","Ноябрь","Декабрь")&amp;" "&amp;YEAR(branches[[#This Row],[Дата]])</f>
        <v>Декабрь 2025</v>
      </c>
      <c r="E810" t="s">
        <v>20</v>
      </c>
      <c r="F810" t="s">
        <v>12</v>
      </c>
      <c r="G810">
        <v>2</v>
      </c>
      <c r="H810">
        <v>612</v>
      </c>
      <c r="I810" t="s">
        <v>19</v>
      </c>
      <c r="J810" t="str">
        <f>_xlfn.XLOOKUP(branches[[#This Row],[Филиал]], tbl_Filialy[Филиал], tbl_Filialy[Менеджер])</f>
        <v>Алия Гайнутдинова</v>
      </c>
    </row>
    <row r="811" spans="1:10" x14ac:dyDescent="0.3">
      <c r="A811" t="str">
        <f>_xlfn.XLOOKUP(branches[[#This Row],[Филиал]], tbl_Filialy[Филиал], tbl_Filialy[Город])</f>
        <v>Казань</v>
      </c>
      <c r="B811" s="1" t="s">
        <v>30</v>
      </c>
      <c r="C811" s="2">
        <v>45849</v>
      </c>
      <c r="D811" s="2" t="str">
        <f>CHOOSE(MONTH(branches[[#This Row],[Дата]]),"Январь","Февраль","Март","Апрель","Май","Июнь","Июль","Август","Сентябрь","Октябрь","Ноябрь","Декабрь")&amp;" "&amp;YEAR(branches[[#This Row],[Дата]])</f>
        <v>Июль 2025</v>
      </c>
      <c r="E811" t="s">
        <v>22</v>
      </c>
      <c r="F811" t="s">
        <v>9</v>
      </c>
      <c r="G811">
        <v>1</v>
      </c>
      <c r="H811">
        <v>173</v>
      </c>
      <c r="I811" t="s">
        <v>15</v>
      </c>
      <c r="J811" t="str">
        <f>_xlfn.XLOOKUP(branches[[#This Row],[Филиал]], tbl_Filialy[Филиал], tbl_Filialy[Менеджер])</f>
        <v>Алия Гайнутдинова</v>
      </c>
    </row>
    <row r="812" spans="1:10" x14ac:dyDescent="0.3">
      <c r="A812" t="str">
        <f>_xlfn.XLOOKUP(branches[[#This Row],[Филиал]], tbl_Filialy[Филиал], tbl_Filialy[Город])</f>
        <v>Казань</v>
      </c>
      <c r="B812" s="1" t="s">
        <v>30</v>
      </c>
      <c r="C812" s="2">
        <v>45660</v>
      </c>
      <c r="D812" s="2" t="str">
        <f>CHOOSE(MONTH(branches[[#This Row],[Дата]]),"Январь","Февраль","Март","Апрель","Май","Июнь","Июль","Август","Сентябрь","Октябрь","Ноябрь","Декабрь")&amp;" "&amp;YEAR(branches[[#This Row],[Дата]])</f>
        <v>Январь 2025</v>
      </c>
      <c r="E812" t="s">
        <v>11</v>
      </c>
      <c r="F812" t="s">
        <v>12</v>
      </c>
      <c r="G812">
        <v>3</v>
      </c>
      <c r="H812">
        <v>561</v>
      </c>
      <c r="I812" t="s">
        <v>13</v>
      </c>
      <c r="J812" t="str">
        <f>_xlfn.XLOOKUP(branches[[#This Row],[Филиал]], tbl_Filialy[Филиал], tbl_Filialy[Менеджер])</f>
        <v>Алия Гайнутдинова</v>
      </c>
    </row>
    <row r="813" spans="1:10" x14ac:dyDescent="0.3">
      <c r="A813" t="str">
        <f>_xlfn.XLOOKUP(branches[[#This Row],[Филиал]], tbl_Filialy[Филиал], tbl_Filialy[Город])</f>
        <v>Казань</v>
      </c>
      <c r="B813" s="1" t="s">
        <v>30</v>
      </c>
      <c r="C813" s="2">
        <v>45693</v>
      </c>
      <c r="D813" s="2" t="str">
        <f>CHOOSE(MONTH(branches[[#This Row],[Дата]]),"Январь","Февраль","Март","Апрель","Май","Июнь","Июль","Август","Сентябрь","Октябрь","Ноябрь","Декабрь")&amp;" "&amp;YEAR(branches[[#This Row],[Дата]])</f>
        <v>Февраль 2025</v>
      </c>
      <c r="E813" t="s">
        <v>22</v>
      </c>
      <c r="F813" t="s">
        <v>9</v>
      </c>
      <c r="G813">
        <v>1</v>
      </c>
      <c r="H813">
        <v>191</v>
      </c>
      <c r="I813" t="s">
        <v>13</v>
      </c>
      <c r="J813" t="str">
        <f>_xlfn.XLOOKUP(branches[[#This Row],[Филиал]], tbl_Filialy[Филиал], tbl_Filialy[Менеджер])</f>
        <v>Алия Гайнутдинова</v>
      </c>
    </row>
    <row r="814" spans="1:10" x14ac:dyDescent="0.3">
      <c r="A814" t="str">
        <f>_xlfn.XLOOKUP(branches[[#This Row],[Филиал]], tbl_Filialy[Филиал], tbl_Filialy[Город])</f>
        <v>Казань</v>
      </c>
      <c r="B814" s="1" t="s">
        <v>30</v>
      </c>
      <c r="C814" s="2">
        <v>45691</v>
      </c>
      <c r="D814" s="2" t="str">
        <f>CHOOSE(MONTH(branches[[#This Row],[Дата]]),"Январь","Февраль","Март","Апрель","Май","Июнь","Июль","Август","Сентябрь","Октябрь","Ноябрь","Декабрь")&amp;" "&amp;YEAR(branches[[#This Row],[Дата]])</f>
        <v>Февраль 2025</v>
      </c>
      <c r="E814" t="s">
        <v>14</v>
      </c>
      <c r="F814" t="s">
        <v>12</v>
      </c>
      <c r="G814">
        <v>1</v>
      </c>
      <c r="H814">
        <v>279</v>
      </c>
      <c r="I814" t="s">
        <v>10</v>
      </c>
      <c r="J814" t="str">
        <f>_xlfn.XLOOKUP(branches[[#This Row],[Филиал]], tbl_Filialy[Филиал], tbl_Filialy[Менеджер])</f>
        <v>Алия Гайнутдинова</v>
      </c>
    </row>
    <row r="815" spans="1:10" x14ac:dyDescent="0.3">
      <c r="A815" t="str">
        <f>_xlfn.XLOOKUP(branches[[#This Row],[Филиал]], tbl_Filialy[Филиал], tbl_Filialy[Город])</f>
        <v>Казань</v>
      </c>
      <c r="B815" s="1" t="s">
        <v>30</v>
      </c>
      <c r="C815" s="2">
        <v>45667</v>
      </c>
      <c r="D815" s="2" t="str">
        <f>CHOOSE(MONTH(branches[[#This Row],[Дата]]),"Январь","Февраль","Март","Апрель","Май","Июнь","Июль","Август","Сентябрь","Октябрь","Ноябрь","Декабрь")&amp;" "&amp;YEAR(branches[[#This Row],[Дата]])</f>
        <v>Январь 2025</v>
      </c>
      <c r="E815" t="s">
        <v>20</v>
      </c>
      <c r="F815" t="s">
        <v>12</v>
      </c>
      <c r="G815">
        <v>1</v>
      </c>
      <c r="H815">
        <v>269</v>
      </c>
      <c r="I815" t="s">
        <v>10</v>
      </c>
      <c r="J815" t="str">
        <f>_xlfn.XLOOKUP(branches[[#This Row],[Филиал]], tbl_Filialy[Филиал], tbl_Filialy[Менеджер])</f>
        <v>Алия Гайнутдинова</v>
      </c>
    </row>
    <row r="816" spans="1:10" x14ac:dyDescent="0.3">
      <c r="A816" t="str">
        <f>_xlfn.XLOOKUP(branches[[#This Row],[Филиал]], tbl_Filialy[Филиал], tbl_Filialy[Город])</f>
        <v>Казань</v>
      </c>
      <c r="B816" s="1" t="s">
        <v>30</v>
      </c>
      <c r="C816" s="2">
        <v>45971</v>
      </c>
      <c r="D816" s="2" t="str">
        <f>CHOOSE(MONTH(branches[[#This Row],[Дата]]),"Январь","Февраль","Март","Апрель","Май","Июнь","Июль","Август","Сентябрь","Октябрь","Ноябрь","Декабрь")&amp;" "&amp;YEAR(branches[[#This Row],[Дата]])</f>
        <v>Ноябрь 2025</v>
      </c>
      <c r="E816" t="s">
        <v>26</v>
      </c>
      <c r="F816" t="s">
        <v>9</v>
      </c>
      <c r="G816">
        <v>2</v>
      </c>
      <c r="H816">
        <v>376</v>
      </c>
      <c r="I816" t="s">
        <v>10</v>
      </c>
      <c r="J816" t="str">
        <f>_xlfn.XLOOKUP(branches[[#This Row],[Филиал]], tbl_Filialy[Филиал], tbl_Filialy[Менеджер])</f>
        <v>Алия Гайнутдинова</v>
      </c>
    </row>
    <row r="817" spans="1:10" x14ac:dyDescent="0.3">
      <c r="A817" t="str">
        <f>_xlfn.XLOOKUP(branches[[#This Row],[Филиал]], tbl_Filialy[Филиал], tbl_Filialy[Город])</f>
        <v>Казань</v>
      </c>
      <c r="B817" s="1" t="s">
        <v>30</v>
      </c>
      <c r="C817" s="2">
        <v>45977</v>
      </c>
      <c r="D817" s="2" t="str">
        <f>CHOOSE(MONTH(branches[[#This Row],[Дата]]),"Январь","Февраль","Март","Апрель","Май","Июнь","Июль","Август","Сентябрь","Октябрь","Ноябрь","Декабрь")&amp;" "&amp;YEAR(branches[[#This Row],[Дата]])</f>
        <v>Ноябрь 2025</v>
      </c>
      <c r="E817" t="s">
        <v>28</v>
      </c>
      <c r="F817" t="s">
        <v>12</v>
      </c>
      <c r="G817">
        <v>1</v>
      </c>
      <c r="H817">
        <v>226</v>
      </c>
      <c r="I817" t="s">
        <v>19</v>
      </c>
      <c r="J817" t="str">
        <f>_xlfn.XLOOKUP(branches[[#This Row],[Филиал]], tbl_Filialy[Филиал], tbl_Filialy[Менеджер])</f>
        <v>Алия Гайнутдинова</v>
      </c>
    </row>
    <row r="818" spans="1:10" x14ac:dyDescent="0.3">
      <c r="A818" t="str">
        <f>_xlfn.XLOOKUP(branches[[#This Row],[Филиал]], tbl_Filialy[Филиал], tbl_Filialy[Город])</f>
        <v>Казань</v>
      </c>
      <c r="B818" s="1" t="s">
        <v>30</v>
      </c>
      <c r="C818" s="2">
        <v>45708</v>
      </c>
      <c r="D818" s="2" t="str">
        <f>CHOOSE(MONTH(branches[[#This Row],[Дата]]),"Январь","Февраль","Март","Апрель","Май","Июнь","Июль","Август","Сентябрь","Октябрь","Ноябрь","Декабрь")&amp;" "&amp;YEAR(branches[[#This Row],[Дата]])</f>
        <v>Февраль 2025</v>
      </c>
      <c r="E818" t="s">
        <v>26</v>
      </c>
      <c r="F818" t="s">
        <v>9</v>
      </c>
      <c r="G818">
        <v>1</v>
      </c>
      <c r="H818">
        <v>188</v>
      </c>
      <c r="I818" t="s">
        <v>13</v>
      </c>
      <c r="J818" t="str">
        <f>_xlfn.XLOOKUP(branches[[#This Row],[Филиал]], tbl_Filialy[Филиал], tbl_Filialy[Менеджер])</f>
        <v>Алия Гайнутдинова</v>
      </c>
    </row>
    <row r="819" spans="1:10" x14ac:dyDescent="0.3">
      <c r="A819" t="str">
        <f>_xlfn.XLOOKUP(branches[[#This Row],[Филиал]], tbl_Filialy[Филиал], tbl_Filialy[Город])</f>
        <v>Казань</v>
      </c>
      <c r="B819" s="1" t="s">
        <v>30</v>
      </c>
      <c r="C819" s="2">
        <v>45685</v>
      </c>
      <c r="D819" s="2" t="str">
        <f>CHOOSE(MONTH(branches[[#This Row],[Дата]]),"Январь","Февраль","Март","Апрель","Май","Июнь","Июль","Август","Сентябрь","Октябрь","Ноябрь","Декабрь")&amp;" "&amp;YEAR(branches[[#This Row],[Дата]])</f>
        <v>Январь 2025</v>
      </c>
      <c r="E819" t="s">
        <v>11</v>
      </c>
      <c r="F819" t="s">
        <v>12</v>
      </c>
      <c r="G819">
        <v>3</v>
      </c>
      <c r="H819">
        <v>513</v>
      </c>
      <c r="I819" t="s">
        <v>15</v>
      </c>
      <c r="J819" t="str">
        <f>_xlfn.XLOOKUP(branches[[#This Row],[Филиал]], tbl_Filialy[Филиал], tbl_Filialy[Менеджер])</f>
        <v>Алия Гайнутдинова</v>
      </c>
    </row>
    <row r="820" spans="1:10" x14ac:dyDescent="0.3">
      <c r="A820" t="str">
        <f>_xlfn.XLOOKUP(branches[[#This Row],[Филиал]], tbl_Filialy[Филиал], tbl_Filialy[Город])</f>
        <v>Казань</v>
      </c>
      <c r="B820" s="1" t="s">
        <v>30</v>
      </c>
      <c r="C820" s="2">
        <v>45689</v>
      </c>
      <c r="D820" s="2" t="str">
        <f>CHOOSE(MONTH(branches[[#This Row],[Дата]]),"Январь","Февраль","Март","Апрель","Май","Июнь","Июль","Август","Сентябрь","Октябрь","Ноябрь","Декабрь")&amp;" "&amp;YEAR(branches[[#This Row],[Дата]])</f>
        <v>Февраль 2025</v>
      </c>
      <c r="E820" t="s">
        <v>16</v>
      </c>
      <c r="F820" t="s">
        <v>17</v>
      </c>
      <c r="G820">
        <v>1</v>
      </c>
      <c r="H820">
        <v>288</v>
      </c>
      <c r="I820" t="s">
        <v>15</v>
      </c>
      <c r="J820" t="str">
        <f>_xlfn.XLOOKUP(branches[[#This Row],[Филиал]], tbl_Filialy[Филиал], tbl_Filialy[Менеджер])</f>
        <v>Алия Гайнутдинова</v>
      </c>
    </row>
    <row r="821" spans="1:10" x14ac:dyDescent="0.3">
      <c r="A821" t="str">
        <f>_xlfn.XLOOKUP(branches[[#This Row],[Филиал]], tbl_Filialy[Филиал], tbl_Filialy[Город])</f>
        <v>Казань</v>
      </c>
      <c r="B821" s="1" t="s">
        <v>30</v>
      </c>
      <c r="C821" s="2">
        <v>45670</v>
      </c>
      <c r="D821" s="2" t="str">
        <f>CHOOSE(MONTH(branches[[#This Row],[Дата]]),"Январь","Февраль","Март","Апрель","Май","Июнь","Июль","Август","Сентябрь","Октябрь","Ноябрь","Декабрь")&amp;" "&amp;YEAR(branches[[#This Row],[Дата]])</f>
        <v>Январь 2025</v>
      </c>
      <c r="E821" t="s">
        <v>18</v>
      </c>
      <c r="F821" t="s">
        <v>12</v>
      </c>
      <c r="G821">
        <v>2</v>
      </c>
      <c r="H821">
        <v>314</v>
      </c>
      <c r="I821" t="s">
        <v>13</v>
      </c>
      <c r="J821" t="str">
        <f>_xlfn.XLOOKUP(branches[[#This Row],[Филиал]], tbl_Filialy[Филиал], tbl_Filialy[Менеджер])</f>
        <v>Алия Гайнутдинова</v>
      </c>
    </row>
    <row r="822" spans="1:10" x14ac:dyDescent="0.3">
      <c r="A822" t="str">
        <f>_xlfn.XLOOKUP(branches[[#This Row],[Филиал]], tbl_Filialy[Филиал], tbl_Filialy[Город])</f>
        <v>Казань</v>
      </c>
      <c r="B822" s="1" t="s">
        <v>30</v>
      </c>
      <c r="C822" s="2">
        <v>45774</v>
      </c>
      <c r="D822" s="2" t="str">
        <f>CHOOSE(MONTH(branches[[#This Row],[Дата]]),"Январь","Февраль","Март","Апрель","Май","Июнь","Июль","Август","Сентябрь","Октябрь","Ноябрь","Декабрь")&amp;" "&amp;YEAR(branches[[#This Row],[Дата]])</f>
        <v>Апрель 2025</v>
      </c>
      <c r="E822" t="s">
        <v>18</v>
      </c>
      <c r="F822" t="s">
        <v>12</v>
      </c>
      <c r="G822">
        <v>2</v>
      </c>
      <c r="H822">
        <v>300</v>
      </c>
      <c r="I822" t="s">
        <v>15</v>
      </c>
      <c r="J822" t="str">
        <f>_xlfn.XLOOKUP(branches[[#This Row],[Филиал]], tbl_Filialy[Филиал], tbl_Filialy[Менеджер])</f>
        <v>Алия Гайнутдинова</v>
      </c>
    </row>
    <row r="823" spans="1:10" x14ac:dyDescent="0.3">
      <c r="A823" t="str">
        <f>_xlfn.XLOOKUP(branches[[#This Row],[Филиал]], tbl_Filialy[Филиал], tbl_Filialy[Город])</f>
        <v>Казань</v>
      </c>
      <c r="B823" s="1" t="s">
        <v>30</v>
      </c>
      <c r="C823" s="2">
        <v>45956</v>
      </c>
      <c r="D823" s="2" t="str">
        <f>CHOOSE(MONTH(branches[[#This Row],[Дата]]),"Январь","Февраль","Март","Апрель","Май","Июнь","Июль","Август","Сентябрь","Октябрь","Ноябрь","Декабрь")&amp;" "&amp;YEAR(branches[[#This Row],[Дата]])</f>
        <v>Октябрь 2025</v>
      </c>
      <c r="E823" t="s">
        <v>24</v>
      </c>
      <c r="F823" t="s">
        <v>17</v>
      </c>
      <c r="G823">
        <v>1</v>
      </c>
      <c r="H823">
        <v>391</v>
      </c>
      <c r="I823" t="s">
        <v>15</v>
      </c>
      <c r="J823" t="str">
        <f>_xlfn.XLOOKUP(branches[[#This Row],[Филиал]], tbl_Filialy[Филиал], tbl_Filialy[Менеджер])</f>
        <v>Алия Гайнутдинова</v>
      </c>
    </row>
    <row r="824" spans="1:10" x14ac:dyDescent="0.3">
      <c r="A824" t="str">
        <f>_xlfn.XLOOKUP(branches[[#This Row],[Филиал]], tbl_Filialy[Филиал], tbl_Filialy[Город])</f>
        <v>Казань</v>
      </c>
      <c r="B824" s="1" t="s">
        <v>30</v>
      </c>
      <c r="C824" s="2">
        <v>45915</v>
      </c>
      <c r="D824" s="2" t="str">
        <f>CHOOSE(MONTH(branches[[#This Row],[Дата]]),"Январь","Февраль","Март","Апрель","Май","Июнь","Июль","Август","Сентябрь","Октябрь","Ноябрь","Декабрь")&amp;" "&amp;YEAR(branches[[#This Row],[Дата]])</f>
        <v>Сентябрь 2025</v>
      </c>
      <c r="E824" t="s">
        <v>24</v>
      </c>
      <c r="F824" t="s">
        <v>17</v>
      </c>
      <c r="G824">
        <v>2</v>
      </c>
      <c r="H824">
        <v>794</v>
      </c>
      <c r="I824" t="s">
        <v>15</v>
      </c>
      <c r="J824" t="str">
        <f>_xlfn.XLOOKUP(branches[[#This Row],[Филиал]], tbl_Filialy[Филиал], tbl_Filialy[Менеджер])</f>
        <v>Алия Гайнутдинова</v>
      </c>
    </row>
    <row r="825" spans="1:10" x14ac:dyDescent="0.3">
      <c r="A825" t="str">
        <f>_xlfn.XLOOKUP(branches[[#This Row],[Филиал]], tbl_Filialy[Филиал], tbl_Filialy[Город])</f>
        <v>Казань</v>
      </c>
      <c r="B825" s="1" t="s">
        <v>30</v>
      </c>
      <c r="C825" s="2">
        <v>45663</v>
      </c>
      <c r="D825" s="2" t="str">
        <f>CHOOSE(MONTH(branches[[#This Row],[Дата]]),"Январь","Февраль","Март","Апрель","Май","Июнь","Июль","Август","Сентябрь","Октябрь","Ноябрь","Декабрь")&amp;" "&amp;YEAR(branches[[#This Row],[Дата]])</f>
        <v>Январь 2025</v>
      </c>
      <c r="E825" t="s">
        <v>25</v>
      </c>
      <c r="F825" t="s">
        <v>12</v>
      </c>
      <c r="G825">
        <v>1</v>
      </c>
      <c r="H825">
        <v>209</v>
      </c>
      <c r="I825" t="s">
        <v>15</v>
      </c>
      <c r="J825" t="str">
        <f>_xlfn.XLOOKUP(branches[[#This Row],[Филиал]], tbl_Filialy[Филиал], tbl_Filialy[Менеджер])</f>
        <v>Алия Гайнутдинова</v>
      </c>
    </row>
    <row r="826" spans="1:10" x14ac:dyDescent="0.3">
      <c r="A826" t="str">
        <f>_xlfn.XLOOKUP(branches[[#This Row],[Филиал]], tbl_Filialy[Филиал], tbl_Filialy[Город])</f>
        <v>Казань</v>
      </c>
      <c r="B826" s="1" t="s">
        <v>30</v>
      </c>
      <c r="C826" s="2">
        <v>45820</v>
      </c>
      <c r="D826" s="2" t="str">
        <f>CHOOSE(MONTH(branches[[#This Row],[Дата]]),"Январь","Февраль","Март","Апрель","Май","Июнь","Июль","Август","Сентябрь","Октябрь","Ноябрь","Декабрь")&amp;" "&amp;YEAR(branches[[#This Row],[Дата]])</f>
        <v>Июнь 2025</v>
      </c>
      <c r="E826" t="s">
        <v>24</v>
      </c>
      <c r="F826" t="s">
        <v>17</v>
      </c>
      <c r="G826">
        <v>1</v>
      </c>
      <c r="H826">
        <v>409</v>
      </c>
      <c r="I826" t="s">
        <v>10</v>
      </c>
      <c r="J826" t="str">
        <f>_xlfn.XLOOKUP(branches[[#This Row],[Филиал]], tbl_Filialy[Филиал], tbl_Filialy[Менеджер])</f>
        <v>Алия Гайнутдинова</v>
      </c>
    </row>
    <row r="827" spans="1:10" x14ac:dyDescent="0.3">
      <c r="A827" t="str">
        <f>_xlfn.XLOOKUP(branches[[#This Row],[Филиал]], tbl_Filialy[Филиал], tbl_Filialy[Город])</f>
        <v>Казань</v>
      </c>
      <c r="B827" s="1" t="s">
        <v>30</v>
      </c>
      <c r="C827" s="2">
        <v>45986</v>
      </c>
      <c r="D827" s="2" t="str">
        <f>CHOOSE(MONTH(branches[[#This Row],[Дата]]),"Январь","Февраль","Март","Апрель","Май","Июнь","Июль","Август","Сентябрь","Октябрь","Ноябрь","Декабрь")&amp;" "&amp;YEAR(branches[[#This Row],[Дата]])</f>
        <v>Ноябрь 2025</v>
      </c>
      <c r="E827" t="s">
        <v>24</v>
      </c>
      <c r="F827" t="s">
        <v>17</v>
      </c>
      <c r="G827">
        <v>2</v>
      </c>
      <c r="H827">
        <v>702</v>
      </c>
      <c r="I827" t="s">
        <v>21</v>
      </c>
      <c r="J827" t="str">
        <f>_xlfn.XLOOKUP(branches[[#This Row],[Филиал]], tbl_Filialy[Филиал], tbl_Filialy[Менеджер])</f>
        <v>Алия Гайнутдинова</v>
      </c>
    </row>
    <row r="828" spans="1:10" x14ac:dyDescent="0.3">
      <c r="A828" t="str">
        <f>_xlfn.XLOOKUP(branches[[#This Row],[Филиал]], tbl_Filialy[Филиал], tbl_Filialy[Город])</f>
        <v>Казань</v>
      </c>
      <c r="B828" s="1" t="s">
        <v>30</v>
      </c>
      <c r="C828" s="2">
        <v>45788</v>
      </c>
      <c r="D828" s="2" t="str">
        <f>CHOOSE(MONTH(branches[[#This Row],[Дата]]),"Январь","Февраль","Март","Апрель","Май","Июнь","Июль","Август","Сентябрь","Октябрь","Ноябрь","Декабрь")&amp;" "&amp;YEAR(branches[[#This Row],[Дата]])</f>
        <v>Май 2025</v>
      </c>
      <c r="E828" t="s">
        <v>26</v>
      </c>
      <c r="F828" t="s">
        <v>9</v>
      </c>
      <c r="G828">
        <v>3</v>
      </c>
      <c r="H828">
        <v>639</v>
      </c>
      <c r="I828" t="s">
        <v>13</v>
      </c>
      <c r="J828" t="str">
        <f>_xlfn.XLOOKUP(branches[[#This Row],[Филиал]], tbl_Filialy[Филиал], tbl_Filialy[Менеджер])</f>
        <v>Алия Гайнутдинова</v>
      </c>
    </row>
    <row r="829" spans="1:10" x14ac:dyDescent="0.3">
      <c r="A829" t="str">
        <f>_xlfn.XLOOKUP(branches[[#This Row],[Филиал]], tbl_Filialy[Филиал], tbl_Filialy[Город])</f>
        <v>Казань</v>
      </c>
      <c r="B829" s="1" t="s">
        <v>30</v>
      </c>
      <c r="C829" s="2">
        <v>45836</v>
      </c>
      <c r="D829" s="2" t="str">
        <f>CHOOSE(MONTH(branches[[#This Row],[Дата]]),"Январь","Февраль","Март","Апрель","Май","Июнь","Июль","Август","Сентябрь","Октябрь","Ноябрь","Декабрь")&amp;" "&amp;YEAR(branches[[#This Row],[Дата]])</f>
        <v>Июнь 2025</v>
      </c>
      <c r="E829" t="s">
        <v>11</v>
      </c>
      <c r="F829" t="s">
        <v>12</v>
      </c>
      <c r="G829">
        <v>2</v>
      </c>
      <c r="H829">
        <v>374</v>
      </c>
      <c r="I829" t="s">
        <v>10</v>
      </c>
      <c r="J829" t="str">
        <f>_xlfn.XLOOKUP(branches[[#This Row],[Филиал]], tbl_Filialy[Филиал], tbl_Filialy[Менеджер])</f>
        <v>Алия Гайнутдинова</v>
      </c>
    </row>
    <row r="830" spans="1:10" x14ac:dyDescent="0.3">
      <c r="A830" t="str">
        <f>_xlfn.XLOOKUP(branches[[#This Row],[Филиал]], tbl_Filialy[Филиал], tbl_Filialy[Город])</f>
        <v>Казань</v>
      </c>
      <c r="B830" s="1" t="s">
        <v>30</v>
      </c>
      <c r="C830" s="2">
        <v>45675</v>
      </c>
      <c r="D830" s="2" t="str">
        <f>CHOOSE(MONTH(branches[[#This Row],[Дата]]),"Январь","Февраль","Март","Апрель","Май","Июнь","Июль","Август","Сентябрь","Октябрь","Ноябрь","Декабрь")&amp;" "&amp;YEAR(branches[[#This Row],[Дата]])</f>
        <v>Январь 2025</v>
      </c>
      <c r="E830" t="s">
        <v>18</v>
      </c>
      <c r="F830" t="s">
        <v>12</v>
      </c>
      <c r="G830">
        <v>2</v>
      </c>
      <c r="H830">
        <v>270</v>
      </c>
      <c r="I830" t="s">
        <v>21</v>
      </c>
      <c r="J830" t="str">
        <f>_xlfn.XLOOKUP(branches[[#This Row],[Филиал]], tbl_Filialy[Филиал], tbl_Filialy[Менеджер])</f>
        <v>Алия Гайнутдинова</v>
      </c>
    </row>
    <row r="831" spans="1:10" x14ac:dyDescent="0.3">
      <c r="A831" t="str">
        <f>_xlfn.XLOOKUP(branches[[#This Row],[Филиал]], tbl_Filialy[Филиал], tbl_Filialy[Город])</f>
        <v>Казань</v>
      </c>
      <c r="B831" s="1" t="s">
        <v>30</v>
      </c>
      <c r="C831" s="2">
        <v>45860</v>
      </c>
      <c r="D831" s="2" t="str">
        <f>CHOOSE(MONTH(branches[[#This Row],[Дата]]),"Январь","Февраль","Март","Апрель","Май","Июнь","Июль","Август","Сентябрь","Октябрь","Ноябрь","Декабрь")&amp;" "&amp;YEAR(branches[[#This Row],[Дата]])</f>
        <v>Июль 2025</v>
      </c>
      <c r="E831" t="s">
        <v>8</v>
      </c>
      <c r="F831" t="s">
        <v>9</v>
      </c>
      <c r="G831">
        <v>1</v>
      </c>
      <c r="H831">
        <v>247</v>
      </c>
      <c r="I831" t="s">
        <v>19</v>
      </c>
      <c r="J831" t="str">
        <f>_xlfn.XLOOKUP(branches[[#This Row],[Филиал]], tbl_Filialy[Филиал], tbl_Filialy[Менеджер])</f>
        <v>Алия Гайнутдинова</v>
      </c>
    </row>
    <row r="832" spans="1:10" x14ac:dyDescent="0.3">
      <c r="A832" t="str">
        <f>_xlfn.XLOOKUP(branches[[#This Row],[Филиал]], tbl_Filialy[Филиал], tbl_Filialy[Город])</f>
        <v>Казань</v>
      </c>
      <c r="B832" s="1" t="s">
        <v>30</v>
      </c>
      <c r="C832" s="2">
        <v>45741</v>
      </c>
      <c r="D832" s="2" t="str">
        <f>CHOOSE(MONTH(branches[[#This Row],[Дата]]),"Январь","Февраль","Март","Апрель","Май","Июнь","Июль","Август","Сентябрь","Октябрь","Ноябрь","Декабрь")&amp;" "&amp;YEAR(branches[[#This Row],[Дата]])</f>
        <v>Март 2025</v>
      </c>
      <c r="E832" t="s">
        <v>25</v>
      </c>
      <c r="F832" t="s">
        <v>12</v>
      </c>
      <c r="G832">
        <v>2</v>
      </c>
      <c r="H832">
        <v>482</v>
      </c>
      <c r="I832" t="s">
        <v>23</v>
      </c>
      <c r="J832" t="str">
        <f>_xlfn.XLOOKUP(branches[[#This Row],[Филиал]], tbl_Filialy[Филиал], tbl_Filialy[Менеджер])</f>
        <v>Алия Гайнутдинова</v>
      </c>
    </row>
    <row r="833" spans="1:10" x14ac:dyDescent="0.3">
      <c r="A833" t="str">
        <f>_xlfn.XLOOKUP(branches[[#This Row],[Филиал]], tbl_Filialy[Филиал], tbl_Filialy[Город])</f>
        <v>Казань</v>
      </c>
      <c r="B833" s="1" t="s">
        <v>30</v>
      </c>
      <c r="C833" s="2">
        <v>45915</v>
      </c>
      <c r="D833" s="2" t="str">
        <f>CHOOSE(MONTH(branches[[#This Row],[Дата]]),"Январь","Февраль","Март","Апрель","Май","Июнь","Июль","Август","Сентябрь","Октябрь","Ноябрь","Декабрь")&amp;" "&amp;YEAR(branches[[#This Row],[Дата]])</f>
        <v>Сентябрь 2025</v>
      </c>
      <c r="E833" t="s">
        <v>28</v>
      </c>
      <c r="F833" t="s">
        <v>12</v>
      </c>
      <c r="G833">
        <v>3</v>
      </c>
      <c r="H833">
        <v>726</v>
      </c>
      <c r="I833" t="s">
        <v>21</v>
      </c>
      <c r="J833" t="str">
        <f>_xlfn.XLOOKUP(branches[[#This Row],[Филиал]], tbl_Filialy[Филиал], tbl_Filialy[Менеджер])</f>
        <v>Алия Гайнутдинова</v>
      </c>
    </row>
    <row r="834" spans="1:10" x14ac:dyDescent="0.3">
      <c r="A834" t="str">
        <f>_xlfn.XLOOKUP(branches[[#This Row],[Филиал]], tbl_Filialy[Филиал], tbl_Filialy[Город])</f>
        <v>Казань</v>
      </c>
      <c r="B834" s="1" t="s">
        <v>30</v>
      </c>
      <c r="C834" s="2">
        <v>45999</v>
      </c>
      <c r="D834" s="2" t="str">
        <f>CHOOSE(MONTH(branches[[#This Row],[Дата]]),"Январь","Февраль","Март","Апрель","Май","Июнь","Июль","Август","Сентябрь","Октябрь","Ноябрь","Декабрь")&amp;" "&amp;YEAR(branches[[#This Row],[Дата]])</f>
        <v>Декабрь 2025</v>
      </c>
      <c r="E834" t="s">
        <v>26</v>
      </c>
      <c r="F834" t="s">
        <v>9</v>
      </c>
      <c r="G834">
        <v>1</v>
      </c>
      <c r="H834">
        <v>232</v>
      </c>
      <c r="I834" t="s">
        <v>13</v>
      </c>
      <c r="J834" t="str">
        <f>_xlfn.XLOOKUP(branches[[#This Row],[Филиал]], tbl_Filialy[Филиал], tbl_Filialy[Менеджер])</f>
        <v>Алия Гайнутдинова</v>
      </c>
    </row>
    <row r="835" spans="1:10" x14ac:dyDescent="0.3">
      <c r="A835" t="str">
        <f>_xlfn.XLOOKUP(branches[[#This Row],[Филиал]], tbl_Filialy[Филиал], tbl_Filialy[Город])</f>
        <v>Казань</v>
      </c>
      <c r="B835" s="1" t="s">
        <v>30</v>
      </c>
      <c r="C835" s="2">
        <v>45864</v>
      </c>
      <c r="D835" s="2" t="str">
        <f>CHOOSE(MONTH(branches[[#This Row],[Дата]]),"Январь","Февраль","Март","Апрель","Май","Июнь","Июль","Август","Сентябрь","Октябрь","Ноябрь","Декабрь")&amp;" "&amp;YEAR(branches[[#This Row],[Дата]])</f>
        <v>Июль 2025</v>
      </c>
      <c r="E835" t="s">
        <v>25</v>
      </c>
      <c r="F835" t="s">
        <v>12</v>
      </c>
      <c r="G835">
        <v>1</v>
      </c>
      <c r="H835">
        <v>217</v>
      </c>
      <c r="I835" t="s">
        <v>23</v>
      </c>
      <c r="J835" t="str">
        <f>_xlfn.XLOOKUP(branches[[#This Row],[Филиал]], tbl_Filialy[Филиал], tbl_Filialy[Менеджер])</f>
        <v>Алия Гайнутдинова</v>
      </c>
    </row>
    <row r="836" spans="1:10" x14ac:dyDescent="0.3">
      <c r="A836" t="str">
        <f>_xlfn.XLOOKUP(branches[[#This Row],[Филиал]], tbl_Filialy[Филиал], tbl_Filialy[Город])</f>
        <v>Казань</v>
      </c>
      <c r="B836" s="1" t="s">
        <v>30</v>
      </c>
      <c r="C836" s="2">
        <v>45859</v>
      </c>
      <c r="D836" s="2" t="str">
        <f>CHOOSE(MONTH(branches[[#This Row],[Дата]]),"Январь","Февраль","Март","Апрель","Май","Июнь","Июль","Август","Сентябрь","Октябрь","Ноябрь","Декабрь")&amp;" "&amp;YEAR(branches[[#This Row],[Дата]])</f>
        <v>Июль 2025</v>
      </c>
      <c r="E836" t="s">
        <v>25</v>
      </c>
      <c r="F836" t="s">
        <v>12</v>
      </c>
      <c r="G836">
        <v>1</v>
      </c>
      <c r="H836">
        <v>213</v>
      </c>
      <c r="I836" t="s">
        <v>21</v>
      </c>
      <c r="J836" t="str">
        <f>_xlfn.XLOOKUP(branches[[#This Row],[Филиал]], tbl_Filialy[Филиал], tbl_Filialy[Менеджер])</f>
        <v>Алия Гайнутдинова</v>
      </c>
    </row>
    <row r="837" spans="1:10" x14ac:dyDescent="0.3">
      <c r="A837" t="str">
        <f>_xlfn.XLOOKUP(branches[[#This Row],[Филиал]], tbl_Filialy[Филиал], tbl_Filialy[Город])</f>
        <v>Казань</v>
      </c>
      <c r="B837" s="1" t="s">
        <v>30</v>
      </c>
      <c r="C837" s="2">
        <v>45749</v>
      </c>
      <c r="D837" s="2" t="str">
        <f>CHOOSE(MONTH(branches[[#This Row],[Дата]]),"Январь","Февраль","Март","Апрель","Май","Июнь","Июль","Август","Сентябрь","Октябрь","Ноябрь","Декабрь")&amp;" "&amp;YEAR(branches[[#This Row],[Дата]])</f>
        <v>Апрель 2025</v>
      </c>
      <c r="E837" t="s">
        <v>8</v>
      </c>
      <c r="F837" t="s">
        <v>9</v>
      </c>
      <c r="G837">
        <v>3</v>
      </c>
      <c r="H837">
        <v>729</v>
      </c>
      <c r="I837" t="s">
        <v>23</v>
      </c>
      <c r="J837" t="str">
        <f>_xlfn.XLOOKUP(branches[[#This Row],[Филиал]], tbl_Filialy[Филиал], tbl_Filialy[Менеджер])</f>
        <v>Алия Гайнутдинова</v>
      </c>
    </row>
    <row r="838" spans="1:10" x14ac:dyDescent="0.3">
      <c r="A838" t="str">
        <f>_xlfn.XLOOKUP(branches[[#This Row],[Филиал]], tbl_Filialy[Филиал], tbl_Filialy[Город])</f>
        <v>Казань</v>
      </c>
      <c r="B838" s="1" t="s">
        <v>30</v>
      </c>
      <c r="C838" s="2">
        <v>45713</v>
      </c>
      <c r="D838" s="2" t="str">
        <f>CHOOSE(MONTH(branches[[#This Row],[Дата]]),"Январь","Февраль","Март","Апрель","Май","Июнь","Июль","Август","Сентябрь","Октябрь","Ноябрь","Декабрь")&amp;" "&amp;YEAR(branches[[#This Row],[Дата]])</f>
        <v>Февраль 2025</v>
      </c>
      <c r="E838" t="s">
        <v>14</v>
      </c>
      <c r="F838" t="s">
        <v>12</v>
      </c>
      <c r="G838">
        <v>2</v>
      </c>
      <c r="H838">
        <v>554</v>
      </c>
      <c r="I838" t="s">
        <v>19</v>
      </c>
      <c r="J838" t="str">
        <f>_xlfn.XLOOKUP(branches[[#This Row],[Филиал]], tbl_Filialy[Филиал], tbl_Filialy[Менеджер])</f>
        <v>Алия Гайнутдинова</v>
      </c>
    </row>
    <row r="839" spans="1:10" x14ac:dyDescent="0.3">
      <c r="A839" t="str">
        <f>_xlfn.XLOOKUP(branches[[#This Row],[Филиал]], tbl_Filialy[Филиал], tbl_Filialy[Город])</f>
        <v>Казань</v>
      </c>
      <c r="B839" s="1" t="s">
        <v>30</v>
      </c>
      <c r="C839" s="2">
        <v>45860</v>
      </c>
      <c r="D839" s="2" t="str">
        <f>CHOOSE(MONTH(branches[[#This Row],[Дата]]),"Январь","Февраль","Март","Апрель","Май","Июнь","Июль","Август","Сентябрь","Октябрь","Ноябрь","Декабрь")&amp;" "&amp;YEAR(branches[[#This Row],[Дата]])</f>
        <v>Июль 2025</v>
      </c>
      <c r="E839" t="s">
        <v>8</v>
      </c>
      <c r="F839" t="s">
        <v>9</v>
      </c>
      <c r="G839">
        <v>2</v>
      </c>
      <c r="H839">
        <v>500</v>
      </c>
      <c r="I839" t="s">
        <v>21</v>
      </c>
      <c r="J839" t="str">
        <f>_xlfn.XLOOKUP(branches[[#This Row],[Филиал]], tbl_Filialy[Филиал], tbl_Filialy[Менеджер])</f>
        <v>Алия Гайнутдинова</v>
      </c>
    </row>
    <row r="840" spans="1:10" x14ac:dyDescent="0.3">
      <c r="A840" t="str">
        <f>_xlfn.XLOOKUP(branches[[#This Row],[Филиал]], tbl_Filialy[Филиал], tbl_Filialy[Город])</f>
        <v>Казань</v>
      </c>
      <c r="B840" s="1" t="s">
        <v>30</v>
      </c>
      <c r="C840" s="2">
        <v>45675</v>
      </c>
      <c r="D840" s="2" t="str">
        <f>CHOOSE(MONTH(branches[[#This Row],[Дата]]),"Январь","Февраль","Март","Апрель","Май","Июнь","Июль","Август","Сентябрь","Октябрь","Ноябрь","Декабрь")&amp;" "&amp;YEAR(branches[[#This Row],[Дата]])</f>
        <v>Январь 2025</v>
      </c>
      <c r="E840" t="s">
        <v>18</v>
      </c>
      <c r="F840" t="s">
        <v>12</v>
      </c>
      <c r="G840">
        <v>2</v>
      </c>
      <c r="H840">
        <v>284</v>
      </c>
      <c r="I840" t="s">
        <v>10</v>
      </c>
      <c r="J840" t="str">
        <f>_xlfn.XLOOKUP(branches[[#This Row],[Филиал]], tbl_Filialy[Филиал], tbl_Filialy[Менеджер])</f>
        <v>Алия Гайнутдинова</v>
      </c>
    </row>
    <row r="841" spans="1:10" x14ac:dyDescent="0.3">
      <c r="A841" t="str">
        <f>_xlfn.XLOOKUP(branches[[#This Row],[Филиал]], tbl_Filialy[Филиал], tbl_Filialy[Город])</f>
        <v>Казань</v>
      </c>
      <c r="B841" s="1" t="s">
        <v>30</v>
      </c>
      <c r="C841" s="2">
        <v>46017</v>
      </c>
      <c r="D841" s="2" t="str">
        <f>CHOOSE(MONTH(branches[[#This Row],[Дата]]),"Январь","Февраль","Март","Апрель","Май","Июнь","Июль","Август","Сентябрь","Октябрь","Ноябрь","Декабрь")&amp;" "&amp;YEAR(branches[[#This Row],[Дата]])</f>
        <v>Декабрь 2025</v>
      </c>
      <c r="E841" t="s">
        <v>20</v>
      </c>
      <c r="F841" t="s">
        <v>12</v>
      </c>
      <c r="G841">
        <v>3</v>
      </c>
      <c r="H841">
        <v>759</v>
      </c>
      <c r="I841" t="s">
        <v>21</v>
      </c>
      <c r="J841" t="str">
        <f>_xlfn.XLOOKUP(branches[[#This Row],[Филиал]], tbl_Filialy[Филиал], tbl_Filialy[Менеджер])</f>
        <v>Алия Гайнутдинова</v>
      </c>
    </row>
    <row r="842" spans="1:10" x14ac:dyDescent="0.3">
      <c r="A842" t="str">
        <f>_xlfn.XLOOKUP(branches[[#This Row],[Филиал]], tbl_Filialy[Филиал], tbl_Filialy[Город])</f>
        <v>Казань</v>
      </c>
      <c r="B842" s="1" t="s">
        <v>30</v>
      </c>
      <c r="C842" s="2">
        <v>45661</v>
      </c>
      <c r="D842" s="2" t="str">
        <f>CHOOSE(MONTH(branches[[#This Row],[Дата]]),"Январь","Февраль","Март","Апрель","Май","Июнь","Июль","Август","Сентябрь","Октябрь","Ноябрь","Декабрь")&amp;" "&amp;YEAR(branches[[#This Row],[Дата]])</f>
        <v>Январь 2025</v>
      </c>
      <c r="E842" t="s">
        <v>20</v>
      </c>
      <c r="F842" t="s">
        <v>12</v>
      </c>
      <c r="G842">
        <v>2</v>
      </c>
      <c r="H842">
        <v>500</v>
      </c>
      <c r="I842" t="s">
        <v>19</v>
      </c>
      <c r="J842" t="str">
        <f>_xlfn.XLOOKUP(branches[[#This Row],[Филиал]], tbl_Filialy[Филиал], tbl_Filialy[Менеджер])</f>
        <v>Алия Гайнутдинова</v>
      </c>
    </row>
    <row r="843" spans="1:10" x14ac:dyDescent="0.3">
      <c r="A843" t="str">
        <f>_xlfn.XLOOKUP(branches[[#This Row],[Филиал]], tbl_Filialy[Филиал], tbl_Filialy[Город])</f>
        <v>Казань</v>
      </c>
      <c r="B843" s="1" t="s">
        <v>30</v>
      </c>
      <c r="C843" s="2">
        <v>45895</v>
      </c>
      <c r="D843" s="2" t="str">
        <f>CHOOSE(MONTH(branches[[#This Row],[Дата]]),"Январь","Февраль","Март","Апрель","Май","Июнь","Июль","Август","Сентябрь","Октябрь","Ноябрь","Декабрь")&amp;" "&amp;YEAR(branches[[#This Row],[Дата]])</f>
        <v>Август 2025</v>
      </c>
      <c r="E843" t="s">
        <v>26</v>
      </c>
      <c r="F843" t="s">
        <v>9</v>
      </c>
      <c r="G843">
        <v>3</v>
      </c>
      <c r="H843">
        <v>633</v>
      </c>
      <c r="I843" t="s">
        <v>10</v>
      </c>
      <c r="J843" t="str">
        <f>_xlfn.XLOOKUP(branches[[#This Row],[Филиал]], tbl_Filialy[Филиал], tbl_Filialy[Менеджер])</f>
        <v>Алия Гайнутдинова</v>
      </c>
    </row>
    <row r="844" spans="1:10" x14ac:dyDescent="0.3">
      <c r="A844" t="str">
        <f>_xlfn.XLOOKUP(branches[[#This Row],[Филиал]], tbl_Filialy[Филиал], tbl_Filialy[Город])</f>
        <v>Казань</v>
      </c>
      <c r="B844" s="1" t="s">
        <v>30</v>
      </c>
      <c r="C844" s="2">
        <v>45770</v>
      </c>
      <c r="D844" s="2" t="str">
        <f>CHOOSE(MONTH(branches[[#This Row],[Дата]]),"Январь","Февраль","Март","Апрель","Май","Июнь","Июль","Август","Сентябрь","Октябрь","Ноябрь","Декабрь")&amp;" "&amp;YEAR(branches[[#This Row],[Дата]])</f>
        <v>Апрель 2025</v>
      </c>
      <c r="E844" t="s">
        <v>16</v>
      </c>
      <c r="F844" t="s">
        <v>17</v>
      </c>
      <c r="G844">
        <v>1</v>
      </c>
      <c r="H844">
        <v>329</v>
      </c>
      <c r="I844" t="s">
        <v>10</v>
      </c>
      <c r="J844" t="str">
        <f>_xlfn.XLOOKUP(branches[[#This Row],[Филиал]], tbl_Filialy[Филиал], tbl_Filialy[Менеджер])</f>
        <v>Алия Гайнутдинова</v>
      </c>
    </row>
    <row r="845" spans="1:10" x14ac:dyDescent="0.3">
      <c r="A845" t="str">
        <f>_xlfn.XLOOKUP(branches[[#This Row],[Филиал]], tbl_Filialy[Филиал], tbl_Filialy[Город])</f>
        <v>Казань</v>
      </c>
      <c r="B845" s="1" t="s">
        <v>30</v>
      </c>
      <c r="C845" s="2">
        <v>45889</v>
      </c>
      <c r="D845" s="2" t="str">
        <f>CHOOSE(MONTH(branches[[#This Row],[Дата]]),"Январь","Февраль","Март","Апрель","Май","Июнь","Июль","Август","Сентябрь","Октябрь","Ноябрь","Декабрь")&amp;" "&amp;YEAR(branches[[#This Row],[Дата]])</f>
        <v>Август 2025</v>
      </c>
      <c r="E845" t="s">
        <v>27</v>
      </c>
      <c r="F845" t="s">
        <v>12</v>
      </c>
      <c r="G845">
        <v>1</v>
      </c>
      <c r="H845">
        <v>212</v>
      </c>
      <c r="I845" t="s">
        <v>15</v>
      </c>
      <c r="J845" t="str">
        <f>_xlfn.XLOOKUP(branches[[#This Row],[Филиал]], tbl_Filialy[Филиал], tbl_Filialy[Менеджер])</f>
        <v>Алия Гайнутдинова</v>
      </c>
    </row>
    <row r="846" spans="1:10" x14ac:dyDescent="0.3">
      <c r="A846" t="str">
        <f>_xlfn.XLOOKUP(branches[[#This Row],[Филиал]], tbl_Filialy[Филиал], tbl_Filialy[Город])</f>
        <v>Казань</v>
      </c>
      <c r="B846" s="1" t="s">
        <v>30</v>
      </c>
      <c r="C846" s="2">
        <v>45830</v>
      </c>
      <c r="D846" s="2" t="str">
        <f>CHOOSE(MONTH(branches[[#This Row],[Дата]]),"Январь","Февраль","Март","Апрель","Май","Июнь","Июль","Август","Сентябрь","Октябрь","Ноябрь","Декабрь")&amp;" "&amp;YEAR(branches[[#This Row],[Дата]])</f>
        <v>Июнь 2025</v>
      </c>
      <c r="E846" t="s">
        <v>22</v>
      </c>
      <c r="F846" t="s">
        <v>9</v>
      </c>
      <c r="G846">
        <v>1</v>
      </c>
      <c r="H846">
        <v>196</v>
      </c>
      <c r="I846" t="s">
        <v>15</v>
      </c>
      <c r="J846" t="str">
        <f>_xlfn.XLOOKUP(branches[[#This Row],[Филиал]], tbl_Filialy[Филиал], tbl_Filialy[Менеджер])</f>
        <v>Алия Гайнутдинова</v>
      </c>
    </row>
    <row r="847" spans="1:10" x14ac:dyDescent="0.3">
      <c r="A847" t="str">
        <f>_xlfn.XLOOKUP(branches[[#This Row],[Филиал]], tbl_Filialy[Филиал], tbl_Filialy[Город])</f>
        <v>Казань</v>
      </c>
      <c r="B847" s="1" t="s">
        <v>30</v>
      </c>
      <c r="C847" s="2">
        <v>45902</v>
      </c>
      <c r="D847" s="2" t="str">
        <f>CHOOSE(MONTH(branches[[#This Row],[Дата]]),"Январь","Февраль","Март","Апрель","Май","Июнь","Июль","Август","Сентябрь","Октябрь","Ноябрь","Декабрь")&amp;" "&amp;YEAR(branches[[#This Row],[Дата]])</f>
        <v>Сентябрь 2025</v>
      </c>
      <c r="E847" t="s">
        <v>27</v>
      </c>
      <c r="F847" t="s">
        <v>12</v>
      </c>
      <c r="G847">
        <v>1</v>
      </c>
      <c r="H847">
        <v>189</v>
      </c>
      <c r="I847" t="s">
        <v>21</v>
      </c>
      <c r="J847" t="str">
        <f>_xlfn.XLOOKUP(branches[[#This Row],[Филиал]], tbl_Filialy[Филиал], tbl_Filialy[Менеджер])</f>
        <v>Алия Гайнутдинова</v>
      </c>
    </row>
    <row r="848" spans="1:10" x14ac:dyDescent="0.3">
      <c r="A848" t="str">
        <f>_xlfn.XLOOKUP(branches[[#This Row],[Филиал]], tbl_Filialy[Филиал], tbl_Filialy[Город])</f>
        <v>Казань</v>
      </c>
      <c r="B848" s="1" t="s">
        <v>30</v>
      </c>
      <c r="C848" s="2">
        <v>45952</v>
      </c>
      <c r="D848" s="2" t="str">
        <f>CHOOSE(MONTH(branches[[#This Row],[Дата]]),"Январь","Февраль","Март","Апрель","Май","Июнь","Июль","Август","Сентябрь","Октябрь","Ноябрь","Декабрь")&amp;" "&amp;YEAR(branches[[#This Row],[Дата]])</f>
        <v>Октябрь 2025</v>
      </c>
      <c r="E848" t="s">
        <v>20</v>
      </c>
      <c r="F848" t="s">
        <v>12</v>
      </c>
      <c r="G848">
        <v>1</v>
      </c>
      <c r="H848">
        <v>290</v>
      </c>
      <c r="I848" t="s">
        <v>21</v>
      </c>
      <c r="J848" t="str">
        <f>_xlfn.XLOOKUP(branches[[#This Row],[Филиал]], tbl_Filialy[Филиал], tbl_Filialy[Менеджер])</f>
        <v>Алия Гайнутдинова</v>
      </c>
    </row>
    <row r="849" spans="1:10" x14ac:dyDescent="0.3">
      <c r="A849" t="str">
        <f>_xlfn.XLOOKUP(branches[[#This Row],[Филиал]], tbl_Filialy[Филиал], tbl_Filialy[Город])</f>
        <v>Казань</v>
      </c>
      <c r="B849" s="1" t="s">
        <v>30</v>
      </c>
      <c r="C849" s="2">
        <v>45796</v>
      </c>
      <c r="D849" s="2" t="str">
        <f>CHOOSE(MONTH(branches[[#This Row],[Дата]]),"Январь","Февраль","Март","Апрель","Май","Июнь","Июль","Август","Сентябрь","Октябрь","Ноябрь","Декабрь")&amp;" "&amp;YEAR(branches[[#This Row],[Дата]])</f>
        <v>Май 2025</v>
      </c>
      <c r="E849" t="s">
        <v>27</v>
      </c>
      <c r="F849" t="s">
        <v>12</v>
      </c>
      <c r="G849">
        <v>1</v>
      </c>
      <c r="H849">
        <v>233</v>
      </c>
      <c r="I849" t="s">
        <v>10</v>
      </c>
      <c r="J849" t="str">
        <f>_xlfn.XLOOKUP(branches[[#This Row],[Филиал]], tbl_Filialy[Филиал], tbl_Filialy[Менеджер])</f>
        <v>Алия Гайнутдинова</v>
      </c>
    </row>
    <row r="850" spans="1:10" x14ac:dyDescent="0.3">
      <c r="A850" t="str">
        <f>_xlfn.XLOOKUP(branches[[#This Row],[Филиал]], tbl_Filialy[Филиал], tbl_Filialy[Город])</f>
        <v>Казань</v>
      </c>
      <c r="B850" s="1" t="s">
        <v>30</v>
      </c>
      <c r="C850" s="2">
        <v>45718</v>
      </c>
      <c r="D850" s="2" t="str">
        <f>CHOOSE(MONTH(branches[[#This Row],[Дата]]),"Январь","Февраль","Март","Апрель","Май","Июнь","Июль","Август","Сентябрь","Октябрь","Ноябрь","Декабрь")&amp;" "&amp;YEAR(branches[[#This Row],[Дата]])</f>
        <v>Март 2025</v>
      </c>
      <c r="E850" t="s">
        <v>27</v>
      </c>
      <c r="F850" t="s">
        <v>12</v>
      </c>
      <c r="G850">
        <v>1</v>
      </c>
      <c r="H850">
        <v>201</v>
      </c>
      <c r="I850" t="s">
        <v>10</v>
      </c>
      <c r="J850" t="str">
        <f>_xlfn.XLOOKUP(branches[[#This Row],[Филиал]], tbl_Filialy[Филиал], tbl_Filialy[Менеджер])</f>
        <v>Алия Гайнутдинова</v>
      </c>
    </row>
    <row r="851" spans="1:10" x14ac:dyDescent="0.3">
      <c r="A851" t="str">
        <f>_xlfn.XLOOKUP(branches[[#This Row],[Филиал]], tbl_Filialy[Филиал], tbl_Filialy[Город])</f>
        <v>Казань</v>
      </c>
      <c r="B851" s="1" t="s">
        <v>30</v>
      </c>
      <c r="C851" s="2">
        <v>45754</v>
      </c>
      <c r="D851" s="2" t="str">
        <f>CHOOSE(MONTH(branches[[#This Row],[Дата]]),"Январь","Февраль","Март","Апрель","Май","Июнь","Июль","Август","Сентябрь","Октябрь","Ноябрь","Декабрь")&amp;" "&amp;YEAR(branches[[#This Row],[Дата]])</f>
        <v>Апрель 2025</v>
      </c>
      <c r="E851" t="s">
        <v>24</v>
      </c>
      <c r="F851" t="s">
        <v>17</v>
      </c>
      <c r="G851">
        <v>2</v>
      </c>
      <c r="H851">
        <v>848</v>
      </c>
      <c r="I851" t="s">
        <v>13</v>
      </c>
      <c r="J851" t="str">
        <f>_xlfn.XLOOKUP(branches[[#This Row],[Филиал]], tbl_Filialy[Филиал], tbl_Filialy[Менеджер])</f>
        <v>Алия Гайнутдинова</v>
      </c>
    </row>
    <row r="852" spans="1:10" x14ac:dyDescent="0.3">
      <c r="A852" t="str">
        <f>_xlfn.XLOOKUP(branches[[#This Row],[Филиал]], tbl_Filialy[Филиал], tbl_Filialy[Город])</f>
        <v>Казань</v>
      </c>
      <c r="B852" s="1" t="s">
        <v>30</v>
      </c>
      <c r="C852" s="2">
        <v>45752</v>
      </c>
      <c r="D852" s="2" t="str">
        <f>CHOOSE(MONTH(branches[[#This Row],[Дата]]),"Январь","Февраль","Март","Апрель","Май","Июнь","Июль","Август","Сентябрь","Октябрь","Ноябрь","Декабрь")&amp;" "&amp;YEAR(branches[[#This Row],[Дата]])</f>
        <v>Апрель 2025</v>
      </c>
      <c r="E852" t="s">
        <v>24</v>
      </c>
      <c r="F852" t="s">
        <v>17</v>
      </c>
      <c r="G852">
        <v>1</v>
      </c>
      <c r="H852">
        <v>398</v>
      </c>
      <c r="I852" t="s">
        <v>21</v>
      </c>
      <c r="J852" t="str">
        <f>_xlfn.XLOOKUP(branches[[#This Row],[Филиал]], tbl_Filialy[Филиал], tbl_Filialy[Менеджер])</f>
        <v>Алия Гайнутдинова</v>
      </c>
    </row>
    <row r="853" spans="1:10" x14ac:dyDescent="0.3">
      <c r="A853" t="str">
        <f>_xlfn.XLOOKUP(branches[[#This Row],[Филиал]], tbl_Filialy[Филиал], tbl_Filialy[Город])</f>
        <v>Казань</v>
      </c>
      <c r="B853" s="1" t="s">
        <v>30</v>
      </c>
      <c r="C853" s="2">
        <v>45985</v>
      </c>
      <c r="D853" s="2" t="str">
        <f>CHOOSE(MONTH(branches[[#This Row],[Дата]]),"Январь","Февраль","Март","Апрель","Май","Июнь","Июль","Август","Сентябрь","Октябрь","Ноябрь","Декабрь")&amp;" "&amp;YEAR(branches[[#This Row],[Дата]])</f>
        <v>Ноябрь 2025</v>
      </c>
      <c r="E853" t="s">
        <v>24</v>
      </c>
      <c r="F853" t="s">
        <v>17</v>
      </c>
      <c r="G853">
        <v>2</v>
      </c>
      <c r="H853">
        <v>802</v>
      </c>
      <c r="I853" t="s">
        <v>21</v>
      </c>
      <c r="J853" t="str">
        <f>_xlfn.XLOOKUP(branches[[#This Row],[Филиал]], tbl_Filialy[Филиал], tbl_Filialy[Менеджер])</f>
        <v>Алия Гайнутдинова</v>
      </c>
    </row>
    <row r="854" spans="1:10" x14ac:dyDescent="0.3">
      <c r="A854" t="str">
        <f>_xlfn.XLOOKUP(branches[[#This Row],[Филиал]], tbl_Filialy[Филиал], tbl_Filialy[Город])</f>
        <v>Казань</v>
      </c>
      <c r="B854" s="1" t="s">
        <v>30</v>
      </c>
      <c r="C854" s="2">
        <v>45874</v>
      </c>
      <c r="D854" s="2" t="str">
        <f>CHOOSE(MONTH(branches[[#This Row],[Дата]]),"Январь","Февраль","Март","Апрель","Май","Июнь","Июль","Август","Сентябрь","Октябрь","Ноябрь","Декабрь")&amp;" "&amp;YEAR(branches[[#This Row],[Дата]])</f>
        <v>Август 2025</v>
      </c>
      <c r="E854" t="s">
        <v>25</v>
      </c>
      <c r="F854" t="s">
        <v>12</v>
      </c>
      <c r="G854">
        <v>3</v>
      </c>
      <c r="H854">
        <v>654</v>
      </c>
      <c r="I854" t="s">
        <v>19</v>
      </c>
      <c r="J854" t="str">
        <f>_xlfn.XLOOKUP(branches[[#This Row],[Филиал]], tbl_Filialy[Филиал], tbl_Filialy[Менеджер])</f>
        <v>Алия Гайнутдинова</v>
      </c>
    </row>
    <row r="855" spans="1:10" x14ac:dyDescent="0.3">
      <c r="A855" t="str">
        <f>_xlfn.XLOOKUP(branches[[#This Row],[Филиал]], tbl_Filialy[Филиал], tbl_Filialy[Город])</f>
        <v>Казань</v>
      </c>
      <c r="B855" s="1" t="s">
        <v>30</v>
      </c>
      <c r="C855" s="2">
        <v>45933</v>
      </c>
      <c r="D855" s="2" t="str">
        <f>CHOOSE(MONTH(branches[[#This Row],[Дата]]),"Январь","Февраль","Март","Апрель","Май","Июнь","Июль","Август","Сентябрь","Октябрь","Ноябрь","Декабрь")&amp;" "&amp;YEAR(branches[[#This Row],[Дата]])</f>
        <v>Октябрь 2025</v>
      </c>
      <c r="E855" t="s">
        <v>8</v>
      </c>
      <c r="F855" t="s">
        <v>9</v>
      </c>
      <c r="G855">
        <v>1</v>
      </c>
      <c r="H855">
        <v>271</v>
      </c>
      <c r="I855" t="s">
        <v>10</v>
      </c>
      <c r="J855" t="str">
        <f>_xlfn.XLOOKUP(branches[[#This Row],[Филиал]], tbl_Filialy[Филиал], tbl_Filialy[Менеджер])</f>
        <v>Алия Гайнутдинова</v>
      </c>
    </row>
    <row r="856" spans="1:10" x14ac:dyDescent="0.3">
      <c r="A856" t="str">
        <f>_xlfn.XLOOKUP(branches[[#This Row],[Филиал]], tbl_Filialy[Филиал], tbl_Filialy[Город])</f>
        <v>Казань</v>
      </c>
      <c r="B856" s="1" t="s">
        <v>30</v>
      </c>
      <c r="C856" s="2">
        <v>45698</v>
      </c>
      <c r="D856" s="2" t="str">
        <f>CHOOSE(MONTH(branches[[#This Row],[Дата]]),"Январь","Февраль","Март","Апрель","Май","Июнь","Июль","Август","Сентябрь","Октябрь","Ноябрь","Декабрь")&amp;" "&amp;YEAR(branches[[#This Row],[Дата]])</f>
        <v>Февраль 2025</v>
      </c>
      <c r="E856" t="s">
        <v>25</v>
      </c>
      <c r="F856" t="s">
        <v>12</v>
      </c>
      <c r="G856">
        <v>1</v>
      </c>
      <c r="H856">
        <v>213</v>
      </c>
      <c r="I856" t="s">
        <v>21</v>
      </c>
      <c r="J856" t="str">
        <f>_xlfn.XLOOKUP(branches[[#This Row],[Филиал]], tbl_Filialy[Филиал], tbl_Filialy[Менеджер])</f>
        <v>Алия Гайнутдинова</v>
      </c>
    </row>
    <row r="857" spans="1:10" x14ac:dyDescent="0.3">
      <c r="A857" t="str">
        <f>_xlfn.XLOOKUP(branches[[#This Row],[Филиал]], tbl_Filialy[Филиал], tbl_Filialy[Город])</f>
        <v>Казань</v>
      </c>
      <c r="B857" s="1" t="s">
        <v>30</v>
      </c>
      <c r="C857" s="2">
        <v>45847</v>
      </c>
      <c r="D857" s="2" t="str">
        <f>CHOOSE(MONTH(branches[[#This Row],[Дата]]),"Январь","Февраль","Март","Апрель","Май","Июнь","Июль","Август","Сентябрь","Октябрь","Ноябрь","Декабрь")&amp;" "&amp;YEAR(branches[[#This Row],[Дата]])</f>
        <v>Июль 2025</v>
      </c>
      <c r="E857" t="s">
        <v>18</v>
      </c>
      <c r="F857" t="s">
        <v>12</v>
      </c>
      <c r="G857">
        <v>2</v>
      </c>
      <c r="H857">
        <v>290</v>
      </c>
      <c r="I857" t="s">
        <v>19</v>
      </c>
      <c r="J857" t="str">
        <f>_xlfn.XLOOKUP(branches[[#This Row],[Филиал]], tbl_Filialy[Филиал], tbl_Filialy[Менеджер])</f>
        <v>Алия Гайнутдинова</v>
      </c>
    </row>
    <row r="858" spans="1:10" x14ac:dyDescent="0.3">
      <c r="A858" t="str">
        <f>_xlfn.XLOOKUP(branches[[#This Row],[Филиал]], tbl_Filialy[Филиал], tbl_Filialy[Город])</f>
        <v>Казань</v>
      </c>
      <c r="B858" s="1" t="s">
        <v>30</v>
      </c>
      <c r="C858" s="2">
        <v>45694</v>
      </c>
      <c r="D858" s="2" t="str">
        <f>CHOOSE(MONTH(branches[[#This Row],[Дата]]),"Январь","Февраль","Март","Апрель","Май","Июнь","Июль","Август","Сентябрь","Октябрь","Ноябрь","Декабрь")&amp;" "&amp;YEAR(branches[[#This Row],[Дата]])</f>
        <v>Февраль 2025</v>
      </c>
      <c r="E858" t="s">
        <v>24</v>
      </c>
      <c r="F858" t="s">
        <v>17</v>
      </c>
      <c r="G858">
        <v>1</v>
      </c>
      <c r="H858">
        <v>412</v>
      </c>
      <c r="I858" t="s">
        <v>19</v>
      </c>
      <c r="J858" t="str">
        <f>_xlfn.XLOOKUP(branches[[#This Row],[Филиал]], tbl_Filialy[Филиал], tbl_Filialy[Менеджер])</f>
        <v>Алия Гайнутдинова</v>
      </c>
    </row>
    <row r="859" spans="1:10" x14ac:dyDescent="0.3">
      <c r="A859" t="str">
        <f>_xlfn.XLOOKUP(branches[[#This Row],[Филиал]], tbl_Filialy[Филиал], tbl_Filialy[Город])</f>
        <v>Казань</v>
      </c>
      <c r="B859" s="1" t="s">
        <v>30</v>
      </c>
      <c r="C859" s="2">
        <v>45953</v>
      </c>
      <c r="D859" s="2" t="str">
        <f>CHOOSE(MONTH(branches[[#This Row],[Дата]]),"Январь","Февраль","Март","Апрель","Май","Июнь","Июль","Август","Сентябрь","Октябрь","Ноябрь","Декабрь")&amp;" "&amp;YEAR(branches[[#This Row],[Дата]])</f>
        <v>Октябрь 2025</v>
      </c>
      <c r="E859" t="s">
        <v>26</v>
      </c>
      <c r="F859" t="s">
        <v>9</v>
      </c>
      <c r="G859">
        <v>1</v>
      </c>
      <c r="H859">
        <v>203</v>
      </c>
      <c r="I859" t="s">
        <v>13</v>
      </c>
      <c r="J859" t="str">
        <f>_xlfn.XLOOKUP(branches[[#This Row],[Филиал]], tbl_Filialy[Филиал], tbl_Filialy[Менеджер])</f>
        <v>Алия Гайнутдинова</v>
      </c>
    </row>
    <row r="860" spans="1:10" x14ac:dyDescent="0.3">
      <c r="A860" t="str">
        <f>_xlfn.XLOOKUP(branches[[#This Row],[Филиал]], tbl_Filialy[Филиал], tbl_Filialy[Город])</f>
        <v>Казань</v>
      </c>
      <c r="B860" s="1" t="s">
        <v>30</v>
      </c>
      <c r="C860" s="2">
        <v>45677</v>
      </c>
      <c r="D860" s="2" t="str">
        <f>CHOOSE(MONTH(branches[[#This Row],[Дата]]),"Январь","Февраль","Март","Апрель","Май","Июнь","Июль","Август","Сентябрь","Октябрь","Ноябрь","Декабрь")&amp;" "&amp;YEAR(branches[[#This Row],[Дата]])</f>
        <v>Январь 2025</v>
      </c>
      <c r="E860" t="s">
        <v>14</v>
      </c>
      <c r="F860" t="s">
        <v>12</v>
      </c>
      <c r="G860">
        <v>1</v>
      </c>
      <c r="H860">
        <v>230</v>
      </c>
      <c r="I860" t="s">
        <v>19</v>
      </c>
      <c r="J860" t="str">
        <f>_xlfn.XLOOKUP(branches[[#This Row],[Филиал]], tbl_Filialy[Филиал], tbl_Filialy[Менеджер])</f>
        <v>Алия Гайнутдинова</v>
      </c>
    </row>
    <row r="861" spans="1:10" x14ac:dyDescent="0.3">
      <c r="A861" t="str">
        <f>_xlfn.XLOOKUP(branches[[#This Row],[Филиал]], tbl_Filialy[Филиал], tbl_Filialy[Город])</f>
        <v>Казань</v>
      </c>
      <c r="B861" s="1" t="s">
        <v>30</v>
      </c>
      <c r="C861" s="2">
        <v>45854</v>
      </c>
      <c r="D861" s="2" t="str">
        <f>CHOOSE(MONTH(branches[[#This Row],[Дата]]),"Январь","Февраль","Март","Апрель","Май","Июнь","Июль","Август","Сентябрь","Октябрь","Ноябрь","Декабрь")&amp;" "&amp;YEAR(branches[[#This Row],[Дата]])</f>
        <v>Июль 2025</v>
      </c>
      <c r="E861" t="s">
        <v>14</v>
      </c>
      <c r="F861" t="s">
        <v>12</v>
      </c>
      <c r="G861">
        <v>1</v>
      </c>
      <c r="H861">
        <v>274</v>
      </c>
      <c r="I861" t="s">
        <v>19</v>
      </c>
      <c r="J861" t="str">
        <f>_xlfn.XLOOKUP(branches[[#This Row],[Филиал]], tbl_Filialy[Филиал], tbl_Filialy[Менеджер])</f>
        <v>Алия Гайнутдинова</v>
      </c>
    </row>
    <row r="862" spans="1:10" x14ac:dyDescent="0.3">
      <c r="A862" t="str">
        <f>_xlfn.XLOOKUP(branches[[#This Row],[Филиал]], tbl_Filialy[Филиал], tbl_Filialy[Город])</f>
        <v>Казань</v>
      </c>
      <c r="B862" s="1" t="s">
        <v>30</v>
      </c>
      <c r="C862" s="2">
        <v>45923</v>
      </c>
      <c r="D862" s="2" t="str">
        <f>CHOOSE(MONTH(branches[[#This Row],[Дата]]),"Январь","Февраль","Март","Апрель","Май","Июнь","Июль","Август","Сентябрь","Октябрь","Ноябрь","Декабрь")&amp;" "&amp;YEAR(branches[[#This Row],[Дата]])</f>
        <v>Сентябрь 2025</v>
      </c>
      <c r="E862" t="s">
        <v>26</v>
      </c>
      <c r="F862" t="s">
        <v>9</v>
      </c>
      <c r="G862">
        <v>2</v>
      </c>
      <c r="H862">
        <v>416</v>
      </c>
      <c r="I862" t="s">
        <v>13</v>
      </c>
      <c r="J862" t="str">
        <f>_xlfn.XLOOKUP(branches[[#This Row],[Филиал]], tbl_Filialy[Филиал], tbl_Filialy[Менеджер])</f>
        <v>Алия Гайнутдинова</v>
      </c>
    </row>
    <row r="863" spans="1:10" x14ac:dyDescent="0.3">
      <c r="A863" t="str">
        <f>_xlfn.XLOOKUP(branches[[#This Row],[Филиал]], tbl_Filialy[Филиал], tbl_Filialy[Город])</f>
        <v>Казань</v>
      </c>
      <c r="B863" s="1" t="s">
        <v>30</v>
      </c>
      <c r="C863" s="2">
        <v>46016</v>
      </c>
      <c r="D863" s="2" t="str">
        <f>CHOOSE(MONTH(branches[[#This Row],[Дата]]),"Январь","Февраль","Март","Апрель","Май","Июнь","Июль","Август","Сентябрь","Октябрь","Ноябрь","Декабрь")&amp;" "&amp;YEAR(branches[[#This Row],[Дата]])</f>
        <v>Декабрь 2025</v>
      </c>
      <c r="E863" t="s">
        <v>26</v>
      </c>
      <c r="F863" t="s">
        <v>9</v>
      </c>
      <c r="G863">
        <v>2</v>
      </c>
      <c r="H863">
        <v>426</v>
      </c>
      <c r="I863" t="s">
        <v>23</v>
      </c>
      <c r="J863" t="str">
        <f>_xlfn.XLOOKUP(branches[[#This Row],[Филиал]], tbl_Filialy[Филиал], tbl_Filialy[Менеджер])</f>
        <v>Алия Гайнутдинова</v>
      </c>
    </row>
    <row r="864" spans="1:10" x14ac:dyDescent="0.3">
      <c r="A864" t="str">
        <f>_xlfn.XLOOKUP(branches[[#This Row],[Филиал]], tbl_Filialy[Филиал], tbl_Filialy[Город])</f>
        <v>Казань</v>
      </c>
      <c r="B864" s="1" t="s">
        <v>30</v>
      </c>
      <c r="C864" s="2">
        <v>45890</v>
      </c>
      <c r="D864" s="2" t="str">
        <f>CHOOSE(MONTH(branches[[#This Row],[Дата]]),"Январь","Февраль","Март","Апрель","Май","Июнь","Июль","Август","Сентябрь","Октябрь","Ноябрь","Декабрь")&amp;" "&amp;YEAR(branches[[#This Row],[Дата]])</f>
        <v>Август 2025</v>
      </c>
      <c r="E864" t="s">
        <v>8</v>
      </c>
      <c r="F864" t="s">
        <v>9</v>
      </c>
      <c r="G864">
        <v>3</v>
      </c>
      <c r="H864">
        <v>777</v>
      </c>
      <c r="I864" t="s">
        <v>21</v>
      </c>
      <c r="J864" t="str">
        <f>_xlfn.XLOOKUP(branches[[#This Row],[Филиал]], tbl_Filialy[Филиал], tbl_Filialy[Менеджер])</f>
        <v>Алия Гайнутдинова</v>
      </c>
    </row>
    <row r="865" spans="1:10" x14ac:dyDescent="0.3">
      <c r="A865" t="str">
        <f>_xlfn.XLOOKUP(branches[[#This Row],[Филиал]], tbl_Filialy[Филиал], tbl_Filialy[Город])</f>
        <v>Казань</v>
      </c>
      <c r="B865" s="1" t="s">
        <v>30</v>
      </c>
      <c r="C865" s="2">
        <v>45787</v>
      </c>
      <c r="D865" s="2" t="str">
        <f>CHOOSE(MONTH(branches[[#This Row],[Дата]]),"Январь","Февраль","Март","Апрель","Май","Июнь","Июль","Август","Сентябрь","Октябрь","Ноябрь","Декабрь")&amp;" "&amp;YEAR(branches[[#This Row],[Дата]])</f>
        <v>Май 2025</v>
      </c>
      <c r="E865" t="s">
        <v>18</v>
      </c>
      <c r="F865" t="s">
        <v>12</v>
      </c>
      <c r="G865">
        <v>1</v>
      </c>
      <c r="H865">
        <v>144</v>
      </c>
      <c r="I865" t="s">
        <v>19</v>
      </c>
      <c r="J865" t="str">
        <f>_xlfn.XLOOKUP(branches[[#This Row],[Филиал]], tbl_Filialy[Филиал], tbl_Filialy[Менеджер])</f>
        <v>Алия Гайнутдинова</v>
      </c>
    </row>
    <row r="866" spans="1:10" x14ac:dyDescent="0.3">
      <c r="A866" t="str">
        <f>_xlfn.XLOOKUP(branches[[#This Row],[Филиал]], tbl_Filialy[Филиал], tbl_Filialy[Город])</f>
        <v>Казань</v>
      </c>
      <c r="B866" s="1" t="s">
        <v>30</v>
      </c>
      <c r="C866" s="2">
        <v>45995</v>
      </c>
      <c r="D866" s="2" t="str">
        <f>CHOOSE(MONTH(branches[[#This Row],[Дата]]),"Январь","Февраль","Март","Апрель","Май","Июнь","Июль","Август","Сентябрь","Октябрь","Ноябрь","Декабрь")&amp;" "&amp;YEAR(branches[[#This Row],[Дата]])</f>
        <v>Декабрь 2025</v>
      </c>
      <c r="E866" t="s">
        <v>8</v>
      </c>
      <c r="F866" t="s">
        <v>9</v>
      </c>
      <c r="G866">
        <v>2</v>
      </c>
      <c r="H866">
        <v>526</v>
      </c>
      <c r="I866" t="s">
        <v>21</v>
      </c>
      <c r="J866" t="str">
        <f>_xlfn.XLOOKUP(branches[[#This Row],[Филиал]], tbl_Filialy[Филиал], tbl_Filialy[Менеджер])</f>
        <v>Алия Гайнутдинова</v>
      </c>
    </row>
    <row r="867" spans="1:10" x14ac:dyDescent="0.3">
      <c r="A867" t="str">
        <f>_xlfn.XLOOKUP(branches[[#This Row],[Филиал]], tbl_Filialy[Филиал], tbl_Filialy[Город])</f>
        <v>Казань</v>
      </c>
      <c r="B867" s="1" t="s">
        <v>30</v>
      </c>
      <c r="C867" s="2">
        <v>45964</v>
      </c>
      <c r="D867" s="2" t="str">
        <f>CHOOSE(MONTH(branches[[#This Row],[Дата]]),"Январь","Февраль","Март","Апрель","Май","Июнь","Июль","Август","Сентябрь","Октябрь","Ноябрь","Декабрь")&amp;" "&amp;YEAR(branches[[#This Row],[Дата]])</f>
        <v>Ноябрь 2025</v>
      </c>
      <c r="E867" t="s">
        <v>11</v>
      </c>
      <c r="F867" t="s">
        <v>12</v>
      </c>
      <c r="G867">
        <v>1</v>
      </c>
      <c r="H867">
        <v>194</v>
      </c>
      <c r="I867" t="s">
        <v>21</v>
      </c>
      <c r="J867" t="str">
        <f>_xlfn.XLOOKUP(branches[[#This Row],[Филиал]], tbl_Filialy[Филиал], tbl_Filialy[Менеджер])</f>
        <v>Алия Гайнутдинова</v>
      </c>
    </row>
    <row r="868" spans="1:10" x14ac:dyDescent="0.3">
      <c r="A868" t="str">
        <f>_xlfn.XLOOKUP(branches[[#This Row],[Филиал]], tbl_Filialy[Филиал], tbl_Filialy[Город])</f>
        <v>Казань</v>
      </c>
      <c r="B868" s="1" t="s">
        <v>30</v>
      </c>
      <c r="C868" s="2">
        <v>45750</v>
      </c>
      <c r="D868" s="2" t="str">
        <f>CHOOSE(MONTH(branches[[#This Row],[Дата]]),"Январь","Февраль","Март","Апрель","Май","Июнь","Июль","Август","Сентябрь","Октябрь","Ноябрь","Декабрь")&amp;" "&amp;YEAR(branches[[#This Row],[Дата]])</f>
        <v>Апрель 2025</v>
      </c>
      <c r="E868" t="s">
        <v>22</v>
      </c>
      <c r="F868" t="s">
        <v>9</v>
      </c>
      <c r="G868">
        <v>2</v>
      </c>
      <c r="H868">
        <v>350</v>
      </c>
      <c r="I868" t="s">
        <v>19</v>
      </c>
      <c r="J868" t="str">
        <f>_xlfn.XLOOKUP(branches[[#This Row],[Филиал]], tbl_Filialy[Филиал], tbl_Filialy[Менеджер])</f>
        <v>Алия Гайнутдинова</v>
      </c>
    </row>
    <row r="869" spans="1:10" x14ac:dyDescent="0.3">
      <c r="A869" t="str">
        <f>_xlfn.XLOOKUP(branches[[#This Row],[Филиал]], tbl_Filialy[Филиал], tbl_Filialy[Город])</f>
        <v>Казань</v>
      </c>
      <c r="B869" s="1" t="s">
        <v>30</v>
      </c>
      <c r="C869" s="2">
        <v>45950</v>
      </c>
      <c r="D869" s="2" t="str">
        <f>CHOOSE(MONTH(branches[[#This Row],[Дата]]),"Январь","Февраль","Март","Апрель","Май","Июнь","Июль","Август","Сентябрь","Октябрь","Ноябрь","Декабрь")&amp;" "&amp;YEAR(branches[[#This Row],[Дата]])</f>
        <v>Октябрь 2025</v>
      </c>
      <c r="E869" t="s">
        <v>22</v>
      </c>
      <c r="F869" t="s">
        <v>9</v>
      </c>
      <c r="G869">
        <v>1</v>
      </c>
      <c r="H869">
        <v>191</v>
      </c>
      <c r="I869" t="s">
        <v>13</v>
      </c>
      <c r="J869" t="str">
        <f>_xlfn.XLOOKUP(branches[[#This Row],[Филиал]], tbl_Filialy[Филиал], tbl_Filialy[Менеджер])</f>
        <v>Алия Гайнутдинова</v>
      </c>
    </row>
    <row r="870" spans="1:10" x14ac:dyDescent="0.3">
      <c r="A870" t="str">
        <f>_xlfn.XLOOKUP(branches[[#This Row],[Филиал]], tbl_Filialy[Филиал], tbl_Filialy[Город])</f>
        <v>Казань</v>
      </c>
      <c r="B870" s="1" t="s">
        <v>30</v>
      </c>
      <c r="C870" s="2">
        <v>45764</v>
      </c>
      <c r="D870" s="2" t="str">
        <f>CHOOSE(MONTH(branches[[#This Row],[Дата]]),"Январь","Февраль","Март","Апрель","Май","Июнь","Июль","Август","Сентябрь","Октябрь","Ноябрь","Декабрь")&amp;" "&amp;YEAR(branches[[#This Row],[Дата]])</f>
        <v>Апрель 2025</v>
      </c>
      <c r="E870" t="s">
        <v>20</v>
      </c>
      <c r="F870" t="s">
        <v>12</v>
      </c>
      <c r="G870">
        <v>1</v>
      </c>
      <c r="H870">
        <v>279</v>
      </c>
      <c r="I870" t="s">
        <v>13</v>
      </c>
      <c r="J870" t="str">
        <f>_xlfn.XLOOKUP(branches[[#This Row],[Филиал]], tbl_Filialy[Филиал], tbl_Filialy[Менеджер])</f>
        <v>Алия Гайнутдинова</v>
      </c>
    </row>
    <row r="871" spans="1:10" x14ac:dyDescent="0.3">
      <c r="A871" t="str">
        <f>_xlfn.XLOOKUP(branches[[#This Row],[Филиал]], tbl_Filialy[Филиал], tbl_Filialy[Город])</f>
        <v>Казань</v>
      </c>
      <c r="B871" s="1" t="s">
        <v>30</v>
      </c>
      <c r="C871" s="2">
        <v>45800</v>
      </c>
      <c r="D871" s="2" t="str">
        <f>CHOOSE(MONTH(branches[[#This Row],[Дата]]),"Январь","Февраль","Март","Апрель","Май","Июнь","Июль","Август","Сентябрь","Октябрь","Ноябрь","Декабрь")&amp;" "&amp;YEAR(branches[[#This Row],[Дата]])</f>
        <v>Май 2025</v>
      </c>
      <c r="E871" t="s">
        <v>11</v>
      </c>
      <c r="F871" t="s">
        <v>12</v>
      </c>
      <c r="G871">
        <v>3</v>
      </c>
      <c r="H871">
        <v>462</v>
      </c>
      <c r="I871" t="s">
        <v>21</v>
      </c>
      <c r="J871" t="str">
        <f>_xlfn.XLOOKUP(branches[[#This Row],[Филиал]], tbl_Filialy[Филиал], tbl_Filialy[Менеджер])</f>
        <v>Алия Гайнутдинова</v>
      </c>
    </row>
    <row r="872" spans="1:10" x14ac:dyDescent="0.3">
      <c r="A872" t="str">
        <f>_xlfn.XLOOKUP(branches[[#This Row],[Филиал]], tbl_Filialy[Филиал], tbl_Filialy[Город])</f>
        <v>Казань</v>
      </c>
      <c r="B872" s="1" t="s">
        <v>30</v>
      </c>
      <c r="C872" s="2">
        <v>45924</v>
      </c>
      <c r="D872" s="2" t="str">
        <f>CHOOSE(MONTH(branches[[#This Row],[Дата]]),"Январь","Февраль","Март","Апрель","Май","Июнь","Июль","Август","Сентябрь","Октябрь","Ноябрь","Декабрь")&amp;" "&amp;YEAR(branches[[#This Row],[Дата]])</f>
        <v>Сентябрь 2025</v>
      </c>
      <c r="E872" t="s">
        <v>16</v>
      </c>
      <c r="F872" t="s">
        <v>17</v>
      </c>
      <c r="G872">
        <v>3</v>
      </c>
      <c r="H872">
        <v>1071</v>
      </c>
      <c r="I872" t="s">
        <v>15</v>
      </c>
      <c r="J872" t="str">
        <f>_xlfn.XLOOKUP(branches[[#This Row],[Филиал]], tbl_Filialy[Филиал], tbl_Filialy[Менеджер])</f>
        <v>Алия Гайнутдинова</v>
      </c>
    </row>
    <row r="873" spans="1:10" x14ac:dyDescent="0.3">
      <c r="A873" t="str">
        <f>_xlfn.XLOOKUP(branches[[#This Row],[Филиал]], tbl_Filialy[Филиал], tbl_Filialy[Город])</f>
        <v>Казань</v>
      </c>
      <c r="B873" s="1" t="s">
        <v>30</v>
      </c>
      <c r="C873" s="2">
        <v>45857</v>
      </c>
      <c r="D873" s="2" t="str">
        <f>CHOOSE(MONTH(branches[[#This Row],[Дата]]),"Январь","Февраль","Март","Апрель","Май","Июнь","Июль","Август","Сентябрь","Октябрь","Ноябрь","Декабрь")&amp;" "&amp;YEAR(branches[[#This Row],[Дата]])</f>
        <v>Июль 2025</v>
      </c>
      <c r="E873" t="s">
        <v>18</v>
      </c>
      <c r="F873" t="s">
        <v>12</v>
      </c>
      <c r="G873">
        <v>1</v>
      </c>
      <c r="H873">
        <v>139</v>
      </c>
      <c r="I873" t="s">
        <v>23</v>
      </c>
      <c r="J873" t="str">
        <f>_xlfn.XLOOKUP(branches[[#This Row],[Филиал]], tbl_Filialy[Филиал], tbl_Filialy[Менеджер])</f>
        <v>Алия Гайнутдинова</v>
      </c>
    </row>
    <row r="874" spans="1:10" x14ac:dyDescent="0.3">
      <c r="A874" t="str">
        <f>_xlfn.XLOOKUP(branches[[#This Row],[Филиал]], tbl_Filialy[Филиал], tbl_Filialy[Город])</f>
        <v>Казань</v>
      </c>
      <c r="B874" s="1" t="s">
        <v>30</v>
      </c>
      <c r="C874" s="2">
        <v>45963</v>
      </c>
      <c r="D874" s="2" t="str">
        <f>CHOOSE(MONTH(branches[[#This Row],[Дата]]),"Январь","Февраль","Март","Апрель","Май","Июнь","Июль","Август","Сентябрь","Октябрь","Ноябрь","Декабрь")&amp;" "&amp;YEAR(branches[[#This Row],[Дата]])</f>
        <v>Ноябрь 2025</v>
      </c>
      <c r="E874" t="s">
        <v>25</v>
      </c>
      <c r="F874" t="s">
        <v>12</v>
      </c>
      <c r="G874">
        <v>3</v>
      </c>
      <c r="H874">
        <v>615</v>
      </c>
      <c r="I874" t="s">
        <v>19</v>
      </c>
      <c r="J874" t="str">
        <f>_xlfn.XLOOKUP(branches[[#This Row],[Филиал]], tbl_Filialy[Филиал], tbl_Filialy[Менеджер])</f>
        <v>Алия Гайнутдинова</v>
      </c>
    </row>
    <row r="875" spans="1:10" x14ac:dyDescent="0.3">
      <c r="A875" t="str">
        <f>_xlfn.XLOOKUP(branches[[#This Row],[Филиал]], tbl_Filialy[Филиал], tbl_Filialy[Город])</f>
        <v>Казань</v>
      </c>
      <c r="B875" s="1" t="s">
        <v>30</v>
      </c>
      <c r="C875" s="2">
        <v>45824</v>
      </c>
      <c r="D875" s="2" t="str">
        <f>CHOOSE(MONTH(branches[[#This Row],[Дата]]),"Январь","Февраль","Март","Апрель","Май","Июнь","Июль","Август","Сентябрь","Октябрь","Ноябрь","Декабрь")&amp;" "&amp;YEAR(branches[[#This Row],[Дата]])</f>
        <v>Июнь 2025</v>
      </c>
      <c r="E875" t="s">
        <v>28</v>
      </c>
      <c r="F875" t="s">
        <v>12</v>
      </c>
      <c r="G875">
        <v>1</v>
      </c>
      <c r="H875">
        <v>231</v>
      </c>
      <c r="I875" t="s">
        <v>21</v>
      </c>
      <c r="J875" t="str">
        <f>_xlfn.XLOOKUP(branches[[#This Row],[Филиал]], tbl_Filialy[Филиал], tbl_Filialy[Менеджер])</f>
        <v>Алия Гайнутдинова</v>
      </c>
    </row>
    <row r="876" spans="1:10" x14ac:dyDescent="0.3">
      <c r="A876" t="str">
        <f>_xlfn.XLOOKUP(branches[[#This Row],[Филиал]], tbl_Filialy[Филиал], tbl_Filialy[Город])</f>
        <v>Казань</v>
      </c>
      <c r="B876" s="1" t="s">
        <v>30</v>
      </c>
      <c r="C876" s="2">
        <v>45918</v>
      </c>
      <c r="D876" s="2" t="str">
        <f>CHOOSE(MONTH(branches[[#This Row],[Дата]]),"Январь","Февраль","Март","Апрель","Май","Июнь","Июль","Август","Сентябрь","Октябрь","Ноябрь","Декабрь")&amp;" "&amp;YEAR(branches[[#This Row],[Дата]])</f>
        <v>Сентябрь 2025</v>
      </c>
      <c r="E876" t="s">
        <v>14</v>
      </c>
      <c r="F876" t="s">
        <v>12</v>
      </c>
      <c r="G876">
        <v>2</v>
      </c>
      <c r="H876">
        <v>466</v>
      </c>
      <c r="I876" t="s">
        <v>23</v>
      </c>
      <c r="J876" t="str">
        <f>_xlfn.XLOOKUP(branches[[#This Row],[Филиал]], tbl_Filialy[Филиал], tbl_Filialy[Менеджер])</f>
        <v>Алия Гайнутдинова</v>
      </c>
    </row>
    <row r="877" spans="1:10" x14ac:dyDescent="0.3">
      <c r="A877" t="str">
        <f>_xlfn.XLOOKUP(branches[[#This Row],[Филиал]], tbl_Filialy[Филиал], tbl_Filialy[Город])</f>
        <v>Казань</v>
      </c>
      <c r="B877" s="1" t="s">
        <v>30</v>
      </c>
      <c r="C877" s="2">
        <v>45955</v>
      </c>
      <c r="D877" s="2" t="str">
        <f>CHOOSE(MONTH(branches[[#This Row],[Дата]]),"Январь","Февраль","Март","Апрель","Май","Июнь","Июль","Август","Сентябрь","Октябрь","Ноябрь","Декабрь")&amp;" "&amp;YEAR(branches[[#This Row],[Дата]])</f>
        <v>Октябрь 2025</v>
      </c>
      <c r="E877" t="s">
        <v>20</v>
      </c>
      <c r="F877" t="s">
        <v>12</v>
      </c>
      <c r="G877">
        <v>1</v>
      </c>
      <c r="H877">
        <v>296</v>
      </c>
      <c r="I877" t="s">
        <v>21</v>
      </c>
      <c r="J877" t="str">
        <f>_xlfn.XLOOKUP(branches[[#This Row],[Филиал]], tbl_Filialy[Филиал], tbl_Filialy[Менеджер])</f>
        <v>Алия Гайнутдинова</v>
      </c>
    </row>
    <row r="878" spans="1:10" x14ac:dyDescent="0.3">
      <c r="A878" t="str">
        <f>_xlfn.XLOOKUP(branches[[#This Row],[Филиал]], tbl_Filialy[Филиал], tbl_Filialy[Город])</f>
        <v>Казань</v>
      </c>
      <c r="B878" s="1" t="s">
        <v>30</v>
      </c>
      <c r="C878" s="2">
        <v>45962</v>
      </c>
      <c r="D878" s="2" t="str">
        <f>CHOOSE(MONTH(branches[[#This Row],[Дата]]),"Январь","Февраль","Март","Апрель","Май","Июнь","Июль","Август","Сентябрь","Октябрь","Ноябрь","Декабрь")&amp;" "&amp;YEAR(branches[[#This Row],[Дата]])</f>
        <v>Ноябрь 2025</v>
      </c>
      <c r="E878" t="s">
        <v>14</v>
      </c>
      <c r="F878" t="s">
        <v>12</v>
      </c>
      <c r="G878">
        <v>1</v>
      </c>
      <c r="H878">
        <v>261</v>
      </c>
      <c r="I878" t="s">
        <v>21</v>
      </c>
      <c r="J878" t="str">
        <f>_xlfn.XLOOKUP(branches[[#This Row],[Филиал]], tbl_Filialy[Филиал], tbl_Filialy[Менеджер])</f>
        <v>Алия Гайнутдинова</v>
      </c>
    </row>
    <row r="879" spans="1:10" x14ac:dyDescent="0.3">
      <c r="A879" t="str">
        <f>_xlfn.XLOOKUP(branches[[#This Row],[Филиал]], tbl_Filialy[Филиал], tbl_Filialy[Город])</f>
        <v>Казань</v>
      </c>
      <c r="B879" s="1" t="s">
        <v>30</v>
      </c>
      <c r="C879" s="2">
        <v>45966</v>
      </c>
      <c r="D879" s="2" t="str">
        <f>CHOOSE(MONTH(branches[[#This Row],[Дата]]),"Январь","Февраль","Март","Апрель","Май","Июнь","Июль","Август","Сентябрь","Октябрь","Ноябрь","Декабрь")&amp;" "&amp;YEAR(branches[[#This Row],[Дата]])</f>
        <v>Ноябрь 2025</v>
      </c>
      <c r="E879" t="s">
        <v>24</v>
      </c>
      <c r="F879" t="s">
        <v>17</v>
      </c>
      <c r="G879">
        <v>2</v>
      </c>
      <c r="H879">
        <v>710</v>
      </c>
      <c r="I879" t="s">
        <v>19</v>
      </c>
      <c r="J879" t="str">
        <f>_xlfn.XLOOKUP(branches[[#This Row],[Филиал]], tbl_Filialy[Филиал], tbl_Filialy[Менеджер])</f>
        <v>Алия Гайнутдинова</v>
      </c>
    </row>
    <row r="880" spans="1:10" x14ac:dyDescent="0.3">
      <c r="A880" t="str">
        <f>_xlfn.XLOOKUP(branches[[#This Row],[Филиал]], tbl_Filialy[Филиал], tbl_Filialy[Город])</f>
        <v>Казань</v>
      </c>
      <c r="B880" s="1" t="s">
        <v>30</v>
      </c>
      <c r="C880" s="2">
        <v>45903</v>
      </c>
      <c r="D880" s="2" t="str">
        <f>CHOOSE(MONTH(branches[[#This Row],[Дата]]),"Январь","Февраль","Март","Апрель","Май","Июнь","Июль","Август","Сентябрь","Октябрь","Ноябрь","Декабрь")&amp;" "&amp;YEAR(branches[[#This Row],[Дата]])</f>
        <v>Сентябрь 2025</v>
      </c>
      <c r="E880" t="s">
        <v>8</v>
      </c>
      <c r="F880" t="s">
        <v>9</v>
      </c>
      <c r="G880">
        <v>2</v>
      </c>
      <c r="H880">
        <v>488</v>
      </c>
      <c r="I880" t="s">
        <v>15</v>
      </c>
      <c r="J880" t="str">
        <f>_xlfn.XLOOKUP(branches[[#This Row],[Филиал]], tbl_Filialy[Филиал], tbl_Filialy[Менеджер])</f>
        <v>Алия Гайнутдинова</v>
      </c>
    </row>
    <row r="881" spans="1:10" x14ac:dyDescent="0.3">
      <c r="A881" t="str">
        <f>_xlfn.XLOOKUP(branches[[#This Row],[Филиал]], tbl_Filialy[Филиал], tbl_Filialy[Город])</f>
        <v>Казань</v>
      </c>
      <c r="B881" s="1" t="s">
        <v>30</v>
      </c>
      <c r="C881" s="2">
        <v>45993</v>
      </c>
      <c r="D881" s="2" t="str">
        <f>CHOOSE(MONTH(branches[[#This Row],[Дата]]),"Январь","Февраль","Март","Апрель","Май","Июнь","Июль","Август","Сентябрь","Октябрь","Ноябрь","Декабрь")&amp;" "&amp;YEAR(branches[[#This Row],[Дата]])</f>
        <v>Декабрь 2025</v>
      </c>
      <c r="E881" t="s">
        <v>28</v>
      </c>
      <c r="F881" t="s">
        <v>12</v>
      </c>
      <c r="G881">
        <v>1</v>
      </c>
      <c r="H881">
        <v>243</v>
      </c>
      <c r="I881" t="s">
        <v>19</v>
      </c>
      <c r="J881" t="str">
        <f>_xlfn.XLOOKUP(branches[[#This Row],[Филиал]], tbl_Filialy[Филиал], tbl_Filialy[Менеджер])</f>
        <v>Алия Гайнутдинова</v>
      </c>
    </row>
    <row r="882" spans="1:10" x14ac:dyDescent="0.3">
      <c r="A882" t="str">
        <f>_xlfn.XLOOKUP(branches[[#This Row],[Филиал]], tbl_Filialy[Филиал], tbl_Filialy[Город])</f>
        <v>Казань</v>
      </c>
      <c r="B882" s="1" t="s">
        <v>30</v>
      </c>
      <c r="C882" s="2">
        <v>45968</v>
      </c>
      <c r="D882" s="2" t="str">
        <f>CHOOSE(MONTH(branches[[#This Row],[Дата]]),"Январь","Февраль","Март","Апрель","Май","Июнь","Июль","Август","Сентябрь","Октябрь","Ноябрь","Декабрь")&amp;" "&amp;YEAR(branches[[#This Row],[Дата]])</f>
        <v>Ноябрь 2025</v>
      </c>
      <c r="E882" t="s">
        <v>27</v>
      </c>
      <c r="F882" t="s">
        <v>12</v>
      </c>
      <c r="G882">
        <v>1</v>
      </c>
      <c r="H882">
        <v>230</v>
      </c>
      <c r="I882" t="s">
        <v>21</v>
      </c>
      <c r="J882" t="str">
        <f>_xlfn.XLOOKUP(branches[[#This Row],[Филиал]], tbl_Filialy[Филиал], tbl_Filialy[Менеджер])</f>
        <v>Алия Гайнутдинова</v>
      </c>
    </row>
    <row r="883" spans="1:10" x14ac:dyDescent="0.3">
      <c r="A883" t="str">
        <f>_xlfn.XLOOKUP(branches[[#This Row],[Филиал]], tbl_Filialy[Филиал], tbl_Filialy[Город])</f>
        <v>Казань</v>
      </c>
      <c r="B883" s="1" t="s">
        <v>30</v>
      </c>
      <c r="C883" s="2">
        <v>45927</v>
      </c>
      <c r="D883" s="2" t="str">
        <f>CHOOSE(MONTH(branches[[#This Row],[Дата]]),"Январь","Февраль","Март","Апрель","Май","Июнь","Июль","Август","Сентябрь","Октябрь","Ноябрь","Декабрь")&amp;" "&amp;YEAR(branches[[#This Row],[Дата]])</f>
        <v>Сентябрь 2025</v>
      </c>
      <c r="E883" t="s">
        <v>20</v>
      </c>
      <c r="F883" t="s">
        <v>12</v>
      </c>
      <c r="G883">
        <v>3</v>
      </c>
      <c r="H883">
        <v>771</v>
      </c>
      <c r="I883" t="s">
        <v>10</v>
      </c>
      <c r="J883" t="str">
        <f>_xlfn.XLOOKUP(branches[[#This Row],[Филиал]], tbl_Filialy[Филиал], tbl_Filialy[Менеджер])</f>
        <v>Алия Гайнутдинова</v>
      </c>
    </row>
    <row r="884" spans="1:10" x14ac:dyDescent="0.3">
      <c r="A884" t="str">
        <f>_xlfn.XLOOKUP(branches[[#This Row],[Филиал]], tbl_Filialy[Филиал], tbl_Filialy[Город])</f>
        <v>Казань</v>
      </c>
      <c r="B884" s="1" t="s">
        <v>30</v>
      </c>
      <c r="C884" s="2">
        <v>45878</v>
      </c>
      <c r="D884" s="2" t="str">
        <f>CHOOSE(MONTH(branches[[#This Row],[Дата]]),"Январь","Февраль","Март","Апрель","Май","Июнь","Июль","Август","Сентябрь","Октябрь","Ноябрь","Декабрь")&amp;" "&amp;YEAR(branches[[#This Row],[Дата]])</f>
        <v>Август 2025</v>
      </c>
      <c r="E884" t="s">
        <v>22</v>
      </c>
      <c r="F884" t="s">
        <v>9</v>
      </c>
      <c r="G884">
        <v>3</v>
      </c>
      <c r="H884">
        <v>504</v>
      </c>
      <c r="I884" t="s">
        <v>21</v>
      </c>
      <c r="J884" t="str">
        <f>_xlfn.XLOOKUP(branches[[#This Row],[Филиал]], tbl_Filialy[Филиал], tbl_Filialy[Менеджер])</f>
        <v>Алия Гайнутдинова</v>
      </c>
    </row>
    <row r="885" spans="1:10" x14ac:dyDescent="0.3">
      <c r="A885" t="str">
        <f>_xlfn.XLOOKUP(branches[[#This Row],[Филиал]], tbl_Filialy[Филиал], tbl_Filialy[Город])</f>
        <v>Казань</v>
      </c>
      <c r="B885" s="1" t="s">
        <v>30</v>
      </c>
      <c r="C885" s="2">
        <v>45803</v>
      </c>
      <c r="D885" s="2" t="str">
        <f>CHOOSE(MONTH(branches[[#This Row],[Дата]]),"Январь","Февраль","Март","Апрель","Май","Июнь","Июль","Август","Сентябрь","Октябрь","Ноябрь","Декабрь")&amp;" "&amp;YEAR(branches[[#This Row],[Дата]])</f>
        <v>Май 2025</v>
      </c>
      <c r="E885" t="s">
        <v>16</v>
      </c>
      <c r="F885" t="s">
        <v>17</v>
      </c>
      <c r="G885">
        <v>1</v>
      </c>
      <c r="H885">
        <v>292</v>
      </c>
      <c r="I885" t="s">
        <v>23</v>
      </c>
      <c r="J885" t="str">
        <f>_xlfn.XLOOKUP(branches[[#This Row],[Филиал]], tbl_Filialy[Филиал], tbl_Filialy[Менеджер])</f>
        <v>Алия Гайнутдинова</v>
      </c>
    </row>
    <row r="886" spans="1:10" x14ac:dyDescent="0.3">
      <c r="A886" t="str">
        <f>_xlfn.XLOOKUP(branches[[#This Row],[Филиал]], tbl_Filialy[Филиал], tbl_Filialy[Город])</f>
        <v>Казань</v>
      </c>
      <c r="B886" s="1" t="s">
        <v>30</v>
      </c>
      <c r="C886" s="2">
        <v>45998</v>
      </c>
      <c r="D886" s="2" t="str">
        <f>CHOOSE(MONTH(branches[[#This Row],[Дата]]),"Январь","Февраль","Март","Апрель","Май","Июнь","Июль","Август","Сентябрь","Октябрь","Ноябрь","Декабрь")&amp;" "&amp;YEAR(branches[[#This Row],[Дата]])</f>
        <v>Декабрь 2025</v>
      </c>
      <c r="E886" t="s">
        <v>25</v>
      </c>
      <c r="F886" t="s">
        <v>12</v>
      </c>
      <c r="G886">
        <v>1</v>
      </c>
      <c r="H886">
        <v>207</v>
      </c>
      <c r="I886" t="s">
        <v>13</v>
      </c>
      <c r="J886" t="str">
        <f>_xlfn.XLOOKUP(branches[[#This Row],[Филиал]], tbl_Filialy[Филиал], tbl_Filialy[Менеджер])</f>
        <v>Алия Гайнутдинова</v>
      </c>
    </row>
    <row r="887" spans="1:10" x14ac:dyDescent="0.3">
      <c r="A887" t="str">
        <f>_xlfn.XLOOKUP(branches[[#This Row],[Филиал]], tbl_Filialy[Филиал], tbl_Filialy[Город])</f>
        <v>Казань</v>
      </c>
      <c r="B887" s="1" t="s">
        <v>30</v>
      </c>
      <c r="C887" s="2">
        <v>45883</v>
      </c>
      <c r="D887" s="2" t="str">
        <f>CHOOSE(MONTH(branches[[#This Row],[Дата]]),"Январь","Февраль","Март","Апрель","Май","Июнь","Июль","Август","Сентябрь","Октябрь","Ноябрь","Декабрь")&amp;" "&amp;YEAR(branches[[#This Row],[Дата]])</f>
        <v>Август 2025</v>
      </c>
      <c r="E887" t="s">
        <v>14</v>
      </c>
      <c r="F887" t="s">
        <v>12</v>
      </c>
      <c r="G887">
        <v>1</v>
      </c>
      <c r="H887">
        <v>235</v>
      </c>
      <c r="I887" t="s">
        <v>10</v>
      </c>
      <c r="J887" t="str">
        <f>_xlfn.XLOOKUP(branches[[#This Row],[Филиал]], tbl_Filialy[Филиал], tbl_Filialy[Менеджер])</f>
        <v>Алия Гайнутдинова</v>
      </c>
    </row>
    <row r="888" spans="1:10" x14ac:dyDescent="0.3">
      <c r="A888" t="str">
        <f>_xlfn.XLOOKUP(branches[[#This Row],[Филиал]], tbl_Filialy[Филиал], tbl_Filialy[Город])</f>
        <v>Казань</v>
      </c>
      <c r="B888" s="1" t="s">
        <v>30</v>
      </c>
      <c r="C888" s="2">
        <v>45839</v>
      </c>
      <c r="D888" s="2" t="str">
        <f>CHOOSE(MONTH(branches[[#This Row],[Дата]]),"Январь","Февраль","Март","Апрель","Май","Июнь","Июль","Август","Сентябрь","Октябрь","Ноябрь","Декабрь")&amp;" "&amp;YEAR(branches[[#This Row],[Дата]])</f>
        <v>Июль 2025</v>
      </c>
      <c r="E888" t="s">
        <v>16</v>
      </c>
      <c r="F888" t="s">
        <v>17</v>
      </c>
      <c r="G888">
        <v>2</v>
      </c>
      <c r="H888">
        <v>606</v>
      </c>
      <c r="I888" t="s">
        <v>13</v>
      </c>
      <c r="J888" t="str">
        <f>_xlfn.XLOOKUP(branches[[#This Row],[Филиал]], tbl_Filialy[Филиал], tbl_Filialy[Менеджер])</f>
        <v>Алия Гайнутдинова</v>
      </c>
    </row>
    <row r="889" spans="1:10" x14ac:dyDescent="0.3">
      <c r="A889" t="str">
        <f>_xlfn.XLOOKUP(branches[[#This Row],[Филиал]], tbl_Filialy[Филиал], tbl_Filialy[Город])</f>
        <v>Казань</v>
      </c>
      <c r="B889" s="1" t="s">
        <v>30</v>
      </c>
      <c r="C889" s="2">
        <v>45801</v>
      </c>
      <c r="D889" s="2" t="str">
        <f>CHOOSE(MONTH(branches[[#This Row],[Дата]]),"Январь","Февраль","Март","Апрель","Май","Июнь","Июль","Август","Сентябрь","Октябрь","Ноябрь","Декабрь")&amp;" "&amp;YEAR(branches[[#This Row],[Дата]])</f>
        <v>Май 2025</v>
      </c>
      <c r="E889" t="s">
        <v>18</v>
      </c>
      <c r="F889" t="s">
        <v>12</v>
      </c>
      <c r="G889">
        <v>3</v>
      </c>
      <c r="H889">
        <v>444</v>
      </c>
      <c r="I889" t="s">
        <v>15</v>
      </c>
      <c r="J889" t="str">
        <f>_xlfn.XLOOKUP(branches[[#This Row],[Филиал]], tbl_Filialy[Филиал], tbl_Filialy[Менеджер])</f>
        <v>Алия Гайнутдинова</v>
      </c>
    </row>
    <row r="890" spans="1:10" x14ac:dyDescent="0.3">
      <c r="A890" t="str">
        <f>_xlfn.XLOOKUP(branches[[#This Row],[Филиал]], tbl_Filialy[Филиал], tbl_Filialy[Город])</f>
        <v>Казань</v>
      </c>
      <c r="B890" s="1" t="s">
        <v>30</v>
      </c>
      <c r="C890" s="2">
        <v>45805</v>
      </c>
      <c r="D890" s="2" t="str">
        <f>CHOOSE(MONTH(branches[[#This Row],[Дата]]),"Январь","Февраль","Март","Апрель","Май","Июнь","Июль","Август","Сентябрь","Октябрь","Ноябрь","Декабрь")&amp;" "&amp;YEAR(branches[[#This Row],[Дата]])</f>
        <v>Май 2025</v>
      </c>
      <c r="E890" t="s">
        <v>20</v>
      </c>
      <c r="F890" t="s">
        <v>12</v>
      </c>
      <c r="G890">
        <v>1</v>
      </c>
      <c r="H890">
        <v>302</v>
      </c>
      <c r="I890" t="s">
        <v>19</v>
      </c>
      <c r="J890" t="str">
        <f>_xlfn.XLOOKUP(branches[[#This Row],[Филиал]], tbl_Filialy[Филиал], tbl_Filialy[Менеджер])</f>
        <v>Алия Гайнутдинова</v>
      </c>
    </row>
    <row r="891" spans="1:10" x14ac:dyDescent="0.3">
      <c r="A891" t="str">
        <f>_xlfn.XLOOKUP(branches[[#This Row],[Филиал]], tbl_Filialy[Филиал], tbl_Filialy[Город])</f>
        <v>Казань</v>
      </c>
      <c r="B891" s="1" t="s">
        <v>30</v>
      </c>
      <c r="C891" s="2">
        <v>45774</v>
      </c>
      <c r="D891" s="2" t="str">
        <f>CHOOSE(MONTH(branches[[#This Row],[Дата]]),"Январь","Февраль","Март","Апрель","Май","Июнь","Июль","Август","Сентябрь","Октябрь","Ноябрь","Декабрь")&amp;" "&amp;YEAR(branches[[#This Row],[Дата]])</f>
        <v>Апрель 2025</v>
      </c>
      <c r="E891" t="s">
        <v>24</v>
      </c>
      <c r="F891" t="s">
        <v>17</v>
      </c>
      <c r="G891">
        <v>2</v>
      </c>
      <c r="H891">
        <v>842</v>
      </c>
      <c r="I891" t="s">
        <v>19</v>
      </c>
      <c r="J891" t="str">
        <f>_xlfn.XLOOKUP(branches[[#This Row],[Филиал]], tbl_Filialy[Филиал], tbl_Filialy[Менеджер])</f>
        <v>Алия Гайнутдинова</v>
      </c>
    </row>
    <row r="892" spans="1:10" x14ac:dyDescent="0.3">
      <c r="A892" t="str">
        <f>_xlfn.XLOOKUP(branches[[#This Row],[Филиал]], tbl_Filialy[Филиал], tbl_Filialy[Город])</f>
        <v>Казань</v>
      </c>
      <c r="B892" s="1" t="s">
        <v>30</v>
      </c>
      <c r="C892" s="2">
        <v>45730</v>
      </c>
      <c r="D892" s="2" t="str">
        <f>CHOOSE(MONTH(branches[[#This Row],[Дата]]),"Январь","Февраль","Март","Апрель","Май","Июнь","Июль","Август","Сентябрь","Октябрь","Ноябрь","Декабрь")&amp;" "&amp;YEAR(branches[[#This Row],[Дата]])</f>
        <v>Март 2025</v>
      </c>
      <c r="E892" t="s">
        <v>26</v>
      </c>
      <c r="F892" t="s">
        <v>9</v>
      </c>
      <c r="G892">
        <v>2</v>
      </c>
      <c r="H892">
        <v>410</v>
      </c>
      <c r="I892" t="s">
        <v>21</v>
      </c>
      <c r="J892" t="str">
        <f>_xlfn.XLOOKUP(branches[[#This Row],[Филиал]], tbl_Filialy[Филиал], tbl_Filialy[Менеджер])</f>
        <v>Алия Гайнутдинова</v>
      </c>
    </row>
    <row r="893" spans="1:10" x14ac:dyDescent="0.3">
      <c r="A893" t="str">
        <f>_xlfn.XLOOKUP(branches[[#This Row],[Филиал]], tbl_Filialy[Филиал], tbl_Filialy[Город])</f>
        <v>Казань</v>
      </c>
      <c r="B893" s="1" t="s">
        <v>30</v>
      </c>
      <c r="C893" s="2">
        <v>45773</v>
      </c>
      <c r="D893" s="2" t="str">
        <f>CHOOSE(MONTH(branches[[#This Row],[Дата]]),"Январь","Февраль","Март","Апрель","Май","Июнь","Июль","Август","Сентябрь","Октябрь","Ноябрь","Декабрь")&amp;" "&amp;YEAR(branches[[#This Row],[Дата]])</f>
        <v>Апрель 2025</v>
      </c>
      <c r="E893" t="s">
        <v>26</v>
      </c>
      <c r="F893" t="s">
        <v>9</v>
      </c>
      <c r="G893">
        <v>1</v>
      </c>
      <c r="H893">
        <v>235</v>
      </c>
      <c r="I893" t="s">
        <v>13</v>
      </c>
      <c r="J893" t="str">
        <f>_xlfn.XLOOKUP(branches[[#This Row],[Филиал]], tbl_Filialy[Филиал], tbl_Filialy[Менеджер])</f>
        <v>Алия Гайнутдинова</v>
      </c>
    </row>
    <row r="894" spans="1:10" x14ac:dyDescent="0.3">
      <c r="A894" t="str">
        <f>_xlfn.XLOOKUP(branches[[#This Row],[Филиал]], tbl_Filialy[Филиал], tbl_Filialy[Город])</f>
        <v>Казань</v>
      </c>
      <c r="B894" s="1" t="s">
        <v>30</v>
      </c>
      <c r="C894" s="2">
        <v>45674</v>
      </c>
      <c r="D894" s="2" t="str">
        <f>CHOOSE(MONTH(branches[[#This Row],[Дата]]),"Январь","Февраль","Март","Апрель","Май","Июнь","Июль","Август","Сентябрь","Октябрь","Ноябрь","Декабрь")&amp;" "&amp;YEAR(branches[[#This Row],[Дата]])</f>
        <v>Январь 2025</v>
      </c>
      <c r="E894" t="s">
        <v>22</v>
      </c>
      <c r="F894" t="s">
        <v>9</v>
      </c>
      <c r="G894">
        <v>1</v>
      </c>
      <c r="H894">
        <v>173</v>
      </c>
      <c r="I894" t="s">
        <v>10</v>
      </c>
      <c r="J894" t="str">
        <f>_xlfn.XLOOKUP(branches[[#This Row],[Филиал]], tbl_Filialy[Филиал], tbl_Filialy[Менеджер])</f>
        <v>Алия Гайнутдинова</v>
      </c>
    </row>
    <row r="895" spans="1:10" x14ac:dyDescent="0.3">
      <c r="A895" t="str">
        <f>_xlfn.XLOOKUP(branches[[#This Row],[Филиал]], tbl_Filialy[Филиал], tbl_Filialy[Город])</f>
        <v>Казань</v>
      </c>
      <c r="B895" s="1" t="s">
        <v>30</v>
      </c>
      <c r="C895" s="2">
        <v>45736</v>
      </c>
      <c r="D895" s="2" t="str">
        <f>CHOOSE(MONTH(branches[[#This Row],[Дата]]),"Январь","Февраль","Март","Апрель","Май","Июнь","Июль","Август","Сентябрь","Октябрь","Ноябрь","Декабрь")&amp;" "&amp;YEAR(branches[[#This Row],[Дата]])</f>
        <v>Март 2025</v>
      </c>
      <c r="E895" t="s">
        <v>25</v>
      </c>
      <c r="F895" t="s">
        <v>12</v>
      </c>
      <c r="G895">
        <v>1</v>
      </c>
      <c r="H895">
        <v>206</v>
      </c>
      <c r="I895" t="s">
        <v>13</v>
      </c>
      <c r="J895" t="str">
        <f>_xlfn.XLOOKUP(branches[[#This Row],[Филиал]], tbl_Filialy[Филиал], tbl_Filialy[Менеджер])</f>
        <v>Алия Гайнутдинова</v>
      </c>
    </row>
    <row r="896" spans="1:10" x14ac:dyDescent="0.3">
      <c r="A896" t="str">
        <f>_xlfn.XLOOKUP(branches[[#This Row],[Филиал]], tbl_Filialy[Филиал], tbl_Filialy[Город])</f>
        <v>Казань</v>
      </c>
      <c r="B896" s="1" t="s">
        <v>30</v>
      </c>
      <c r="C896" s="2">
        <v>45809</v>
      </c>
      <c r="D896" s="2" t="str">
        <f>CHOOSE(MONTH(branches[[#This Row],[Дата]]),"Январь","Февраль","Март","Апрель","Май","Июнь","Июль","Август","Сентябрь","Октябрь","Ноябрь","Декабрь")&amp;" "&amp;YEAR(branches[[#This Row],[Дата]])</f>
        <v>Июнь 2025</v>
      </c>
      <c r="E896" t="s">
        <v>14</v>
      </c>
      <c r="F896" t="s">
        <v>12</v>
      </c>
      <c r="G896">
        <v>1</v>
      </c>
      <c r="H896">
        <v>233</v>
      </c>
      <c r="I896" t="s">
        <v>19</v>
      </c>
      <c r="J896" t="str">
        <f>_xlfn.XLOOKUP(branches[[#This Row],[Филиал]], tbl_Filialy[Филиал], tbl_Filialy[Менеджер])</f>
        <v>Алия Гайнутдинова</v>
      </c>
    </row>
    <row r="897" spans="1:10" x14ac:dyDescent="0.3">
      <c r="A897" t="str">
        <f>_xlfn.XLOOKUP(branches[[#This Row],[Филиал]], tbl_Filialy[Филиал], tbl_Filialy[Город])</f>
        <v>Казань</v>
      </c>
      <c r="B897" s="1" t="s">
        <v>30</v>
      </c>
      <c r="C897" s="2">
        <v>45697</v>
      </c>
      <c r="D897" s="2" t="str">
        <f>CHOOSE(MONTH(branches[[#This Row],[Дата]]),"Январь","Февраль","Март","Апрель","Май","Июнь","Июль","Август","Сентябрь","Октябрь","Ноябрь","Декабрь")&amp;" "&amp;YEAR(branches[[#This Row],[Дата]])</f>
        <v>Февраль 2025</v>
      </c>
      <c r="E897" t="s">
        <v>11</v>
      </c>
      <c r="F897" t="s">
        <v>12</v>
      </c>
      <c r="G897">
        <v>2</v>
      </c>
      <c r="H897">
        <v>324</v>
      </c>
      <c r="I897" t="s">
        <v>10</v>
      </c>
      <c r="J897" t="str">
        <f>_xlfn.XLOOKUP(branches[[#This Row],[Филиал]], tbl_Filialy[Филиал], tbl_Filialy[Менеджер])</f>
        <v>Алия Гайнутдинова</v>
      </c>
    </row>
    <row r="898" spans="1:10" x14ac:dyDescent="0.3">
      <c r="A898" t="str">
        <f>_xlfn.XLOOKUP(branches[[#This Row],[Филиал]], tbl_Filialy[Филиал], tbl_Filialy[Город])</f>
        <v>Казань</v>
      </c>
      <c r="B898" s="1" t="s">
        <v>30</v>
      </c>
      <c r="C898" s="2">
        <v>45852</v>
      </c>
      <c r="D898" s="2" t="str">
        <f>CHOOSE(MONTH(branches[[#This Row],[Дата]]),"Январь","Февраль","Март","Апрель","Май","Июнь","Июль","Август","Сентябрь","Октябрь","Ноябрь","Декабрь")&amp;" "&amp;YEAR(branches[[#This Row],[Дата]])</f>
        <v>Июль 2025</v>
      </c>
      <c r="E898" t="s">
        <v>26</v>
      </c>
      <c r="F898" t="s">
        <v>9</v>
      </c>
      <c r="G898">
        <v>1</v>
      </c>
      <c r="H898">
        <v>189</v>
      </c>
      <c r="I898" t="s">
        <v>10</v>
      </c>
      <c r="J898" t="str">
        <f>_xlfn.XLOOKUP(branches[[#This Row],[Филиал]], tbl_Filialy[Филиал], tbl_Filialy[Менеджер])</f>
        <v>Алия Гайнутдинова</v>
      </c>
    </row>
    <row r="899" spans="1:10" x14ac:dyDescent="0.3">
      <c r="A899" t="str">
        <f>_xlfn.XLOOKUP(branches[[#This Row],[Филиал]], tbl_Filialy[Филиал], tbl_Filialy[Город])</f>
        <v>Казань</v>
      </c>
      <c r="B899" s="1" t="s">
        <v>30</v>
      </c>
      <c r="C899" s="2">
        <v>46005</v>
      </c>
      <c r="D899" s="2" t="str">
        <f>CHOOSE(MONTH(branches[[#This Row],[Дата]]),"Январь","Февраль","Март","Апрель","Май","Июнь","Июль","Август","Сентябрь","Октябрь","Ноябрь","Декабрь")&amp;" "&amp;YEAR(branches[[#This Row],[Дата]])</f>
        <v>Декабрь 2025</v>
      </c>
      <c r="E899" t="s">
        <v>24</v>
      </c>
      <c r="F899" t="s">
        <v>17</v>
      </c>
      <c r="G899">
        <v>2</v>
      </c>
      <c r="H899">
        <v>740</v>
      </c>
      <c r="I899" t="s">
        <v>21</v>
      </c>
      <c r="J899" t="str">
        <f>_xlfn.XLOOKUP(branches[[#This Row],[Филиал]], tbl_Filialy[Филиал], tbl_Filialy[Менеджер])</f>
        <v>Алия Гайнутдинова</v>
      </c>
    </row>
    <row r="900" spans="1:10" x14ac:dyDescent="0.3">
      <c r="A900" t="str">
        <f>_xlfn.XLOOKUP(branches[[#This Row],[Филиал]], tbl_Filialy[Филиал], tbl_Filialy[Город])</f>
        <v>Казань</v>
      </c>
      <c r="B900" s="1" t="s">
        <v>30</v>
      </c>
      <c r="C900" s="2">
        <v>46014</v>
      </c>
      <c r="D900" s="2" t="str">
        <f>CHOOSE(MONTH(branches[[#This Row],[Дата]]),"Январь","Февраль","Март","Апрель","Май","Июнь","Июль","Август","Сентябрь","Октябрь","Ноябрь","Декабрь")&amp;" "&amp;YEAR(branches[[#This Row],[Дата]])</f>
        <v>Декабрь 2025</v>
      </c>
      <c r="E900" t="s">
        <v>18</v>
      </c>
      <c r="F900" t="s">
        <v>12</v>
      </c>
      <c r="G900">
        <v>3</v>
      </c>
      <c r="H900">
        <v>363</v>
      </c>
      <c r="I900" t="s">
        <v>13</v>
      </c>
      <c r="J900" t="str">
        <f>_xlfn.XLOOKUP(branches[[#This Row],[Филиал]], tbl_Filialy[Филиал], tbl_Filialy[Менеджер])</f>
        <v>Алия Гайнутдинова</v>
      </c>
    </row>
    <row r="901" spans="1:10" x14ac:dyDescent="0.3">
      <c r="A901" t="str">
        <f>_xlfn.XLOOKUP(branches[[#This Row],[Филиал]], tbl_Filialy[Филиал], tbl_Filialy[Город])</f>
        <v>Казань</v>
      </c>
      <c r="B901" s="1" t="s">
        <v>30</v>
      </c>
      <c r="C901" s="2">
        <v>45750</v>
      </c>
      <c r="D901" s="2" t="str">
        <f>CHOOSE(MONTH(branches[[#This Row],[Дата]]),"Январь","Февраль","Март","Апрель","Май","Июнь","Июль","Август","Сентябрь","Октябрь","Ноябрь","Декабрь")&amp;" "&amp;YEAR(branches[[#This Row],[Дата]])</f>
        <v>Апрель 2025</v>
      </c>
      <c r="E901" t="s">
        <v>26</v>
      </c>
      <c r="F901" t="s">
        <v>9</v>
      </c>
      <c r="G901">
        <v>2</v>
      </c>
      <c r="H901">
        <v>398</v>
      </c>
      <c r="I901" t="s">
        <v>15</v>
      </c>
      <c r="J901" t="str">
        <f>_xlfn.XLOOKUP(branches[[#This Row],[Филиал]], tbl_Filialy[Филиал], tbl_Filialy[Менеджер])</f>
        <v>Алия Гайнутдинова</v>
      </c>
    </row>
    <row r="902" spans="1:10" x14ac:dyDescent="0.3">
      <c r="A902" t="str">
        <f>_xlfn.XLOOKUP(branches[[#This Row],[Филиал]], tbl_Filialy[Филиал], tbl_Filialy[Город])</f>
        <v>Казань</v>
      </c>
      <c r="B902" s="1" t="s">
        <v>30</v>
      </c>
      <c r="C902" s="2">
        <v>45744</v>
      </c>
      <c r="D902" s="2" t="str">
        <f>CHOOSE(MONTH(branches[[#This Row],[Дата]]),"Январь","Февраль","Март","Апрель","Май","Июнь","Июль","Август","Сентябрь","Октябрь","Ноябрь","Декабрь")&amp;" "&amp;YEAR(branches[[#This Row],[Дата]])</f>
        <v>Март 2025</v>
      </c>
      <c r="E902" t="s">
        <v>11</v>
      </c>
      <c r="F902" t="s">
        <v>12</v>
      </c>
      <c r="G902">
        <v>1</v>
      </c>
      <c r="H902">
        <v>195</v>
      </c>
      <c r="I902" t="s">
        <v>13</v>
      </c>
      <c r="J902" t="str">
        <f>_xlfn.XLOOKUP(branches[[#This Row],[Филиал]], tbl_Filialy[Филиал], tbl_Filialy[Менеджер])</f>
        <v>Алия Гайнутдинова</v>
      </c>
    </row>
    <row r="903" spans="1:10" x14ac:dyDescent="0.3">
      <c r="A903" t="str">
        <f>_xlfn.XLOOKUP(branches[[#This Row],[Филиал]], tbl_Filialy[Филиал], tbl_Filialy[Город])</f>
        <v>Казань</v>
      </c>
      <c r="B903" s="1" t="s">
        <v>30</v>
      </c>
      <c r="C903" s="2">
        <v>45758</v>
      </c>
      <c r="D903" s="2" t="str">
        <f>CHOOSE(MONTH(branches[[#This Row],[Дата]]),"Январь","Февраль","Март","Апрель","Май","Июнь","Июль","Август","Сентябрь","Октябрь","Ноябрь","Декабрь")&amp;" "&amp;YEAR(branches[[#This Row],[Дата]])</f>
        <v>Апрель 2025</v>
      </c>
      <c r="E903" t="s">
        <v>16</v>
      </c>
      <c r="F903" t="s">
        <v>17</v>
      </c>
      <c r="G903">
        <v>1</v>
      </c>
      <c r="H903">
        <v>359</v>
      </c>
      <c r="I903" t="s">
        <v>13</v>
      </c>
      <c r="J903" t="str">
        <f>_xlfn.XLOOKUP(branches[[#This Row],[Филиал]], tbl_Filialy[Филиал], tbl_Filialy[Менеджер])</f>
        <v>Алия Гайнутдинова</v>
      </c>
    </row>
    <row r="904" spans="1:10" x14ac:dyDescent="0.3">
      <c r="A904" t="str">
        <f>_xlfn.XLOOKUP(branches[[#This Row],[Филиал]], tbl_Filialy[Филиал], tbl_Filialy[Город])</f>
        <v>Казань</v>
      </c>
      <c r="B904" s="1" t="s">
        <v>30</v>
      </c>
      <c r="C904" s="2">
        <v>45895</v>
      </c>
      <c r="D904" s="2" t="str">
        <f>CHOOSE(MONTH(branches[[#This Row],[Дата]]),"Январь","Февраль","Март","Апрель","Май","Июнь","Июль","Август","Сентябрь","Октябрь","Ноябрь","Декабрь")&amp;" "&amp;YEAR(branches[[#This Row],[Дата]])</f>
        <v>Август 2025</v>
      </c>
      <c r="E904" t="s">
        <v>25</v>
      </c>
      <c r="F904" t="s">
        <v>12</v>
      </c>
      <c r="G904">
        <v>1</v>
      </c>
      <c r="H904">
        <v>221</v>
      </c>
      <c r="I904" t="s">
        <v>21</v>
      </c>
      <c r="J904" t="str">
        <f>_xlfn.XLOOKUP(branches[[#This Row],[Филиал]], tbl_Filialy[Филиал], tbl_Filialy[Менеджер])</f>
        <v>Алия Гайнутдинова</v>
      </c>
    </row>
    <row r="905" spans="1:10" x14ac:dyDescent="0.3">
      <c r="A905" t="str">
        <f>_xlfn.XLOOKUP(branches[[#This Row],[Филиал]], tbl_Filialy[Филиал], tbl_Filialy[Город])</f>
        <v>Казань</v>
      </c>
      <c r="B905" s="1" t="s">
        <v>30</v>
      </c>
      <c r="C905" s="2">
        <v>45691</v>
      </c>
      <c r="D905" s="2" t="str">
        <f>CHOOSE(MONTH(branches[[#This Row],[Дата]]),"Январь","Февраль","Март","Апрель","Май","Июнь","Июль","Август","Сентябрь","Октябрь","Ноябрь","Декабрь")&amp;" "&amp;YEAR(branches[[#This Row],[Дата]])</f>
        <v>Февраль 2025</v>
      </c>
      <c r="E905" t="s">
        <v>28</v>
      </c>
      <c r="F905" t="s">
        <v>12</v>
      </c>
      <c r="G905">
        <v>1</v>
      </c>
      <c r="H905">
        <v>204</v>
      </c>
      <c r="I905" t="s">
        <v>19</v>
      </c>
      <c r="J905" t="str">
        <f>_xlfn.XLOOKUP(branches[[#This Row],[Филиал]], tbl_Filialy[Филиал], tbl_Filialy[Менеджер])</f>
        <v>Алия Гайнутдинова</v>
      </c>
    </row>
    <row r="906" spans="1:10" x14ac:dyDescent="0.3">
      <c r="A906" t="str">
        <f>_xlfn.XLOOKUP(branches[[#This Row],[Филиал]], tbl_Filialy[Филиал], tbl_Filialy[Город])</f>
        <v>Казань</v>
      </c>
      <c r="B906" s="1" t="s">
        <v>30</v>
      </c>
      <c r="C906" s="2">
        <v>45759</v>
      </c>
      <c r="D906" s="2" t="str">
        <f>CHOOSE(MONTH(branches[[#This Row],[Дата]]),"Январь","Февраль","Март","Апрель","Май","Июнь","Июль","Август","Сентябрь","Октябрь","Ноябрь","Декабрь")&amp;" "&amp;YEAR(branches[[#This Row],[Дата]])</f>
        <v>Апрель 2025</v>
      </c>
      <c r="E906" t="s">
        <v>20</v>
      </c>
      <c r="F906" t="s">
        <v>12</v>
      </c>
      <c r="G906">
        <v>2</v>
      </c>
      <c r="H906">
        <v>500</v>
      </c>
      <c r="I906" t="s">
        <v>10</v>
      </c>
      <c r="J906" t="str">
        <f>_xlfn.XLOOKUP(branches[[#This Row],[Филиал]], tbl_Filialy[Филиал], tbl_Filialy[Менеджер])</f>
        <v>Алия Гайнутдинова</v>
      </c>
    </row>
    <row r="907" spans="1:10" x14ac:dyDescent="0.3">
      <c r="A907" t="str">
        <f>_xlfn.XLOOKUP(branches[[#This Row],[Филиал]], tbl_Filialy[Филиал], tbl_Filialy[Город])</f>
        <v>Казань</v>
      </c>
      <c r="B907" s="1" t="s">
        <v>30</v>
      </c>
      <c r="C907" s="2">
        <v>45697</v>
      </c>
      <c r="D907" s="2" t="str">
        <f>CHOOSE(MONTH(branches[[#This Row],[Дата]]),"Январь","Февраль","Март","Апрель","Май","Июнь","Июль","Август","Сентябрь","Октябрь","Ноябрь","Декабрь")&amp;" "&amp;YEAR(branches[[#This Row],[Дата]])</f>
        <v>Февраль 2025</v>
      </c>
      <c r="E907" t="s">
        <v>27</v>
      </c>
      <c r="F907" t="s">
        <v>12</v>
      </c>
      <c r="G907">
        <v>3</v>
      </c>
      <c r="H907">
        <v>612</v>
      </c>
      <c r="I907" t="s">
        <v>21</v>
      </c>
      <c r="J907" t="str">
        <f>_xlfn.XLOOKUP(branches[[#This Row],[Филиал]], tbl_Filialy[Филиал], tbl_Filialy[Менеджер])</f>
        <v>Алия Гайнутдинова</v>
      </c>
    </row>
    <row r="908" spans="1:10" x14ac:dyDescent="0.3">
      <c r="A908" t="str">
        <f>_xlfn.XLOOKUP(branches[[#This Row],[Филиал]], tbl_Filialy[Филиал], tbl_Filialy[Город])</f>
        <v>Казань</v>
      </c>
      <c r="B908" s="1" t="s">
        <v>30</v>
      </c>
      <c r="C908" s="2">
        <v>46016</v>
      </c>
      <c r="D908" s="2" t="str">
        <f>CHOOSE(MONTH(branches[[#This Row],[Дата]]),"Январь","Февраль","Март","Апрель","Май","Июнь","Июль","Август","Сентябрь","Октябрь","Ноябрь","Декабрь")&amp;" "&amp;YEAR(branches[[#This Row],[Дата]])</f>
        <v>Декабрь 2025</v>
      </c>
      <c r="E908" t="s">
        <v>18</v>
      </c>
      <c r="F908" t="s">
        <v>12</v>
      </c>
      <c r="G908">
        <v>3</v>
      </c>
      <c r="H908">
        <v>363</v>
      </c>
      <c r="I908" t="s">
        <v>10</v>
      </c>
      <c r="J908" t="str">
        <f>_xlfn.XLOOKUP(branches[[#This Row],[Филиал]], tbl_Filialy[Филиал], tbl_Filialy[Менеджер])</f>
        <v>Алия Гайнутдинова</v>
      </c>
    </row>
    <row r="909" spans="1:10" x14ac:dyDescent="0.3">
      <c r="A909" t="str">
        <f>_xlfn.XLOOKUP(branches[[#This Row],[Филиал]], tbl_Filialy[Филиал], tbl_Filialy[Город])</f>
        <v>Казань</v>
      </c>
      <c r="B909" s="1" t="s">
        <v>30</v>
      </c>
      <c r="C909" s="2">
        <v>45673</v>
      </c>
      <c r="D909" s="2" t="str">
        <f>CHOOSE(MONTH(branches[[#This Row],[Дата]]),"Январь","Февраль","Март","Апрель","Май","Июнь","Июль","Август","Сентябрь","Октябрь","Ноябрь","Декабрь")&amp;" "&amp;YEAR(branches[[#This Row],[Дата]])</f>
        <v>Январь 2025</v>
      </c>
      <c r="E909" t="s">
        <v>27</v>
      </c>
      <c r="F909" t="s">
        <v>12</v>
      </c>
      <c r="G909">
        <v>1</v>
      </c>
      <c r="H909">
        <v>181</v>
      </c>
      <c r="I909" t="s">
        <v>13</v>
      </c>
      <c r="J909" t="str">
        <f>_xlfn.XLOOKUP(branches[[#This Row],[Филиал]], tbl_Filialy[Филиал], tbl_Filialy[Менеджер])</f>
        <v>Алия Гайнутдинова</v>
      </c>
    </row>
    <row r="910" spans="1:10" x14ac:dyDescent="0.3">
      <c r="A910" t="str">
        <f>_xlfn.XLOOKUP(branches[[#This Row],[Филиал]], tbl_Filialy[Филиал], tbl_Filialy[Город])</f>
        <v>Казань</v>
      </c>
      <c r="B910" s="1" t="s">
        <v>30</v>
      </c>
      <c r="C910" s="2">
        <v>45748</v>
      </c>
      <c r="D910" s="2" t="str">
        <f>CHOOSE(MONTH(branches[[#This Row],[Дата]]),"Январь","Февраль","Март","Апрель","Май","Июнь","Июль","Август","Сентябрь","Октябрь","Ноябрь","Декабрь")&amp;" "&amp;YEAR(branches[[#This Row],[Дата]])</f>
        <v>Апрель 2025</v>
      </c>
      <c r="E910" t="s">
        <v>14</v>
      </c>
      <c r="F910" t="s">
        <v>12</v>
      </c>
      <c r="G910">
        <v>1</v>
      </c>
      <c r="H910">
        <v>234</v>
      </c>
      <c r="I910" t="s">
        <v>21</v>
      </c>
      <c r="J910" t="str">
        <f>_xlfn.XLOOKUP(branches[[#This Row],[Филиал]], tbl_Filialy[Филиал], tbl_Filialy[Менеджер])</f>
        <v>Алия Гайнутдинова</v>
      </c>
    </row>
    <row r="911" spans="1:10" x14ac:dyDescent="0.3">
      <c r="A911" t="str">
        <f>_xlfn.XLOOKUP(branches[[#This Row],[Филиал]], tbl_Filialy[Филиал], tbl_Filialy[Город])</f>
        <v>Казань</v>
      </c>
      <c r="B911" s="1" t="s">
        <v>30</v>
      </c>
      <c r="C911" s="2">
        <v>45672</v>
      </c>
      <c r="D911" s="2" t="str">
        <f>CHOOSE(MONTH(branches[[#This Row],[Дата]]),"Январь","Февраль","Март","Апрель","Май","Июнь","Июль","Август","Сентябрь","Октябрь","Ноябрь","Декабрь")&amp;" "&amp;YEAR(branches[[#This Row],[Дата]])</f>
        <v>Январь 2025</v>
      </c>
      <c r="E911" t="s">
        <v>28</v>
      </c>
      <c r="F911" t="s">
        <v>12</v>
      </c>
      <c r="G911">
        <v>2</v>
      </c>
      <c r="H911">
        <v>476</v>
      </c>
      <c r="I911" t="s">
        <v>10</v>
      </c>
      <c r="J911" t="str">
        <f>_xlfn.XLOOKUP(branches[[#This Row],[Филиал]], tbl_Filialy[Филиал], tbl_Filialy[Менеджер])</f>
        <v>Алия Гайнутдинова</v>
      </c>
    </row>
    <row r="912" spans="1:10" x14ac:dyDescent="0.3">
      <c r="A912" t="str">
        <f>_xlfn.XLOOKUP(branches[[#This Row],[Филиал]], tbl_Filialy[Филиал], tbl_Filialy[Город])</f>
        <v>Казань</v>
      </c>
      <c r="B912" s="1" t="s">
        <v>30</v>
      </c>
      <c r="C912" s="2">
        <v>46017</v>
      </c>
      <c r="D912" s="2" t="str">
        <f>CHOOSE(MONTH(branches[[#This Row],[Дата]]),"Январь","Февраль","Март","Апрель","Май","Июнь","Июль","Август","Сентябрь","Октябрь","Ноябрь","Декабрь")&amp;" "&amp;YEAR(branches[[#This Row],[Дата]])</f>
        <v>Декабрь 2025</v>
      </c>
      <c r="E912" t="s">
        <v>25</v>
      </c>
      <c r="F912" t="s">
        <v>12</v>
      </c>
      <c r="G912">
        <v>2</v>
      </c>
      <c r="H912">
        <v>400</v>
      </c>
      <c r="I912" t="s">
        <v>13</v>
      </c>
      <c r="J912" t="str">
        <f>_xlfn.XLOOKUP(branches[[#This Row],[Филиал]], tbl_Filialy[Филиал], tbl_Filialy[Менеджер])</f>
        <v>Алия Гайнутдинова</v>
      </c>
    </row>
    <row r="913" spans="1:10" x14ac:dyDescent="0.3">
      <c r="A913" t="str">
        <f>_xlfn.XLOOKUP(branches[[#This Row],[Филиал]], tbl_Filialy[Филиал], tbl_Filialy[Город])</f>
        <v>Казань</v>
      </c>
      <c r="B913" s="1" t="s">
        <v>30</v>
      </c>
      <c r="C913" s="2">
        <v>45667</v>
      </c>
      <c r="D913" s="2" t="str">
        <f>CHOOSE(MONTH(branches[[#This Row],[Дата]]),"Январь","Февраль","Март","Апрель","Май","Июнь","Июль","Август","Сентябрь","Октябрь","Ноябрь","Декабрь")&amp;" "&amp;YEAR(branches[[#This Row],[Дата]])</f>
        <v>Январь 2025</v>
      </c>
      <c r="E913" t="s">
        <v>20</v>
      </c>
      <c r="F913" t="s">
        <v>12</v>
      </c>
      <c r="G913">
        <v>2</v>
      </c>
      <c r="H913">
        <v>528</v>
      </c>
      <c r="I913" t="s">
        <v>13</v>
      </c>
      <c r="J913" t="str">
        <f>_xlfn.XLOOKUP(branches[[#This Row],[Филиал]], tbl_Filialy[Филиал], tbl_Filialy[Менеджер])</f>
        <v>Алия Гайнутдинова</v>
      </c>
    </row>
    <row r="914" spans="1:10" x14ac:dyDescent="0.3">
      <c r="A914" t="str">
        <f>_xlfn.XLOOKUP(branches[[#This Row],[Филиал]], tbl_Filialy[Филиал], tbl_Filialy[Город])</f>
        <v>Казань</v>
      </c>
      <c r="B914" s="1" t="s">
        <v>30</v>
      </c>
      <c r="C914" s="2">
        <v>45742</v>
      </c>
      <c r="D914" s="2" t="str">
        <f>CHOOSE(MONTH(branches[[#This Row],[Дата]]),"Январь","Февраль","Март","Апрель","Май","Июнь","Июль","Август","Сентябрь","Октябрь","Ноябрь","Декабрь")&amp;" "&amp;YEAR(branches[[#This Row],[Дата]])</f>
        <v>Март 2025</v>
      </c>
      <c r="E914" t="s">
        <v>25</v>
      </c>
      <c r="F914" t="s">
        <v>12</v>
      </c>
      <c r="G914">
        <v>1</v>
      </c>
      <c r="H914">
        <v>208</v>
      </c>
      <c r="I914" t="s">
        <v>13</v>
      </c>
      <c r="J914" t="str">
        <f>_xlfn.XLOOKUP(branches[[#This Row],[Филиал]], tbl_Filialy[Филиал], tbl_Filialy[Менеджер])</f>
        <v>Алия Гайнутдинова</v>
      </c>
    </row>
    <row r="915" spans="1:10" x14ac:dyDescent="0.3">
      <c r="A915" t="str">
        <f>_xlfn.XLOOKUP(branches[[#This Row],[Филиал]], tbl_Filialy[Филиал], tbl_Filialy[Город])</f>
        <v>Казань</v>
      </c>
      <c r="B915" s="1" t="s">
        <v>30</v>
      </c>
      <c r="C915" s="2">
        <v>45718</v>
      </c>
      <c r="D915" s="2" t="str">
        <f>CHOOSE(MONTH(branches[[#This Row],[Дата]]),"Январь","Февраль","Март","Апрель","Май","Июнь","Июль","Август","Сентябрь","Октябрь","Ноябрь","Декабрь")&amp;" "&amp;YEAR(branches[[#This Row],[Дата]])</f>
        <v>Март 2025</v>
      </c>
      <c r="E915" t="s">
        <v>20</v>
      </c>
      <c r="F915" t="s">
        <v>12</v>
      </c>
      <c r="G915">
        <v>2</v>
      </c>
      <c r="H915">
        <v>606</v>
      </c>
      <c r="I915" t="s">
        <v>23</v>
      </c>
      <c r="J915" t="str">
        <f>_xlfn.XLOOKUP(branches[[#This Row],[Филиал]], tbl_Filialy[Филиал], tbl_Filialy[Менеджер])</f>
        <v>Алия Гайнутдинова</v>
      </c>
    </row>
    <row r="916" spans="1:10" x14ac:dyDescent="0.3">
      <c r="A916" t="str">
        <f>_xlfn.XLOOKUP(branches[[#This Row],[Филиал]], tbl_Filialy[Филиал], tbl_Filialy[Город])</f>
        <v>Казань</v>
      </c>
      <c r="B916" s="1" t="s">
        <v>30</v>
      </c>
      <c r="C916" s="2">
        <v>45672</v>
      </c>
      <c r="D916" s="2" t="str">
        <f>CHOOSE(MONTH(branches[[#This Row],[Дата]]),"Январь","Февраль","Март","Апрель","Май","Июнь","Июль","Август","Сентябрь","Октябрь","Ноябрь","Декабрь")&amp;" "&amp;YEAR(branches[[#This Row],[Дата]])</f>
        <v>Январь 2025</v>
      </c>
      <c r="E916" t="s">
        <v>11</v>
      </c>
      <c r="F916" t="s">
        <v>12</v>
      </c>
      <c r="G916">
        <v>3</v>
      </c>
      <c r="H916">
        <v>462</v>
      </c>
      <c r="I916" t="s">
        <v>19</v>
      </c>
      <c r="J916" t="str">
        <f>_xlfn.XLOOKUP(branches[[#This Row],[Филиал]], tbl_Filialy[Филиал], tbl_Filialy[Менеджер])</f>
        <v>Алия Гайнутдинова</v>
      </c>
    </row>
    <row r="917" spans="1:10" x14ac:dyDescent="0.3">
      <c r="A917" t="str">
        <f>_xlfn.XLOOKUP(branches[[#This Row],[Филиал]], tbl_Filialy[Филиал], tbl_Filialy[Город])</f>
        <v>Казань</v>
      </c>
      <c r="B917" s="1" t="s">
        <v>30</v>
      </c>
      <c r="C917" s="2">
        <v>45894</v>
      </c>
      <c r="D917" s="2" t="str">
        <f>CHOOSE(MONTH(branches[[#This Row],[Дата]]),"Январь","Февраль","Март","Апрель","Май","Июнь","Июль","Август","Сентябрь","Октябрь","Ноябрь","Декабрь")&amp;" "&amp;YEAR(branches[[#This Row],[Дата]])</f>
        <v>Август 2025</v>
      </c>
      <c r="E917" t="s">
        <v>22</v>
      </c>
      <c r="F917" t="s">
        <v>9</v>
      </c>
      <c r="G917">
        <v>3</v>
      </c>
      <c r="H917">
        <v>483</v>
      </c>
      <c r="I917" t="s">
        <v>23</v>
      </c>
      <c r="J917" t="str">
        <f>_xlfn.XLOOKUP(branches[[#This Row],[Филиал]], tbl_Filialy[Филиал], tbl_Filialy[Менеджер])</f>
        <v>Алия Гайнутдинова</v>
      </c>
    </row>
    <row r="918" spans="1:10" x14ac:dyDescent="0.3">
      <c r="A918" t="str">
        <f>_xlfn.XLOOKUP(branches[[#This Row],[Филиал]], tbl_Filialy[Филиал], tbl_Filialy[Город])</f>
        <v>Казань</v>
      </c>
      <c r="B918" s="1" t="s">
        <v>30</v>
      </c>
      <c r="C918" s="2">
        <v>45834</v>
      </c>
      <c r="D918" s="2" t="str">
        <f>CHOOSE(MONTH(branches[[#This Row],[Дата]]),"Январь","Февраль","Март","Апрель","Май","Июнь","Июль","Август","Сентябрь","Октябрь","Ноябрь","Декабрь")&amp;" "&amp;YEAR(branches[[#This Row],[Дата]])</f>
        <v>Июнь 2025</v>
      </c>
      <c r="E918" t="s">
        <v>11</v>
      </c>
      <c r="F918" t="s">
        <v>12</v>
      </c>
      <c r="G918">
        <v>1</v>
      </c>
      <c r="H918">
        <v>167</v>
      </c>
      <c r="I918" t="s">
        <v>13</v>
      </c>
      <c r="J918" t="str">
        <f>_xlfn.XLOOKUP(branches[[#This Row],[Филиал]], tbl_Filialy[Филиал], tbl_Filialy[Менеджер])</f>
        <v>Алия Гайнутдинова</v>
      </c>
    </row>
    <row r="919" spans="1:10" x14ac:dyDescent="0.3">
      <c r="A919" t="str">
        <f>_xlfn.XLOOKUP(branches[[#This Row],[Филиал]], tbl_Filialy[Филиал], tbl_Filialy[Город])</f>
        <v>Казань</v>
      </c>
      <c r="B919" s="1" t="s">
        <v>30</v>
      </c>
      <c r="C919" s="2">
        <v>45945</v>
      </c>
      <c r="D919" s="2" t="str">
        <f>CHOOSE(MONTH(branches[[#This Row],[Дата]]),"Январь","Февраль","Март","Апрель","Май","Июнь","Июль","Август","Сентябрь","Октябрь","Ноябрь","Декабрь")&amp;" "&amp;YEAR(branches[[#This Row],[Дата]])</f>
        <v>Октябрь 2025</v>
      </c>
      <c r="E919" t="s">
        <v>28</v>
      </c>
      <c r="F919" t="s">
        <v>12</v>
      </c>
      <c r="G919">
        <v>1</v>
      </c>
      <c r="H919">
        <v>249</v>
      </c>
      <c r="I919" t="s">
        <v>21</v>
      </c>
      <c r="J919" t="str">
        <f>_xlfn.XLOOKUP(branches[[#This Row],[Филиал]], tbl_Filialy[Филиал], tbl_Filialy[Менеджер])</f>
        <v>Алия Гайнутдинова</v>
      </c>
    </row>
    <row r="920" spans="1:10" x14ac:dyDescent="0.3">
      <c r="A920" t="str">
        <f>_xlfn.XLOOKUP(branches[[#This Row],[Филиал]], tbl_Filialy[Филиал], tbl_Filialy[Город])</f>
        <v>Казань</v>
      </c>
      <c r="B920" s="1" t="s">
        <v>30</v>
      </c>
      <c r="C920" s="2">
        <v>45824</v>
      </c>
      <c r="D920" s="2" t="str">
        <f>CHOOSE(MONTH(branches[[#This Row],[Дата]]),"Январь","Февраль","Март","Апрель","Май","Июнь","Июль","Август","Сентябрь","Октябрь","Ноябрь","Декабрь")&amp;" "&amp;YEAR(branches[[#This Row],[Дата]])</f>
        <v>Июнь 2025</v>
      </c>
      <c r="E920" t="s">
        <v>11</v>
      </c>
      <c r="F920" t="s">
        <v>12</v>
      </c>
      <c r="G920">
        <v>1</v>
      </c>
      <c r="H920">
        <v>188</v>
      </c>
      <c r="I920" t="s">
        <v>13</v>
      </c>
      <c r="J920" t="str">
        <f>_xlfn.XLOOKUP(branches[[#This Row],[Филиал]], tbl_Filialy[Филиал], tbl_Filialy[Менеджер])</f>
        <v>Алия Гайнутдинова</v>
      </c>
    </row>
    <row r="921" spans="1:10" x14ac:dyDescent="0.3">
      <c r="A921" t="str">
        <f>_xlfn.XLOOKUP(branches[[#This Row],[Филиал]], tbl_Filialy[Филиал], tbl_Filialy[Город])</f>
        <v>Казань</v>
      </c>
      <c r="B921" s="1" t="s">
        <v>30</v>
      </c>
      <c r="C921" s="2">
        <v>45975</v>
      </c>
      <c r="D921" s="2" t="str">
        <f>CHOOSE(MONTH(branches[[#This Row],[Дата]]),"Январь","Февраль","Март","Апрель","Май","Июнь","Июль","Август","Сентябрь","Октябрь","Ноябрь","Декабрь")&amp;" "&amp;YEAR(branches[[#This Row],[Дата]])</f>
        <v>Ноябрь 2025</v>
      </c>
      <c r="E921" t="s">
        <v>22</v>
      </c>
      <c r="F921" t="s">
        <v>9</v>
      </c>
      <c r="G921">
        <v>1</v>
      </c>
      <c r="H921">
        <v>181</v>
      </c>
      <c r="I921" t="s">
        <v>21</v>
      </c>
      <c r="J921" t="str">
        <f>_xlfn.XLOOKUP(branches[[#This Row],[Филиал]], tbl_Filialy[Филиал], tbl_Filialy[Менеджер])</f>
        <v>Алия Гайнутдинова</v>
      </c>
    </row>
    <row r="922" spans="1:10" x14ac:dyDescent="0.3">
      <c r="A922" t="str">
        <f>_xlfn.XLOOKUP(branches[[#This Row],[Филиал]], tbl_Filialy[Филиал], tbl_Filialy[Город])</f>
        <v>Казань</v>
      </c>
      <c r="B922" s="1" t="s">
        <v>30</v>
      </c>
      <c r="C922" s="2">
        <v>45676</v>
      </c>
      <c r="D922" s="2" t="str">
        <f>CHOOSE(MONTH(branches[[#This Row],[Дата]]),"Январь","Февраль","Март","Апрель","Май","Июнь","Июль","Август","Сентябрь","Октябрь","Ноябрь","Декабрь")&amp;" "&amp;YEAR(branches[[#This Row],[Дата]])</f>
        <v>Январь 2025</v>
      </c>
      <c r="E922" t="s">
        <v>16</v>
      </c>
      <c r="F922" t="s">
        <v>17</v>
      </c>
      <c r="G922">
        <v>1</v>
      </c>
      <c r="H922">
        <v>318</v>
      </c>
      <c r="I922" t="s">
        <v>13</v>
      </c>
      <c r="J922" t="str">
        <f>_xlfn.XLOOKUP(branches[[#This Row],[Филиал]], tbl_Filialy[Филиал], tbl_Filialy[Менеджер])</f>
        <v>Алия Гайнутдинова</v>
      </c>
    </row>
    <row r="923" spans="1:10" x14ac:dyDescent="0.3">
      <c r="A923" t="str">
        <f>_xlfn.XLOOKUP(branches[[#This Row],[Филиал]], tbl_Filialy[Филиал], tbl_Filialy[Город])</f>
        <v>Казань</v>
      </c>
      <c r="B923" s="1" t="s">
        <v>30</v>
      </c>
      <c r="C923" s="2">
        <v>45771</v>
      </c>
      <c r="D923" s="2" t="str">
        <f>CHOOSE(MONTH(branches[[#This Row],[Дата]]),"Январь","Февраль","Март","Апрель","Май","Июнь","Июль","Август","Сентябрь","Октябрь","Ноябрь","Декабрь")&amp;" "&amp;YEAR(branches[[#This Row],[Дата]])</f>
        <v>Апрель 2025</v>
      </c>
      <c r="E923" t="s">
        <v>20</v>
      </c>
      <c r="F923" t="s">
        <v>12</v>
      </c>
      <c r="G923">
        <v>2</v>
      </c>
      <c r="H923">
        <v>602</v>
      </c>
      <c r="I923" t="s">
        <v>13</v>
      </c>
      <c r="J923" t="str">
        <f>_xlfn.XLOOKUP(branches[[#This Row],[Филиал]], tbl_Filialy[Филиал], tbl_Filialy[Менеджер])</f>
        <v>Алия Гайнутдинова</v>
      </c>
    </row>
    <row r="924" spans="1:10" x14ac:dyDescent="0.3">
      <c r="A924" t="str">
        <f>_xlfn.XLOOKUP(branches[[#This Row],[Филиал]], tbl_Filialy[Филиал], tbl_Filialy[Город])</f>
        <v>Казань</v>
      </c>
      <c r="B924" s="1" t="s">
        <v>30</v>
      </c>
      <c r="C924" s="2">
        <v>45668</v>
      </c>
      <c r="D924" s="2" t="str">
        <f>CHOOSE(MONTH(branches[[#This Row],[Дата]]),"Январь","Февраль","Март","Апрель","Май","Июнь","Июль","Август","Сентябрь","Октябрь","Ноябрь","Декабрь")&amp;" "&amp;YEAR(branches[[#This Row],[Дата]])</f>
        <v>Январь 2025</v>
      </c>
      <c r="E924" t="s">
        <v>16</v>
      </c>
      <c r="F924" t="s">
        <v>17</v>
      </c>
      <c r="G924">
        <v>2</v>
      </c>
      <c r="H924">
        <v>656</v>
      </c>
      <c r="I924" t="s">
        <v>15</v>
      </c>
      <c r="J924" t="str">
        <f>_xlfn.XLOOKUP(branches[[#This Row],[Филиал]], tbl_Filialy[Филиал], tbl_Filialy[Менеджер])</f>
        <v>Алия Гайнутдинова</v>
      </c>
    </row>
    <row r="925" spans="1:10" x14ac:dyDescent="0.3">
      <c r="A925" t="str">
        <f>_xlfn.XLOOKUP(branches[[#This Row],[Филиал]], tbl_Filialy[Филиал], tbl_Filialy[Город])</f>
        <v>Казань</v>
      </c>
      <c r="B925" s="1" t="s">
        <v>30</v>
      </c>
      <c r="C925" s="2">
        <v>45983</v>
      </c>
      <c r="D925" s="2" t="str">
        <f>CHOOSE(MONTH(branches[[#This Row],[Дата]]),"Январь","Февраль","Март","Апрель","Май","Июнь","Июль","Август","Сентябрь","Октябрь","Ноябрь","Декабрь")&amp;" "&amp;YEAR(branches[[#This Row],[Дата]])</f>
        <v>Ноябрь 2025</v>
      </c>
      <c r="E925" t="s">
        <v>20</v>
      </c>
      <c r="F925" t="s">
        <v>12</v>
      </c>
      <c r="G925">
        <v>1</v>
      </c>
      <c r="H925">
        <v>281</v>
      </c>
      <c r="I925" t="s">
        <v>13</v>
      </c>
      <c r="J925" t="str">
        <f>_xlfn.XLOOKUP(branches[[#This Row],[Филиал]], tbl_Filialy[Филиал], tbl_Filialy[Менеджер])</f>
        <v>Алия Гайнутдинова</v>
      </c>
    </row>
    <row r="926" spans="1:10" x14ac:dyDescent="0.3">
      <c r="A926" t="str">
        <f>_xlfn.XLOOKUP(branches[[#This Row],[Филиал]], tbl_Filialy[Филиал], tbl_Filialy[Город])</f>
        <v>Казань</v>
      </c>
      <c r="B926" s="1" t="s">
        <v>30</v>
      </c>
      <c r="C926" s="2">
        <v>45730</v>
      </c>
      <c r="D926" s="2" t="str">
        <f>CHOOSE(MONTH(branches[[#This Row],[Дата]]),"Январь","Февраль","Март","Апрель","Май","Июнь","Июль","Август","Сентябрь","Октябрь","Ноябрь","Декабрь")&amp;" "&amp;YEAR(branches[[#This Row],[Дата]])</f>
        <v>Март 2025</v>
      </c>
      <c r="E926" t="s">
        <v>16</v>
      </c>
      <c r="F926" t="s">
        <v>17</v>
      </c>
      <c r="G926">
        <v>1</v>
      </c>
      <c r="H926">
        <v>324</v>
      </c>
      <c r="I926" t="s">
        <v>23</v>
      </c>
      <c r="J926" t="str">
        <f>_xlfn.XLOOKUP(branches[[#This Row],[Филиал]], tbl_Filialy[Филиал], tbl_Filialy[Менеджер])</f>
        <v>Алия Гайнутдинова</v>
      </c>
    </row>
    <row r="927" spans="1:10" x14ac:dyDescent="0.3">
      <c r="A927" t="str">
        <f>_xlfn.XLOOKUP(branches[[#This Row],[Филиал]], tbl_Filialy[Филиал], tbl_Filialy[Город])</f>
        <v>Казань</v>
      </c>
      <c r="B927" s="1" t="s">
        <v>30</v>
      </c>
      <c r="C927" s="2">
        <v>45724</v>
      </c>
      <c r="D927" s="2" t="str">
        <f>CHOOSE(MONTH(branches[[#This Row],[Дата]]),"Январь","Февраль","Март","Апрель","Май","Июнь","Июль","Август","Сентябрь","Октябрь","Ноябрь","Декабрь")&amp;" "&amp;YEAR(branches[[#This Row],[Дата]])</f>
        <v>Март 2025</v>
      </c>
      <c r="E927" t="s">
        <v>22</v>
      </c>
      <c r="F927" t="s">
        <v>9</v>
      </c>
      <c r="G927">
        <v>2</v>
      </c>
      <c r="H927">
        <v>324</v>
      </c>
      <c r="I927" t="s">
        <v>13</v>
      </c>
      <c r="J927" t="str">
        <f>_xlfn.XLOOKUP(branches[[#This Row],[Филиал]], tbl_Filialy[Филиал], tbl_Filialy[Менеджер])</f>
        <v>Алия Гайнутдинова</v>
      </c>
    </row>
    <row r="928" spans="1:10" x14ac:dyDescent="0.3">
      <c r="A928" t="str">
        <f>_xlfn.XLOOKUP(branches[[#This Row],[Филиал]], tbl_Filialy[Филиал], tbl_Filialy[Город])</f>
        <v>Казань</v>
      </c>
      <c r="B928" s="1" t="s">
        <v>30</v>
      </c>
      <c r="C928" s="2">
        <v>45797</v>
      </c>
      <c r="D928" s="2" t="str">
        <f>CHOOSE(MONTH(branches[[#This Row],[Дата]]),"Январь","Февраль","Март","Апрель","Май","Июнь","Июль","Август","Сентябрь","Октябрь","Ноябрь","Декабрь")&amp;" "&amp;YEAR(branches[[#This Row],[Дата]])</f>
        <v>Май 2025</v>
      </c>
      <c r="E928" t="s">
        <v>16</v>
      </c>
      <c r="F928" t="s">
        <v>17</v>
      </c>
      <c r="G928">
        <v>1</v>
      </c>
      <c r="H928">
        <v>292</v>
      </c>
      <c r="I928" t="s">
        <v>21</v>
      </c>
      <c r="J928" t="str">
        <f>_xlfn.XLOOKUP(branches[[#This Row],[Филиал]], tbl_Filialy[Филиал], tbl_Filialy[Менеджер])</f>
        <v>Алия Гайнутдинова</v>
      </c>
    </row>
    <row r="929" spans="1:10" x14ac:dyDescent="0.3">
      <c r="A929" t="str">
        <f>_xlfn.XLOOKUP(branches[[#This Row],[Филиал]], tbl_Filialy[Филиал], tbl_Filialy[Город])</f>
        <v>Казань</v>
      </c>
      <c r="B929" s="1" t="s">
        <v>30</v>
      </c>
      <c r="C929" s="2">
        <v>45964</v>
      </c>
      <c r="D929" s="2" t="str">
        <f>CHOOSE(MONTH(branches[[#This Row],[Дата]]),"Январь","Февраль","Март","Апрель","Май","Июнь","Июль","Август","Сентябрь","Октябрь","Ноябрь","Декабрь")&amp;" "&amp;YEAR(branches[[#This Row],[Дата]])</f>
        <v>Ноябрь 2025</v>
      </c>
      <c r="E929" t="s">
        <v>8</v>
      </c>
      <c r="F929" t="s">
        <v>9</v>
      </c>
      <c r="G929">
        <v>1</v>
      </c>
      <c r="H929">
        <v>233</v>
      </c>
      <c r="I929" t="s">
        <v>19</v>
      </c>
      <c r="J929" t="str">
        <f>_xlfn.XLOOKUP(branches[[#This Row],[Филиал]], tbl_Filialy[Филиал], tbl_Filialy[Менеджер])</f>
        <v>Алия Гайнутдинова</v>
      </c>
    </row>
    <row r="930" spans="1:10" x14ac:dyDescent="0.3">
      <c r="A930" t="str">
        <f>_xlfn.XLOOKUP(branches[[#This Row],[Филиал]], tbl_Filialy[Филиал], tbl_Filialy[Город])</f>
        <v>Казань</v>
      </c>
      <c r="B930" s="1" t="s">
        <v>30</v>
      </c>
      <c r="C930" s="2">
        <v>45667</v>
      </c>
      <c r="D930" s="2" t="str">
        <f>CHOOSE(MONTH(branches[[#This Row],[Дата]]),"Январь","Февраль","Март","Апрель","Май","Июнь","Июль","Август","Сентябрь","Октябрь","Ноябрь","Декабрь")&amp;" "&amp;YEAR(branches[[#This Row],[Дата]])</f>
        <v>Январь 2025</v>
      </c>
      <c r="E930" t="s">
        <v>27</v>
      </c>
      <c r="F930" t="s">
        <v>12</v>
      </c>
      <c r="G930">
        <v>2</v>
      </c>
      <c r="H930">
        <v>456</v>
      </c>
      <c r="I930" t="s">
        <v>13</v>
      </c>
      <c r="J930" t="str">
        <f>_xlfn.XLOOKUP(branches[[#This Row],[Филиал]], tbl_Filialy[Филиал], tbl_Filialy[Менеджер])</f>
        <v>Алия Гайнутдинова</v>
      </c>
    </row>
    <row r="931" spans="1:10" x14ac:dyDescent="0.3">
      <c r="A931" t="str">
        <f>_xlfn.XLOOKUP(branches[[#This Row],[Филиал]], tbl_Filialy[Филиал], tbl_Filialy[Город])</f>
        <v>Казань</v>
      </c>
      <c r="B931" s="1" t="s">
        <v>30</v>
      </c>
      <c r="C931" s="2">
        <v>45782</v>
      </c>
      <c r="D931" s="2" t="str">
        <f>CHOOSE(MONTH(branches[[#This Row],[Дата]]),"Январь","Февраль","Март","Апрель","Май","Июнь","Июль","Август","Сентябрь","Октябрь","Ноябрь","Декабрь")&amp;" "&amp;YEAR(branches[[#This Row],[Дата]])</f>
        <v>Май 2025</v>
      </c>
      <c r="E931" t="s">
        <v>11</v>
      </c>
      <c r="F931" t="s">
        <v>12</v>
      </c>
      <c r="G931">
        <v>2</v>
      </c>
      <c r="H931">
        <v>330</v>
      </c>
      <c r="I931" t="s">
        <v>23</v>
      </c>
      <c r="J931" t="str">
        <f>_xlfn.XLOOKUP(branches[[#This Row],[Филиал]], tbl_Filialy[Филиал], tbl_Filialy[Менеджер])</f>
        <v>Алия Гайнутдинова</v>
      </c>
    </row>
    <row r="932" spans="1:10" x14ac:dyDescent="0.3">
      <c r="A932" t="str">
        <f>_xlfn.XLOOKUP(branches[[#This Row],[Филиал]], tbl_Filialy[Филиал], tbl_Filialy[Город])</f>
        <v>Казань</v>
      </c>
      <c r="B932" s="1" t="s">
        <v>30</v>
      </c>
      <c r="C932" s="2">
        <v>45738</v>
      </c>
      <c r="D932" s="2" t="str">
        <f>CHOOSE(MONTH(branches[[#This Row],[Дата]]),"Январь","Февраль","Март","Апрель","Май","Июнь","Июль","Август","Сентябрь","Октябрь","Ноябрь","Декабрь")&amp;" "&amp;YEAR(branches[[#This Row],[Дата]])</f>
        <v>Март 2025</v>
      </c>
      <c r="E932" t="s">
        <v>22</v>
      </c>
      <c r="F932" t="s">
        <v>9</v>
      </c>
      <c r="G932">
        <v>1</v>
      </c>
      <c r="H932">
        <v>170</v>
      </c>
      <c r="I932" t="s">
        <v>23</v>
      </c>
      <c r="J932" t="str">
        <f>_xlfn.XLOOKUP(branches[[#This Row],[Филиал]], tbl_Filialy[Филиал], tbl_Filialy[Менеджер])</f>
        <v>Алия Гайнутдинова</v>
      </c>
    </row>
    <row r="933" spans="1:10" x14ac:dyDescent="0.3">
      <c r="A933" t="str">
        <f>_xlfn.XLOOKUP(branches[[#This Row],[Филиал]], tbl_Filialy[Филиал], tbl_Filialy[Город])</f>
        <v>Казань</v>
      </c>
      <c r="B933" s="1" t="s">
        <v>30</v>
      </c>
      <c r="C933" s="2">
        <v>45997</v>
      </c>
      <c r="D933" s="2" t="str">
        <f>CHOOSE(MONTH(branches[[#This Row],[Дата]]),"Январь","Февраль","Март","Апрель","Май","Июнь","Июль","Август","Сентябрь","Октябрь","Ноябрь","Декабрь")&amp;" "&amp;YEAR(branches[[#This Row],[Дата]])</f>
        <v>Декабрь 2025</v>
      </c>
      <c r="E933" t="s">
        <v>11</v>
      </c>
      <c r="F933" t="s">
        <v>12</v>
      </c>
      <c r="G933">
        <v>1</v>
      </c>
      <c r="H933">
        <v>179</v>
      </c>
      <c r="I933" t="s">
        <v>21</v>
      </c>
      <c r="J933" t="str">
        <f>_xlfn.XLOOKUP(branches[[#This Row],[Филиал]], tbl_Filialy[Филиал], tbl_Filialy[Менеджер])</f>
        <v>Алия Гайнутдинова</v>
      </c>
    </row>
    <row r="934" spans="1:10" x14ac:dyDescent="0.3">
      <c r="A934" t="str">
        <f>_xlfn.XLOOKUP(branches[[#This Row],[Филиал]], tbl_Filialy[Филиал], tbl_Filialy[Город])</f>
        <v>Казань</v>
      </c>
      <c r="B934" s="1" t="s">
        <v>30</v>
      </c>
      <c r="C934" s="2">
        <v>45826</v>
      </c>
      <c r="D934" s="2" t="str">
        <f>CHOOSE(MONTH(branches[[#This Row],[Дата]]),"Январь","Февраль","Март","Апрель","Май","Июнь","Июль","Август","Сентябрь","Октябрь","Ноябрь","Декабрь")&amp;" "&amp;YEAR(branches[[#This Row],[Дата]])</f>
        <v>Июнь 2025</v>
      </c>
      <c r="E934" t="s">
        <v>16</v>
      </c>
      <c r="F934" t="s">
        <v>17</v>
      </c>
      <c r="G934">
        <v>2</v>
      </c>
      <c r="H934">
        <v>616</v>
      </c>
      <c r="I934" t="s">
        <v>15</v>
      </c>
      <c r="J934" t="str">
        <f>_xlfn.XLOOKUP(branches[[#This Row],[Филиал]], tbl_Filialy[Филиал], tbl_Filialy[Менеджер])</f>
        <v>Алия Гайнутдинова</v>
      </c>
    </row>
    <row r="935" spans="1:10" x14ac:dyDescent="0.3">
      <c r="A935" t="str">
        <f>_xlfn.XLOOKUP(branches[[#This Row],[Филиал]], tbl_Filialy[Филиал], tbl_Filialy[Город])</f>
        <v>Казань</v>
      </c>
      <c r="B935" s="1" t="s">
        <v>30</v>
      </c>
      <c r="C935" s="2">
        <v>45780</v>
      </c>
      <c r="D935" s="2" t="str">
        <f>CHOOSE(MONTH(branches[[#This Row],[Дата]]),"Январь","Февраль","Март","Апрель","Май","Июнь","Июль","Август","Сентябрь","Октябрь","Ноябрь","Декабрь")&amp;" "&amp;YEAR(branches[[#This Row],[Дата]])</f>
        <v>Май 2025</v>
      </c>
      <c r="E935" t="s">
        <v>11</v>
      </c>
      <c r="F935" t="s">
        <v>12</v>
      </c>
      <c r="G935">
        <v>2</v>
      </c>
      <c r="H935">
        <v>366</v>
      </c>
      <c r="I935" t="s">
        <v>21</v>
      </c>
      <c r="J935" t="str">
        <f>_xlfn.XLOOKUP(branches[[#This Row],[Филиал]], tbl_Filialy[Филиал], tbl_Filialy[Менеджер])</f>
        <v>Алия Гайнутдинова</v>
      </c>
    </row>
    <row r="936" spans="1:10" x14ac:dyDescent="0.3">
      <c r="A936" t="str">
        <f>_xlfn.XLOOKUP(branches[[#This Row],[Филиал]], tbl_Filialy[Филиал], tbl_Filialy[Город])</f>
        <v>Казань</v>
      </c>
      <c r="B936" s="1" t="s">
        <v>30</v>
      </c>
      <c r="C936" s="2">
        <v>45794</v>
      </c>
      <c r="D936" s="2" t="str">
        <f>CHOOSE(MONTH(branches[[#This Row],[Дата]]),"Январь","Февраль","Март","Апрель","Май","Июнь","Июль","Август","Сентябрь","Октябрь","Ноябрь","Декабрь")&amp;" "&amp;YEAR(branches[[#This Row],[Дата]])</f>
        <v>Май 2025</v>
      </c>
      <c r="E936" t="s">
        <v>24</v>
      </c>
      <c r="F936" t="s">
        <v>17</v>
      </c>
      <c r="G936">
        <v>1</v>
      </c>
      <c r="H936">
        <v>382</v>
      </c>
      <c r="I936" t="s">
        <v>13</v>
      </c>
      <c r="J936" t="str">
        <f>_xlfn.XLOOKUP(branches[[#This Row],[Филиал]], tbl_Filialy[Филиал], tbl_Filialy[Менеджер])</f>
        <v>Алия Гайнутдинова</v>
      </c>
    </row>
    <row r="937" spans="1:10" x14ac:dyDescent="0.3">
      <c r="A937" t="str">
        <f>_xlfn.XLOOKUP(branches[[#This Row],[Филиал]], tbl_Filialy[Филиал], tbl_Filialy[Город])</f>
        <v>Казань</v>
      </c>
      <c r="B937" s="1" t="s">
        <v>30</v>
      </c>
      <c r="C937" s="2">
        <v>45803</v>
      </c>
      <c r="D937" s="2" t="str">
        <f>CHOOSE(MONTH(branches[[#This Row],[Дата]]),"Январь","Февраль","Март","Апрель","Май","Июнь","Июль","Август","Сентябрь","Октябрь","Ноябрь","Декабрь")&amp;" "&amp;YEAR(branches[[#This Row],[Дата]])</f>
        <v>Май 2025</v>
      </c>
      <c r="E937" t="s">
        <v>18</v>
      </c>
      <c r="F937" t="s">
        <v>12</v>
      </c>
      <c r="G937">
        <v>1</v>
      </c>
      <c r="H937">
        <v>122</v>
      </c>
      <c r="I937" t="s">
        <v>13</v>
      </c>
      <c r="J937" t="str">
        <f>_xlfn.XLOOKUP(branches[[#This Row],[Филиал]], tbl_Filialy[Филиал], tbl_Filialy[Менеджер])</f>
        <v>Алия Гайнутдинова</v>
      </c>
    </row>
    <row r="938" spans="1:10" x14ac:dyDescent="0.3">
      <c r="A938" t="str">
        <f>_xlfn.XLOOKUP(branches[[#This Row],[Филиал]], tbl_Filialy[Филиал], tbl_Filialy[Город])</f>
        <v>Казань</v>
      </c>
      <c r="B938" s="1" t="s">
        <v>30</v>
      </c>
      <c r="C938" s="2">
        <v>45784</v>
      </c>
      <c r="D938" s="2" t="str">
        <f>CHOOSE(MONTH(branches[[#This Row],[Дата]]),"Январь","Февраль","Март","Апрель","Май","Июнь","Июль","Август","Сентябрь","Октябрь","Ноябрь","Декабрь")&amp;" "&amp;YEAR(branches[[#This Row],[Дата]])</f>
        <v>Май 2025</v>
      </c>
      <c r="E938" t="s">
        <v>20</v>
      </c>
      <c r="F938" t="s">
        <v>12</v>
      </c>
      <c r="G938">
        <v>1</v>
      </c>
      <c r="H938">
        <v>258</v>
      </c>
      <c r="I938" t="s">
        <v>21</v>
      </c>
      <c r="J938" t="str">
        <f>_xlfn.XLOOKUP(branches[[#This Row],[Филиал]], tbl_Filialy[Филиал], tbl_Filialy[Менеджер])</f>
        <v>Алия Гайнутдинова</v>
      </c>
    </row>
    <row r="939" spans="1:10" x14ac:dyDescent="0.3">
      <c r="A939" t="str">
        <f>_xlfn.XLOOKUP(branches[[#This Row],[Филиал]], tbl_Filialy[Филиал], tbl_Filialy[Город])</f>
        <v>Казань</v>
      </c>
      <c r="B939" s="1" t="s">
        <v>30</v>
      </c>
      <c r="C939" s="2">
        <v>45843</v>
      </c>
      <c r="D939" s="2" t="str">
        <f>CHOOSE(MONTH(branches[[#This Row],[Дата]]),"Январь","Февраль","Март","Апрель","Май","Июнь","Июль","Август","Сентябрь","Октябрь","Ноябрь","Декабрь")&amp;" "&amp;YEAR(branches[[#This Row],[Дата]])</f>
        <v>Июль 2025</v>
      </c>
      <c r="E939" t="s">
        <v>18</v>
      </c>
      <c r="F939" t="s">
        <v>12</v>
      </c>
      <c r="G939">
        <v>1</v>
      </c>
      <c r="H939">
        <v>137</v>
      </c>
      <c r="I939" t="s">
        <v>23</v>
      </c>
      <c r="J939" t="str">
        <f>_xlfn.XLOOKUP(branches[[#This Row],[Филиал]], tbl_Filialy[Филиал], tbl_Filialy[Менеджер])</f>
        <v>Алия Гайнутдинова</v>
      </c>
    </row>
    <row r="940" spans="1:10" x14ac:dyDescent="0.3">
      <c r="A940" t="str">
        <f>_xlfn.XLOOKUP(branches[[#This Row],[Филиал]], tbl_Filialy[Филиал], tbl_Filialy[Город])</f>
        <v>Казань</v>
      </c>
      <c r="B940" s="1" t="s">
        <v>30</v>
      </c>
      <c r="C940" s="2">
        <v>45765</v>
      </c>
      <c r="D940" s="2" t="str">
        <f>CHOOSE(MONTH(branches[[#This Row],[Дата]]),"Январь","Февраль","Март","Апрель","Май","Июнь","Июль","Август","Сентябрь","Октябрь","Ноябрь","Декабрь")&amp;" "&amp;YEAR(branches[[#This Row],[Дата]])</f>
        <v>Апрель 2025</v>
      </c>
      <c r="E940" t="s">
        <v>11</v>
      </c>
      <c r="F940" t="s">
        <v>12</v>
      </c>
      <c r="G940">
        <v>1</v>
      </c>
      <c r="H940">
        <v>160</v>
      </c>
      <c r="I940" t="s">
        <v>23</v>
      </c>
      <c r="J940" t="str">
        <f>_xlfn.XLOOKUP(branches[[#This Row],[Филиал]], tbl_Filialy[Филиал], tbl_Filialy[Менеджер])</f>
        <v>Алия Гайнутдинова</v>
      </c>
    </row>
    <row r="941" spans="1:10" x14ac:dyDescent="0.3">
      <c r="A941" t="str">
        <f>_xlfn.XLOOKUP(branches[[#This Row],[Филиал]], tbl_Filialy[Филиал], tbl_Filialy[Город])</f>
        <v>Казань</v>
      </c>
      <c r="B941" s="1" t="s">
        <v>30</v>
      </c>
      <c r="C941" s="2">
        <v>45861</v>
      </c>
      <c r="D941" s="2" t="str">
        <f>CHOOSE(MONTH(branches[[#This Row],[Дата]]),"Январь","Февраль","Март","Апрель","Май","Июнь","Июль","Август","Сентябрь","Октябрь","Ноябрь","Декабрь")&amp;" "&amp;YEAR(branches[[#This Row],[Дата]])</f>
        <v>Июль 2025</v>
      </c>
      <c r="E941" t="s">
        <v>11</v>
      </c>
      <c r="F941" t="s">
        <v>12</v>
      </c>
      <c r="G941">
        <v>1</v>
      </c>
      <c r="H941">
        <v>175</v>
      </c>
      <c r="I941" t="s">
        <v>10</v>
      </c>
      <c r="J941" t="str">
        <f>_xlfn.XLOOKUP(branches[[#This Row],[Филиал]], tbl_Filialy[Филиал], tbl_Filialy[Менеджер])</f>
        <v>Алия Гайнутдинова</v>
      </c>
    </row>
    <row r="942" spans="1:10" x14ac:dyDescent="0.3">
      <c r="A942" t="str">
        <f>_xlfn.XLOOKUP(branches[[#This Row],[Филиал]], tbl_Filialy[Филиал], tbl_Filialy[Город])</f>
        <v>Казань</v>
      </c>
      <c r="B942" s="1" t="s">
        <v>30</v>
      </c>
      <c r="C942" s="2">
        <v>45824</v>
      </c>
      <c r="D942" s="2" t="str">
        <f>CHOOSE(MONTH(branches[[#This Row],[Дата]]),"Январь","Февраль","Март","Апрель","Май","Июнь","Июль","Август","Сентябрь","Октябрь","Ноябрь","Декабрь")&amp;" "&amp;YEAR(branches[[#This Row],[Дата]])</f>
        <v>Июнь 2025</v>
      </c>
      <c r="E942" t="s">
        <v>16</v>
      </c>
      <c r="F942" t="s">
        <v>17</v>
      </c>
      <c r="G942">
        <v>2</v>
      </c>
      <c r="H942">
        <v>650</v>
      </c>
      <c r="I942" t="s">
        <v>13</v>
      </c>
      <c r="J942" t="str">
        <f>_xlfn.XLOOKUP(branches[[#This Row],[Филиал]], tbl_Filialy[Филиал], tbl_Filialy[Менеджер])</f>
        <v>Алия Гайнутдинова</v>
      </c>
    </row>
    <row r="943" spans="1:10" x14ac:dyDescent="0.3">
      <c r="A943" t="str">
        <f>_xlfn.XLOOKUP(branches[[#This Row],[Филиал]], tbl_Filialy[Филиал], tbl_Filialy[Город])</f>
        <v>Казань</v>
      </c>
      <c r="B943" s="1" t="s">
        <v>30</v>
      </c>
      <c r="C943" s="2">
        <v>45793</v>
      </c>
      <c r="D943" s="2" t="str">
        <f>CHOOSE(MONTH(branches[[#This Row],[Дата]]),"Январь","Февраль","Март","Апрель","Май","Июнь","Июль","Август","Сентябрь","Октябрь","Ноябрь","Декабрь")&amp;" "&amp;YEAR(branches[[#This Row],[Дата]])</f>
        <v>Май 2025</v>
      </c>
      <c r="E943" t="s">
        <v>28</v>
      </c>
      <c r="F943" t="s">
        <v>12</v>
      </c>
      <c r="G943">
        <v>1</v>
      </c>
      <c r="H943">
        <v>249</v>
      </c>
      <c r="I943" t="s">
        <v>15</v>
      </c>
      <c r="J943" t="str">
        <f>_xlfn.XLOOKUP(branches[[#This Row],[Филиал]], tbl_Filialy[Филиал], tbl_Filialy[Менеджер])</f>
        <v>Алия Гайнутдинова</v>
      </c>
    </row>
    <row r="944" spans="1:10" x14ac:dyDescent="0.3">
      <c r="A944" t="str">
        <f>_xlfn.XLOOKUP(branches[[#This Row],[Филиал]], tbl_Filialy[Филиал], tbl_Filialy[Город])</f>
        <v>Казань</v>
      </c>
      <c r="B944" s="1" t="s">
        <v>30</v>
      </c>
      <c r="C944" s="2">
        <v>45992</v>
      </c>
      <c r="D944" s="2" t="str">
        <f>CHOOSE(MONTH(branches[[#This Row],[Дата]]),"Январь","Февраль","Март","Апрель","Май","Июнь","Июль","Август","Сентябрь","Октябрь","Ноябрь","Декабрь")&amp;" "&amp;YEAR(branches[[#This Row],[Дата]])</f>
        <v>Декабрь 2025</v>
      </c>
      <c r="E944" t="s">
        <v>16</v>
      </c>
      <c r="F944" t="s">
        <v>17</v>
      </c>
      <c r="G944">
        <v>2</v>
      </c>
      <c r="H944">
        <v>676</v>
      </c>
      <c r="I944" t="s">
        <v>15</v>
      </c>
      <c r="J944" t="str">
        <f>_xlfn.XLOOKUP(branches[[#This Row],[Филиал]], tbl_Filialy[Филиал], tbl_Filialy[Менеджер])</f>
        <v>Алия Гайнутдинова</v>
      </c>
    </row>
    <row r="945" spans="1:10" x14ac:dyDescent="0.3">
      <c r="A945" t="str">
        <f>_xlfn.XLOOKUP(branches[[#This Row],[Филиал]], tbl_Filialy[Филиал], tbl_Filialy[Город])</f>
        <v>Казань</v>
      </c>
      <c r="B945" s="1" t="s">
        <v>30</v>
      </c>
      <c r="C945" s="2">
        <v>45940</v>
      </c>
      <c r="D945" s="2" t="str">
        <f>CHOOSE(MONTH(branches[[#This Row],[Дата]]),"Январь","Февраль","Март","Апрель","Май","Июнь","Июль","Август","Сентябрь","Октябрь","Ноябрь","Декабрь")&amp;" "&amp;YEAR(branches[[#This Row],[Дата]])</f>
        <v>Октябрь 2025</v>
      </c>
      <c r="E945" t="s">
        <v>18</v>
      </c>
      <c r="F945" t="s">
        <v>12</v>
      </c>
      <c r="G945">
        <v>2</v>
      </c>
      <c r="H945">
        <v>282</v>
      </c>
      <c r="I945" t="s">
        <v>19</v>
      </c>
      <c r="J945" t="str">
        <f>_xlfn.XLOOKUP(branches[[#This Row],[Филиал]], tbl_Filialy[Филиал], tbl_Filialy[Менеджер])</f>
        <v>Алия Гайнутдинова</v>
      </c>
    </row>
    <row r="946" spans="1:10" x14ac:dyDescent="0.3">
      <c r="A946" t="str">
        <f>_xlfn.XLOOKUP(branches[[#This Row],[Филиал]], tbl_Filialy[Филиал], tbl_Filialy[Город])</f>
        <v>Казань</v>
      </c>
      <c r="B946" s="1" t="s">
        <v>30</v>
      </c>
      <c r="C946" s="2">
        <v>46017</v>
      </c>
      <c r="D946" s="2" t="str">
        <f>CHOOSE(MONTH(branches[[#This Row],[Дата]]),"Январь","Февраль","Март","Апрель","Май","Июнь","Июль","Август","Сентябрь","Октябрь","Ноябрь","Декабрь")&amp;" "&amp;YEAR(branches[[#This Row],[Дата]])</f>
        <v>Декабрь 2025</v>
      </c>
      <c r="E946" t="s">
        <v>11</v>
      </c>
      <c r="F946" t="s">
        <v>12</v>
      </c>
      <c r="G946">
        <v>1</v>
      </c>
      <c r="H946">
        <v>153</v>
      </c>
      <c r="I946" t="s">
        <v>23</v>
      </c>
      <c r="J946" t="str">
        <f>_xlfn.XLOOKUP(branches[[#This Row],[Филиал]], tbl_Filialy[Филиал], tbl_Filialy[Менеджер])</f>
        <v>Алия Гайнутдинова</v>
      </c>
    </row>
    <row r="947" spans="1:10" x14ac:dyDescent="0.3">
      <c r="A947" t="str">
        <f>_xlfn.XLOOKUP(branches[[#This Row],[Филиал]], tbl_Filialy[Филиал], tbl_Filialy[Город])</f>
        <v>Казань</v>
      </c>
      <c r="B947" s="1" t="s">
        <v>30</v>
      </c>
      <c r="C947" s="2">
        <v>46005</v>
      </c>
      <c r="D947" s="2" t="str">
        <f>CHOOSE(MONTH(branches[[#This Row],[Дата]]),"Январь","Февраль","Март","Апрель","Май","Июнь","Июль","Август","Сентябрь","Октябрь","Ноябрь","Декабрь")&amp;" "&amp;YEAR(branches[[#This Row],[Дата]])</f>
        <v>Декабрь 2025</v>
      </c>
      <c r="E947" t="s">
        <v>27</v>
      </c>
      <c r="F947" t="s">
        <v>12</v>
      </c>
      <c r="G947">
        <v>1</v>
      </c>
      <c r="H947">
        <v>238</v>
      </c>
      <c r="I947" t="s">
        <v>19</v>
      </c>
      <c r="J947" t="str">
        <f>_xlfn.XLOOKUP(branches[[#This Row],[Филиал]], tbl_Filialy[Филиал], tbl_Filialy[Менеджер])</f>
        <v>Алия Гайнутдинова</v>
      </c>
    </row>
    <row r="948" spans="1:10" x14ac:dyDescent="0.3">
      <c r="A948" t="str">
        <f>_xlfn.XLOOKUP(branches[[#This Row],[Филиал]], tbl_Filialy[Филиал], tbl_Filialy[Город])</f>
        <v>Казань</v>
      </c>
      <c r="B948" s="1" t="s">
        <v>30</v>
      </c>
      <c r="C948" s="2">
        <v>45995</v>
      </c>
      <c r="D948" s="2" t="str">
        <f>CHOOSE(MONTH(branches[[#This Row],[Дата]]),"Январь","Февраль","Март","Апрель","Май","Июнь","Июль","Август","Сентябрь","Октябрь","Ноябрь","Декабрь")&amp;" "&amp;YEAR(branches[[#This Row],[Дата]])</f>
        <v>Декабрь 2025</v>
      </c>
      <c r="E948" t="s">
        <v>26</v>
      </c>
      <c r="F948" t="s">
        <v>9</v>
      </c>
      <c r="G948">
        <v>1</v>
      </c>
      <c r="H948">
        <v>191</v>
      </c>
      <c r="I948" t="s">
        <v>23</v>
      </c>
      <c r="J948" t="str">
        <f>_xlfn.XLOOKUP(branches[[#This Row],[Филиал]], tbl_Filialy[Филиал], tbl_Filialy[Менеджер])</f>
        <v>Алия Гайнутдинова</v>
      </c>
    </row>
    <row r="949" spans="1:10" x14ac:dyDescent="0.3">
      <c r="A949" t="str">
        <f>_xlfn.XLOOKUP(branches[[#This Row],[Филиал]], tbl_Filialy[Филиал], tbl_Filialy[Город])</f>
        <v>Казань</v>
      </c>
      <c r="B949" s="1" t="s">
        <v>30</v>
      </c>
      <c r="C949" s="2">
        <v>45786</v>
      </c>
      <c r="D949" s="2" t="str">
        <f>CHOOSE(MONTH(branches[[#This Row],[Дата]]),"Январь","Февраль","Март","Апрель","Май","Июнь","Июль","Август","Сентябрь","Октябрь","Ноябрь","Декабрь")&amp;" "&amp;YEAR(branches[[#This Row],[Дата]])</f>
        <v>Май 2025</v>
      </c>
      <c r="E949" t="s">
        <v>20</v>
      </c>
      <c r="F949" t="s">
        <v>12</v>
      </c>
      <c r="G949">
        <v>3</v>
      </c>
      <c r="H949">
        <v>849</v>
      </c>
      <c r="I949" t="s">
        <v>13</v>
      </c>
      <c r="J949" t="str">
        <f>_xlfn.XLOOKUP(branches[[#This Row],[Филиал]], tbl_Filialy[Филиал], tbl_Filialy[Менеджер])</f>
        <v>Алия Гайнутдинова</v>
      </c>
    </row>
    <row r="950" spans="1:10" x14ac:dyDescent="0.3">
      <c r="A950" t="str">
        <f>_xlfn.XLOOKUP(branches[[#This Row],[Филиал]], tbl_Filialy[Филиал], tbl_Filialy[Город])</f>
        <v>Казань</v>
      </c>
      <c r="B950" s="1" t="s">
        <v>30</v>
      </c>
      <c r="C950" s="2">
        <v>45775</v>
      </c>
      <c r="D950" s="2" t="str">
        <f>CHOOSE(MONTH(branches[[#This Row],[Дата]]),"Январь","Февраль","Март","Апрель","Май","Июнь","Июль","Август","Сентябрь","Октябрь","Ноябрь","Декабрь")&amp;" "&amp;YEAR(branches[[#This Row],[Дата]])</f>
        <v>Апрель 2025</v>
      </c>
      <c r="E950" t="s">
        <v>14</v>
      </c>
      <c r="F950" t="s">
        <v>12</v>
      </c>
      <c r="G950">
        <v>1</v>
      </c>
      <c r="H950">
        <v>237</v>
      </c>
      <c r="I950" t="s">
        <v>15</v>
      </c>
      <c r="J950" t="str">
        <f>_xlfn.XLOOKUP(branches[[#This Row],[Филиал]], tbl_Filialy[Филиал], tbl_Filialy[Менеджер])</f>
        <v>Алия Гайнутдинова</v>
      </c>
    </row>
    <row r="951" spans="1:10" x14ac:dyDescent="0.3">
      <c r="A951" t="str">
        <f>_xlfn.XLOOKUP(branches[[#This Row],[Филиал]], tbl_Filialy[Филиал], tbl_Filialy[Город])</f>
        <v>Казань</v>
      </c>
      <c r="B951" s="1" t="s">
        <v>30</v>
      </c>
      <c r="C951" s="2">
        <v>45952</v>
      </c>
      <c r="D951" s="2" t="str">
        <f>CHOOSE(MONTH(branches[[#This Row],[Дата]]),"Январь","Февраль","Март","Апрель","Май","Июнь","Июль","Август","Сентябрь","Октябрь","Ноябрь","Декабрь")&amp;" "&amp;YEAR(branches[[#This Row],[Дата]])</f>
        <v>Октябрь 2025</v>
      </c>
      <c r="E951" t="s">
        <v>8</v>
      </c>
      <c r="F951" t="s">
        <v>9</v>
      </c>
      <c r="G951">
        <v>1</v>
      </c>
      <c r="H951">
        <v>257</v>
      </c>
      <c r="I951" t="s">
        <v>10</v>
      </c>
      <c r="J951" t="str">
        <f>_xlfn.XLOOKUP(branches[[#This Row],[Филиал]], tbl_Filialy[Филиал], tbl_Filialy[Менеджер])</f>
        <v>Алия Гайнутдинова</v>
      </c>
    </row>
    <row r="952" spans="1:10" x14ac:dyDescent="0.3">
      <c r="A952" t="str">
        <f>_xlfn.XLOOKUP(branches[[#This Row],[Филиал]], tbl_Filialy[Филиал], tbl_Filialy[Город])</f>
        <v>Казань</v>
      </c>
      <c r="B952" s="1" t="s">
        <v>30</v>
      </c>
      <c r="C952" s="2">
        <v>45987</v>
      </c>
      <c r="D952" s="2" t="str">
        <f>CHOOSE(MONTH(branches[[#This Row],[Дата]]),"Январь","Февраль","Март","Апрель","Май","Июнь","Июль","Август","Сентябрь","Октябрь","Ноябрь","Декабрь")&amp;" "&amp;YEAR(branches[[#This Row],[Дата]])</f>
        <v>Ноябрь 2025</v>
      </c>
      <c r="E952" t="s">
        <v>22</v>
      </c>
      <c r="F952" t="s">
        <v>9</v>
      </c>
      <c r="G952">
        <v>1</v>
      </c>
      <c r="H952">
        <v>175</v>
      </c>
      <c r="I952" t="s">
        <v>13</v>
      </c>
      <c r="J952" t="str">
        <f>_xlfn.XLOOKUP(branches[[#This Row],[Филиал]], tbl_Filialy[Филиал], tbl_Filialy[Менеджер])</f>
        <v>Алия Гайнутдинова</v>
      </c>
    </row>
    <row r="953" spans="1:10" x14ac:dyDescent="0.3">
      <c r="A953" t="str">
        <f>_xlfn.XLOOKUP(branches[[#This Row],[Филиал]], tbl_Filialy[Филиал], tbl_Filialy[Город])</f>
        <v>Казань</v>
      </c>
      <c r="B953" s="1" t="s">
        <v>30</v>
      </c>
      <c r="C953" s="2">
        <v>45689</v>
      </c>
      <c r="D953" s="2" t="str">
        <f>CHOOSE(MONTH(branches[[#This Row],[Дата]]),"Январь","Февраль","Март","Апрель","Май","Июнь","Июль","Август","Сентябрь","Октябрь","Ноябрь","Декабрь")&amp;" "&amp;YEAR(branches[[#This Row],[Дата]])</f>
        <v>Февраль 2025</v>
      </c>
      <c r="E953" t="s">
        <v>16</v>
      </c>
      <c r="F953" t="s">
        <v>17</v>
      </c>
      <c r="G953">
        <v>1</v>
      </c>
      <c r="H953">
        <v>359</v>
      </c>
      <c r="I953" t="s">
        <v>10</v>
      </c>
      <c r="J953" t="str">
        <f>_xlfn.XLOOKUP(branches[[#This Row],[Филиал]], tbl_Filialy[Филиал], tbl_Filialy[Менеджер])</f>
        <v>Алия Гайнутдинова</v>
      </c>
    </row>
    <row r="954" spans="1:10" x14ac:dyDescent="0.3">
      <c r="A954" t="str">
        <f>_xlfn.XLOOKUP(branches[[#This Row],[Филиал]], tbl_Filialy[Филиал], tbl_Filialy[Город])</f>
        <v>Казань</v>
      </c>
      <c r="B954" s="1" t="s">
        <v>30</v>
      </c>
      <c r="C954" s="2">
        <v>45660</v>
      </c>
      <c r="D954" s="2" t="str">
        <f>CHOOSE(MONTH(branches[[#This Row],[Дата]]),"Январь","Февраль","Март","Апрель","Май","Июнь","Июль","Август","Сентябрь","Октябрь","Ноябрь","Декабрь")&amp;" "&amp;YEAR(branches[[#This Row],[Дата]])</f>
        <v>Январь 2025</v>
      </c>
      <c r="E954" t="s">
        <v>25</v>
      </c>
      <c r="F954" t="s">
        <v>12</v>
      </c>
      <c r="G954">
        <v>3</v>
      </c>
      <c r="H954">
        <v>651</v>
      </c>
      <c r="I954" t="s">
        <v>29</v>
      </c>
      <c r="J954" t="str">
        <f>_xlfn.XLOOKUP(branches[[#This Row],[Филиал]], tbl_Filialy[Филиал], tbl_Filialy[Менеджер])</f>
        <v>Алия Гайнутдинова</v>
      </c>
    </row>
    <row r="955" spans="1:10" x14ac:dyDescent="0.3">
      <c r="A955" t="str">
        <f>_xlfn.XLOOKUP(branches[[#This Row],[Филиал]], tbl_Filialy[Филиал], tbl_Filialy[Город])</f>
        <v>Казань</v>
      </c>
      <c r="B955" s="1" t="s">
        <v>30</v>
      </c>
      <c r="C955" s="2">
        <v>45840</v>
      </c>
      <c r="D955" s="2" t="str">
        <f>CHOOSE(MONTH(branches[[#This Row],[Дата]]),"Январь","Февраль","Март","Апрель","Май","Июнь","Июль","Август","Сентябрь","Октябрь","Ноябрь","Декабрь")&amp;" "&amp;YEAR(branches[[#This Row],[Дата]])</f>
        <v>Июль 2025</v>
      </c>
      <c r="E955" t="s">
        <v>20</v>
      </c>
      <c r="F955" t="s">
        <v>12</v>
      </c>
      <c r="G955">
        <v>2</v>
      </c>
      <c r="H955">
        <v>578</v>
      </c>
      <c r="I955" t="s">
        <v>13</v>
      </c>
      <c r="J955" t="str">
        <f>_xlfn.XLOOKUP(branches[[#This Row],[Филиал]], tbl_Filialy[Филиал], tbl_Filialy[Менеджер])</f>
        <v>Алия Гайнутдинова</v>
      </c>
    </row>
    <row r="956" spans="1:10" x14ac:dyDescent="0.3">
      <c r="A956" t="str">
        <f>_xlfn.XLOOKUP(branches[[#This Row],[Филиал]], tbl_Filialy[Филиал], tbl_Filialy[Город])</f>
        <v>Казань</v>
      </c>
      <c r="B956" s="1" t="s">
        <v>30</v>
      </c>
      <c r="C956" s="2">
        <v>45737</v>
      </c>
      <c r="D956" s="2" t="str">
        <f>CHOOSE(MONTH(branches[[#This Row],[Дата]]),"Январь","Февраль","Март","Апрель","Май","Июнь","Июль","Август","Сентябрь","Октябрь","Ноябрь","Декабрь")&amp;" "&amp;YEAR(branches[[#This Row],[Дата]])</f>
        <v>Март 2025</v>
      </c>
      <c r="E956" t="s">
        <v>11</v>
      </c>
      <c r="F956" t="s">
        <v>12</v>
      </c>
      <c r="G956">
        <v>1</v>
      </c>
      <c r="H956">
        <v>190</v>
      </c>
      <c r="I956" t="s">
        <v>19</v>
      </c>
      <c r="J956" t="str">
        <f>_xlfn.XLOOKUP(branches[[#This Row],[Филиал]], tbl_Filialy[Филиал], tbl_Filialy[Менеджер])</f>
        <v>Алия Гайнутдинова</v>
      </c>
    </row>
    <row r="957" spans="1:10" x14ac:dyDescent="0.3">
      <c r="A957" t="str">
        <f>_xlfn.XLOOKUP(branches[[#This Row],[Филиал]], tbl_Filialy[Филиал], tbl_Filialy[Город])</f>
        <v>Казань</v>
      </c>
      <c r="B957" s="1" t="s">
        <v>30</v>
      </c>
      <c r="C957" s="2">
        <v>45948</v>
      </c>
      <c r="D957" s="2" t="str">
        <f>CHOOSE(MONTH(branches[[#This Row],[Дата]]),"Январь","Февраль","Март","Апрель","Май","Июнь","Июль","Август","Сентябрь","Октябрь","Ноябрь","Декабрь")&amp;" "&amp;YEAR(branches[[#This Row],[Дата]])</f>
        <v>Октябрь 2025</v>
      </c>
      <c r="E957" t="s">
        <v>22</v>
      </c>
      <c r="F957" t="s">
        <v>9</v>
      </c>
      <c r="G957">
        <v>3</v>
      </c>
      <c r="H957">
        <v>519</v>
      </c>
      <c r="I957" t="s">
        <v>19</v>
      </c>
      <c r="J957" t="str">
        <f>_xlfn.XLOOKUP(branches[[#This Row],[Филиал]], tbl_Filialy[Филиал], tbl_Filialy[Менеджер])</f>
        <v>Алия Гайнутдинова</v>
      </c>
    </row>
    <row r="958" spans="1:10" x14ac:dyDescent="0.3">
      <c r="A958" t="str">
        <f>_xlfn.XLOOKUP(branches[[#This Row],[Филиал]], tbl_Filialy[Филиал], tbl_Filialy[Город])</f>
        <v>Казань</v>
      </c>
      <c r="B958" s="1" t="s">
        <v>30</v>
      </c>
      <c r="C958" s="2">
        <v>45689</v>
      </c>
      <c r="D958" s="2" t="str">
        <f>CHOOSE(MONTH(branches[[#This Row],[Дата]]),"Январь","Февраль","Март","Апрель","Май","Июнь","Июль","Август","Сентябрь","Октябрь","Ноябрь","Декабрь")&amp;" "&amp;YEAR(branches[[#This Row],[Дата]])</f>
        <v>Февраль 2025</v>
      </c>
      <c r="E958" t="s">
        <v>11</v>
      </c>
      <c r="F958" t="s">
        <v>12</v>
      </c>
      <c r="G958">
        <v>2</v>
      </c>
      <c r="H958">
        <v>344</v>
      </c>
      <c r="I958" t="s">
        <v>10</v>
      </c>
      <c r="J958" t="str">
        <f>_xlfn.XLOOKUP(branches[[#This Row],[Филиал]], tbl_Filialy[Филиал], tbl_Filialy[Менеджер])</f>
        <v>Алия Гайнутдинова</v>
      </c>
    </row>
    <row r="959" spans="1:10" x14ac:dyDescent="0.3">
      <c r="A959" t="str">
        <f>_xlfn.XLOOKUP(branches[[#This Row],[Филиал]], tbl_Filialy[Филиал], tbl_Filialy[Город])</f>
        <v>Казань</v>
      </c>
      <c r="B959" s="1" t="s">
        <v>30</v>
      </c>
      <c r="C959" s="2">
        <v>45841</v>
      </c>
      <c r="D959" s="2" t="str">
        <f>CHOOSE(MONTH(branches[[#This Row],[Дата]]),"Январь","Февраль","Март","Апрель","Май","Июнь","Июль","Август","Сентябрь","Октябрь","Ноябрь","Декабрь")&amp;" "&amp;YEAR(branches[[#This Row],[Дата]])</f>
        <v>Июль 2025</v>
      </c>
      <c r="E959" t="s">
        <v>26</v>
      </c>
      <c r="F959" t="s">
        <v>9</v>
      </c>
      <c r="G959">
        <v>1</v>
      </c>
      <c r="H959">
        <v>202</v>
      </c>
      <c r="I959" t="s">
        <v>19</v>
      </c>
      <c r="J959" t="str">
        <f>_xlfn.XLOOKUP(branches[[#This Row],[Филиал]], tbl_Filialy[Филиал], tbl_Filialy[Менеджер])</f>
        <v>Алия Гайнутдинова</v>
      </c>
    </row>
    <row r="960" spans="1:10" x14ac:dyDescent="0.3">
      <c r="A960" t="str">
        <f>_xlfn.XLOOKUP(branches[[#This Row],[Филиал]], tbl_Filialy[Филиал], tbl_Filialy[Город])</f>
        <v>Казань</v>
      </c>
      <c r="B960" s="1" t="s">
        <v>30</v>
      </c>
      <c r="C960" s="2">
        <v>46004</v>
      </c>
      <c r="D960" s="2" t="str">
        <f>CHOOSE(MONTH(branches[[#This Row],[Дата]]),"Январь","Февраль","Март","Апрель","Май","Июнь","Июль","Август","Сентябрь","Октябрь","Ноябрь","Декабрь")&amp;" "&amp;YEAR(branches[[#This Row],[Дата]])</f>
        <v>Декабрь 2025</v>
      </c>
      <c r="E960" t="s">
        <v>26</v>
      </c>
      <c r="F960" t="s">
        <v>9</v>
      </c>
      <c r="G960">
        <v>1</v>
      </c>
      <c r="H960">
        <v>228</v>
      </c>
      <c r="I960" t="s">
        <v>10</v>
      </c>
      <c r="J960" t="str">
        <f>_xlfn.XLOOKUP(branches[[#This Row],[Филиал]], tbl_Filialy[Филиал], tbl_Filialy[Менеджер])</f>
        <v>Алия Гайнутдинова</v>
      </c>
    </row>
    <row r="961" spans="1:10" x14ac:dyDescent="0.3">
      <c r="A961" t="str">
        <f>_xlfn.XLOOKUP(branches[[#This Row],[Филиал]], tbl_Filialy[Филиал], tbl_Filialy[Город])</f>
        <v>Казань</v>
      </c>
      <c r="B961" s="1" t="s">
        <v>30</v>
      </c>
      <c r="C961" s="2">
        <v>45787</v>
      </c>
      <c r="D961" s="2" t="str">
        <f>CHOOSE(MONTH(branches[[#This Row],[Дата]]),"Январь","Февраль","Март","Апрель","Май","Июнь","Июль","Август","Сентябрь","Октябрь","Ноябрь","Декабрь")&amp;" "&amp;YEAR(branches[[#This Row],[Дата]])</f>
        <v>Май 2025</v>
      </c>
      <c r="E961" t="s">
        <v>28</v>
      </c>
      <c r="F961" t="s">
        <v>12</v>
      </c>
      <c r="G961">
        <v>3</v>
      </c>
      <c r="H961">
        <v>726</v>
      </c>
      <c r="I961" t="s">
        <v>15</v>
      </c>
      <c r="J961" t="str">
        <f>_xlfn.XLOOKUP(branches[[#This Row],[Филиал]], tbl_Filialy[Филиал], tbl_Filialy[Менеджер])</f>
        <v>Алия Гайнутдинова</v>
      </c>
    </row>
    <row r="962" spans="1:10" x14ac:dyDescent="0.3">
      <c r="A962" t="str">
        <f>_xlfn.XLOOKUP(branches[[#This Row],[Филиал]], tbl_Filialy[Филиал], tbl_Filialy[Город])</f>
        <v>Казань</v>
      </c>
      <c r="B962" s="1" t="s">
        <v>30</v>
      </c>
      <c r="C962" s="2">
        <v>45771</v>
      </c>
      <c r="D962" s="2" t="str">
        <f>CHOOSE(MONTH(branches[[#This Row],[Дата]]),"Январь","Февраль","Март","Апрель","Май","Июнь","Июль","Август","Сентябрь","Октябрь","Ноябрь","Декабрь")&amp;" "&amp;YEAR(branches[[#This Row],[Дата]])</f>
        <v>Апрель 2025</v>
      </c>
      <c r="E962" t="s">
        <v>27</v>
      </c>
      <c r="F962" t="s">
        <v>12</v>
      </c>
      <c r="G962">
        <v>3</v>
      </c>
      <c r="H962">
        <v>621</v>
      </c>
      <c r="I962" t="s">
        <v>21</v>
      </c>
      <c r="J962" t="str">
        <f>_xlfn.XLOOKUP(branches[[#This Row],[Филиал]], tbl_Filialy[Филиал], tbl_Filialy[Менеджер])</f>
        <v>Алия Гайнутдинова</v>
      </c>
    </row>
    <row r="963" spans="1:10" x14ac:dyDescent="0.3">
      <c r="A963" t="str">
        <f>_xlfn.XLOOKUP(branches[[#This Row],[Филиал]], tbl_Filialy[Филиал], tbl_Filialy[Город])</f>
        <v>Казань</v>
      </c>
      <c r="B963" s="1" t="s">
        <v>30</v>
      </c>
      <c r="C963" s="2">
        <v>45732</v>
      </c>
      <c r="D963" s="2" t="str">
        <f>CHOOSE(MONTH(branches[[#This Row],[Дата]]),"Январь","Февраль","Март","Апрель","Май","Июнь","Июль","Август","Сентябрь","Октябрь","Ноябрь","Декабрь")&amp;" "&amp;YEAR(branches[[#This Row],[Дата]])</f>
        <v>Март 2025</v>
      </c>
      <c r="E963" t="s">
        <v>16</v>
      </c>
      <c r="F963" t="s">
        <v>17</v>
      </c>
      <c r="G963">
        <v>3</v>
      </c>
      <c r="H963">
        <v>975</v>
      </c>
      <c r="I963" t="s">
        <v>23</v>
      </c>
      <c r="J963" t="str">
        <f>_xlfn.XLOOKUP(branches[[#This Row],[Филиал]], tbl_Filialy[Филиал], tbl_Filialy[Менеджер])</f>
        <v>Алия Гайнутдинова</v>
      </c>
    </row>
    <row r="964" spans="1:10" x14ac:dyDescent="0.3">
      <c r="A964" t="str">
        <f>_xlfn.XLOOKUP(branches[[#This Row],[Филиал]], tbl_Filialy[Филиал], tbl_Filialy[Город])</f>
        <v>Казань</v>
      </c>
      <c r="B964" s="1" t="s">
        <v>30</v>
      </c>
      <c r="C964" s="2">
        <v>46011</v>
      </c>
      <c r="D964" s="2" t="str">
        <f>CHOOSE(MONTH(branches[[#This Row],[Дата]]),"Январь","Февраль","Март","Апрель","Май","Июнь","Июль","Август","Сентябрь","Октябрь","Ноябрь","Декабрь")&amp;" "&amp;YEAR(branches[[#This Row],[Дата]])</f>
        <v>Декабрь 2025</v>
      </c>
      <c r="E964" t="s">
        <v>22</v>
      </c>
      <c r="F964" t="s">
        <v>9</v>
      </c>
      <c r="G964">
        <v>1</v>
      </c>
      <c r="H964">
        <v>179</v>
      </c>
      <c r="I964" t="s">
        <v>13</v>
      </c>
      <c r="J964" t="str">
        <f>_xlfn.XLOOKUP(branches[[#This Row],[Филиал]], tbl_Filialy[Филиал], tbl_Filialy[Менеджер])</f>
        <v>Алия Гайнутдинова</v>
      </c>
    </row>
    <row r="965" spans="1:10" x14ac:dyDescent="0.3">
      <c r="A965" t="str">
        <f>_xlfn.XLOOKUP(branches[[#This Row],[Филиал]], tbl_Filialy[Филиал], tbl_Filialy[Город])</f>
        <v>Казань</v>
      </c>
      <c r="B965" s="1" t="s">
        <v>30</v>
      </c>
      <c r="C965" s="2">
        <v>45718</v>
      </c>
      <c r="D965" s="2" t="str">
        <f>CHOOSE(MONTH(branches[[#This Row],[Дата]]),"Январь","Февраль","Март","Апрель","Май","Июнь","Июль","Август","Сентябрь","Октябрь","Ноябрь","Декабрь")&amp;" "&amp;YEAR(branches[[#This Row],[Дата]])</f>
        <v>Март 2025</v>
      </c>
      <c r="E965" t="s">
        <v>27</v>
      </c>
      <c r="F965" t="s">
        <v>12</v>
      </c>
      <c r="G965">
        <v>1</v>
      </c>
      <c r="H965">
        <v>220</v>
      </c>
      <c r="I965" t="s">
        <v>10</v>
      </c>
      <c r="J965" t="str">
        <f>_xlfn.XLOOKUP(branches[[#This Row],[Филиал]], tbl_Filialy[Филиал], tbl_Filialy[Менеджер])</f>
        <v>Алия Гайнутдинова</v>
      </c>
    </row>
    <row r="966" spans="1:10" x14ac:dyDescent="0.3">
      <c r="A966" t="str">
        <f>_xlfn.XLOOKUP(branches[[#This Row],[Филиал]], tbl_Filialy[Филиал], tbl_Filialy[Город])</f>
        <v>Казань</v>
      </c>
      <c r="B966" s="1" t="s">
        <v>30</v>
      </c>
      <c r="C966" s="2">
        <v>45800</v>
      </c>
      <c r="D966" s="2" t="str">
        <f>CHOOSE(MONTH(branches[[#This Row],[Дата]]),"Январь","Февраль","Март","Апрель","Май","Июнь","Июль","Август","Сентябрь","Октябрь","Ноябрь","Декабрь")&amp;" "&amp;YEAR(branches[[#This Row],[Дата]])</f>
        <v>Май 2025</v>
      </c>
      <c r="E966" t="s">
        <v>18</v>
      </c>
      <c r="F966" t="s">
        <v>12</v>
      </c>
      <c r="G966">
        <v>2</v>
      </c>
      <c r="H966">
        <v>318</v>
      </c>
      <c r="I966" t="s">
        <v>19</v>
      </c>
      <c r="J966" t="str">
        <f>_xlfn.XLOOKUP(branches[[#This Row],[Филиал]], tbl_Filialy[Филиал], tbl_Filialy[Менеджер])</f>
        <v>Алия Гайнутдинова</v>
      </c>
    </row>
    <row r="967" spans="1:10" x14ac:dyDescent="0.3">
      <c r="A967" t="str">
        <f>_xlfn.XLOOKUP(branches[[#This Row],[Филиал]], tbl_Filialy[Филиал], tbl_Filialy[Город])</f>
        <v>Казань</v>
      </c>
      <c r="B967" s="1" t="s">
        <v>30</v>
      </c>
      <c r="C967" s="2">
        <v>46000</v>
      </c>
      <c r="D967" s="2" t="str">
        <f>CHOOSE(MONTH(branches[[#This Row],[Дата]]),"Январь","Февраль","Март","Апрель","Май","Июнь","Июль","Август","Сентябрь","Октябрь","Ноябрь","Декабрь")&amp;" "&amp;YEAR(branches[[#This Row],[Дата]])</f>
        <v>Декабрь 2025</v>
      </c>
      <c r="E967" t="s">
        <v>20</v>
      </c>
      <c r="F967" t="s">
        <v>12</v>
      </c>
      <c r="G967">
        <v>2</v>
      </c>
      <c r="H967">
        <v>594</v>
      </c>
      <c r="I967" t="s">
        <v>23</v>
      </c>
      <c r="J967" t="str">
        <f>_xlfn.XLOOKUP(branches[[#This Row],[Филиал]], tbl_Filialy[Филиал], tbl_Filialy[Менеджер])</f>
        <v>Алия Гайнутдинова</v>
      </c>
    </row>
    <row r="968" spans="1:10" x14ac:dyDescent="0.3">
      <c r="A968" t="str">
        <f>_xlfn.XLOOKUP(branches[[#This Row],[Филиал]], tbl_Filialy[Филиал], tbl_Filialy[Город])</f>
        <v>Казань</v>
      </c>
      <c r="B968" s="1" t="s">
        <v>30</v>
      </c>
      <c r="C968" s="2">
        <v>45718</v>
      </c>
      <c r="D968" s="2" t="str">
        <f>CHOOSE(MONTH(branches[[#This Row],[Дата]]),"Январь","Февраль","Март","Апрель","Май","Июнь","Июль","Август","Сентябрь","Октябрь","Ноябрь","Декабрь")&amp;" "&amp;YEAR(branches[[#This Row],[Дата]])</f>
        <v>Март 2025</v>
      </c>
      <c r="E968" t="s">
        <v>24</v>
      </c>
      <c r="F968" t="s">
        <v>17</v>
      </c>
      <c r="G968">
        <v>1</v>
      </c>
      <c r="H968">
        <v>352</v>
      </c>
      <c r="I968" t="s">
        <v>21</v>
      </c>
      <c r="J968" t="str">
        <f>_xlfn.XLOOKUP(branches[[#This Row],[Филиал]], tbl_Filialy[Филиал], tbl_Filialy[Менеджер])</f>
        <v>Алия Гайнутдинова</v>
      </c>
    </row>
    <row r="969" spans="1:10" x14ac:dyDescent="0.3">
      <c r="A969" t="str">
        <f>_xlfn.XLOOKUP(branches[[#This Row],[Филиал]], tbl_Filialy[Филиал], tbl_Filialy[Город])</f>
        <v>Казань</v>
      </c>
      <c r="B969" s="1" t="s">
        <v>30</v>
      </c>
      <c r="C969" s="2">
        <v>45727</v>
      </c>
      <c r="D969" s="2" t="str">
        <f>CHOOSE(MONTH(branches[[#This Row],[Дата]]),"Январь","Февраль","Март","Апрель","Май","Июнь","Июль","Август","Сентябрь","Октябрь","Ноябрь","Декабрь")&amp;" "&amp;YEAR(branches[[#This Row],[Дата]])</f>
        <v>Март 2025</v>
      </c>
      <c r="E969" t="s">
        <v>26</v>
      </c>
      <c r="F969" t="s">
        <v>9</v>
      </c>
      <c r="G969">
        <v>2</v>
      </c>
      <c r="H969">
        <v>414</v>
      </c>
      <c r="I969" t="s">
        <v>13</v>
      </c>
      <c r="J969" t="str">
        <f>_xlfn.XLOOKUP(branches[[#This Row],[Филиал]], tbl_Filialy[Филиал], tbl_Filialy[Менеджер])</f>
        <v>Алия Гайнутдинова</v>
      </c>
    </row>
    <row r="970" spans="1:10" x14ac:dyDescent="0.3">
      <c r="A970" t="str">
        <f>_xlfn.XLOOKUP(branches[[#This Row],[Филиал]], tbl_Filialy[Филиал], tbl_Filialy[Город])</f>
        <v>Казань</v>
      </c>
      <c r="B970" s="1" t="s">
        <v>30</v>
      </c>
      <c r="C970" s="2">
        <v>45668</v>
      </c>
      <c r="D970" s="2" t="str">
        <f>CHOOSE(MONTH(branches[[#This Row],[Дата]]),"Январь","Февраль","Март","Апрель","Май","Июнь","Июль","Август","Сентябрь","Октябрь","Ноябрь","Декабрь")&amp;" "&amp;YEAR(branches[[#This Row],[Дата]])</f>
        <v>Январь 2025</v>
      </c>
      <c r="E970" t="s">
        <v>28</v>
      </c>
      <c r="F970" t="s">
        <v>12</v>
      </c>
      <c r="G970">
        <v>1</v>
      </c>
      <c r="H970">
        <v>239</v>
      </c>
      <c r="I970" t="s">
        <v>19</v>
      </c>
      <c r="J970" t="str">
        <f>_xlfn.XLOOKUP(branches[[#This Row],[Филиал]], tbl_Filialy[Филиал], tbl_Filialy[Менеджер])</f>
        <v>Алия Гайнутдинова</v>
      </c>
    </row>
    <row r="971" spans="1:10" x14ac:dyDescent="0.3">
      <c r="A971" t="str">
        <f>_xlfn.XLOOKUP(branches[[#This Row],[Филиал]], tbl_Filialy[Филиал], tbl_Filialy[Город])</f>
        <v>Казань</v>
      </c>
      <c r="B971" s="1" t="s">
        <v>30</v>
      </c>
      <c r="C971" s="2">
        <v>45892</v>
      </c>
      <c r="D971" s="2" t="str">
        <f>CHOOSE(MONTH(branches[[#This Row],[Дата]]),"Январь","Февраль","Март","Апрель","Май","Июнь","Июль","Август","Сентябрь","Октябрь","Ноябрь","Декабрь")&amp;" "&amp;YEAR(branches[[#This Row],[Дата]])</f>
        <v>Август 2025</v>
      </c>
      <c r="E971" t="s">
        <v>11</v>
      </c>
      <c r="F971" t="s">
        <v>12</v>
      </c>
      <c r="G971">
        <v>1</v>
      </c>
      <c r="H971">
        <v>178</v>
      </c>
      <c r="I971" t="s">
        <v>13</v>
      </c>
      <c r="J971" t="str">
        <f>_xlfn.XLOOKUP(branches[[#This Row],[Филиал]], tbl_Filialy[Филиал], tbl_Filialy[Менеджер])</f>
        <v>Алия Гайнутдинова</v>
      </c>
    </row>
    <row r="972" spans="1:10" x14ac:dyDescent="0.3">
      <c r="A972" t="str">
        <f>_xlfn.XLOOKUP(branches[[#This Row],[Филиал]], tbl_Filialy[Филиал], tbl_Filialy[Город])</f>
        <v>Казань</v>
      </c>
      <c r="B972" s="1" t="s">
        <v>30</v>
      </c>
      <c r="C972" s="2">
        <v>45864</v>
      </c>
      <c r="D972" s="2" t="str">
        <f>CHOOSE(MONTH(branches[[#This Row],[Дата]]),"Январь","Февраль","Март","Апрель","Май","Июнь","Июль","Август","Сентябрь","Октябрь","Ноябрь","Декабрь")&amp;" "&amp;YEAR(branches[[#This Row],[Дата]])</f>
        <v>Июль 2025</v>
      </c>
      <c r="E972" t="s">
        <v>14</v>
      </c>
      <c r="F972" t="s">
        <v>12</v>
      </c>
      <c r="G972">
        <v>3</v>
      </c>
      <c r="H972">
        <v>792</v>
      </c>
      <c r="I972" t="s">
        <v>19</v>
      </c>
      <c r="J972" t="str">
        <f>_xlfn.XLOOKUP(branches[[#This Row],[Филиал]], tbl_Filialy[Филиал], tbl_Filialy[Менеджер])</f>
        <v>Алия Гайнутдинова</v>
      </c>
    </row>
    <row r="973" spans="1:10" x14ac:dyDescent="0.3">
      <c r="A973" t="str">
        <f>_xlfn.XLOOKUP(branches[[#This Row],[Филиал]], tbl_Filialy[Филиал], tbl_Filialy[Город])</f>
        <v>Казань</v>
      </c>
      <c r="B973" s="1" t="s">
        <v>30</v>
      </c>
      <c r="C973" s="2">
        <v>45966</v>
      </c>
      <c r="D973" s="2" t="str">
        <f>CHOOSE(MONTH(branches[[#This Row],[Дата]]),"Январь","Февраль","Март","Апрель","Май","Июнь","Июль","Август","Сентябрь","Октябрь","Ноябрь","Декабрь")&amp;" "&amp;YEAR(branches[[#This Row],[Дата]])</f>
        <v>Ноябрь 2025</v>
      </c>
      <c r="E973" t="s">
        <v>22</v>
      </c>
      <c r="F973" t="s">
        <v>9</v>
      </c>
      <c r="G973">
        <v>3</v>
      </c>
      <c r="H973">
        <v>567</v>
      </c>
      <c r="I973" t="s">
        <v>13</v>
      </c>
      <c r="J973" t="str">
        <f>_xlfn.XLOOKUP(branches[[#This Row],[Филиал]], tbl_Filialy[Филиал], tbl_Filialy[Менеджер])</f>
        <v>Алия Гайнутдинова</v>
      </c>
    </row>
    <row r="974" spans="1:10" x14ac:dyDescent="0.3">
      <c r="A974" t="str">
        <f>_xlfn.XLOOKUP(branches[[#This Row],[Филиал]], tbl_Filialy[Филиал], tbl_Filialy[Город])</f>
        <v>Казань</v>
      </c>
      <c r="B974" s="1" t="s">
        <v>30</v>
      </c>
      <c r="C974" s="2">
        <v>45892</v>
      </c>
      <c r="D974" s="2" t="str">
        <f>CHOOSE(MONTH(branches[[#This Row],[Дата]]),"Январь","Февраль","Март","Апрель","Май","Июнь","Июль","Август","Сентябрь","Октябрь","Ноябрь","Декабрь")&amp;" "&amp;YEAR(branches[[#This Row],[Дата]])</f>
        <v>Август 2025</v>
      </c>
      <c r="E974" t="s">
        <v>24</v>
      </c>
      <c r="F974" t="s">
        <v>17</v>
      </c>
      <c r="G974">
        <v>2</v>
      </c>
      <c r="H974">
        <v>754</v>
      </c>
      <c r="I974" t="s">
        <v>15</v>
      </c>
      <c r="J974" t="str">
        <f>_xlfn.XLOOKUP(branches[[#This Row],[Филиал]], tbl_Filialy[Филиал], tbl_Filialy[Менеджер])</f>
        <v>Алия Гайнутдинова</v>
      </c>
    </row>
    <row r="975" spans="1:10" x14ac:dyDescent="0.3">
      <c r="A975" t="str">
        <f>_xlfn.XLOOKUP(branches[[#This Row],[Филиал]], tbl_Filialy[Филиал], tbl_Filialy[Город])</f>
        <v>Казань</v>
      </c>
      <c r="B975" s="1" t="s">
        <v>30</v>
      </c>
      <c r="C975" s="2">
        <v>45778</v>
      </c>
      <c r="D975" s="2" t="str">
        <f>CHOOSE(MONTH(branches[[#This Row],[Дата]]),"Январь","Февраль","Март","Апрель","Май","Июнь","Июль","Август","Сентябрь","Октябрь","Ноябрь","Декабрь")&amp;" "&amp;YEAR(branches[[#This Row],[Дата]])</f>
        <v>Май 2025</v>
      </c>
      <c r="E975" t="s">
        <v>20</v>
      </c>
      <c r="F975" t="s">
        <v>12</v>
      </c>
      <c r="G975">
        <v>2</v>
      </c>
      <c r="H975">
        <v>584</v>
      </c>
      <c r="I975" t="s">
        <v>10</v>
      </c>
      <c r="J975" t="str">
        <f>_xlfn.XLOOKUP(branches[[#This Row],[Филиал]], tbl_Filialy[Филиал], tbl_Filialy[Менеджер])</f>
        <v>Алия Гайнутдинова</v>
      </c>
    </row>
    <row r="976" spans="1:10" x14ac:dyDescent="0.3">
      <c r="A976" t="str">
        <f>_xlfn.XLOOKUP(branches[[#This Row],[Филиал]], tbl_Filialy[Филиал], tbl_Filialy[Город])</f>
        <v>Казань</v>
      </c>
      <c r="B976" s="1" t="s">
        <v>30</v>
      </c>
      <c r="C976" s="2">
        <v>45996</v>
      </c>
      <c r="D976" s="2" t="str">
        <f>CHOOSE(MONTH(branches[[#This Row],[Дата]]),"Январь","Февраль","Март","Апрель","Май","Июнь","Июль","Август","Сентябрь","Октябрь","Ноябрь","Декабрь")&amp;" "&amp;YEAR(branches[[#This Row],[Дата]])</f>
        <v>Декабрь 2025</v>
      </c>
      <c r="E976" t="s">
        <v>26</v>
      </c>
      <c r="F976" t="s">
        <v>9</v>
      </c>
      <c r="G976">
        <v>1</v>
      </c>
      <c r="H976">
        <v>221</v>
      </c>
      <c r="I976" t="s">
        <v>13</v>
      </c>
      <c r="J976" t="str">
        <f>_xlfn.XLOOKUP(branches[[#This Row],[Филиал]], tbl_Filialy[Филиал], tbl_Filialy[Менеджер])</f>
        <v>Алия Гайнутдинова</v>
      </c>
    </row>
    <row r="977" spans="1:10" x14ac:dyDescent="0.3">
      <c r="A977" t="str">
        <f>_xlfn.XLOOKUP(branches[[#This Row],[Филиал]], tbl_Filialy[Филиал], tbl_Filialy[Город])</f>
        <v>Казань</v>
      </c>
      <c r="B977" s="1" t="s">
        <v>30</v>
      </c>
      <c r="C977" s="2">
        <v>45731</v>
      </c>
      <c r="D977" s="2" t="str">
        <f>CHOOSE(MONTH(branches[[#This Row],[Дата]]),"Январь","Февраль","Март","Апрель","Май","Июнь","Июль","Август","Сентябрь","Октябрь","Ноябрь","Декабрь")&amp;" "&amp;YEAR(branches[[#This Row],[Дата]])</f>
        <v>Март 2025</v>
      </c>
      <c r="E977" t="s">
        <v>8</v>
      </c>
      <c r="F977" t="s">
        <v>9</v>
      </c>
      <c r="G977">
        <v>2</v>
      </c>
      <c r="H977">
        <v>468</v>
      </c>
      <c r="I977" t="s">
        <v>13</v>
      </c>
      <c r="J977" t="str">
        <f>_xlfn.XLOOKUP(branches[[#This Row],[Филиал]], tbl_Filialy[Филиал], tbl_Filialy[Менеджер])</f>
        <v>Алия Гайнутдинова</v>
      </c>
    </row>
    <row r="978" spans="1:10" x14ac:dyDescent="0.3">
      <c r="A978" t="str">
        <f>_xlfn.XLOOKUP(branches[[#This Row],[Филиал]], tbl_Filialy[Филиал], tbl_Filialy[Город])</f>
        <v>Казань</v>
      </c>
      <c r="B978" s="1" t="s">
        <v>30</v>
      </c>
      <c r="C978" s="2">
        <v>45809</v>
      </c>
      <c r="D978" s="2" t="str">
        <f>CHOOSE(MONTH(branches[[#This Row],[Дата]]),"Январь","Февраль","Март","Апрель","Май","Июнь","Июль","Август","Сентябрь","Октябрь","Ноябрь","Декабрь")&amp;" "&amp;YEAR(branches[[#This Row],[Дата]])</f>
        <v>Июнь 2025</v>
      </c>
      <c r="E978" t="s">
        <v>18</v>
      </c>
      <c r="F978" t="s">
        <v>12</v>
      </c>
      <c r="G978">
        <v>1</v>
      </c>
      <c r="H978">
        <v>142</v>
      </c>
      <c r="I978" t="s">
        <v>23</v>
      </c>
      <c r="J978" t="str">
        <f>_xlfn.XLOOKUP(branches[[#This Row],[Филиал]], tbl_Filialy[Филиал], tbl_Filialy[Менеджер])</f>
        <v>Алия Гайнутдинова</v>
      </c>
    </row>
    <row r="979" spans="1:10" x14ac:dyDescent="0.3">
      <c r="A979" t="str">
        <f>_xlfn.XLOOKUP(branches[[#This Row],[Филиал]], tbl_Filialy[Филиал], tbl_Filialy[Город])</f>
        <v>Казань</v>
      </c>
      <c r="B979" s="1" t="s">
        <v>30</v>
      </c>
      <c r="C979" s="2">
        <v>45823</v>
      </c>
      <c r="D979" s="2" t="str">
        <f>CHOOSE(MONTH(branches[[#This Row],[Дата]]),"Январь","Февраль","Март","Апрель","Май","Июнь","Июль","Август","Сентябрь","Октябрь","Ноябрь","Декабрь")&amp;" "&amp;YEAR(branches[[#This Row],[Дата]])</f>
        <v>Июнь 2025</v>
      </c>
      <c r="E979" t="s">
        <v>28</v>
      </c>
      <c r="F979" t="s">
        <v>12</v>
      </c>
      <c r="G979">
        <v>2</v>
      </c>
      <c r="H979">
        <v>436</v>
      </c>
      <c r="I979" t="s">
        <v>19</v>
      </c>
      <c r="J979" t="str">
        <f>_xlfn.XLOOKUP(branches[[#This Row],[Филиал]], tbl_Filialy[Филиал], tbl_Filialy[Менеджер])</f>
        <v>Алия Гайнутдинова</v>
      </c>
    </row>
    <row r="980" spans="1:10" x14ac:dyDescent="0.3">
      <c r="A980" t="str">
        <f>_xlfn.XLOOKUP(branches[[#This Row],[Филиал]], tbl_Filialy[Филиал], tbl_Filialy[Город])</f>
        <v>Казань</v>
      </c>
      <c r="B980" s="1" t="s">
        <v>30</v>
      </c>
      <c r="C980" s="2">
        <v>46009</v>
      </c>
      <c r="D980" s="2" t="str">
        <f>CHOOSE(MONTH(branches[[#This Row],[Дата]]),"Январь","Февраль","Март","Апрель","Май","Июнь","Июль","Август","Сентябрь","Октябрь","Ноябрь","Декабрь")&amp;" "&amp;YEAR(branches[[#This Row],[Дата]])</f>
        <v>Декабрь 2025</v>
      </c>
      <c r="E980" t="s">
        <v>14</v>
      </c>
      <c r="F980" t="s">
        <v>12</v>
      </c>
      <c r="G980">
        <v>2</v>
      </c>
      <c r="H980">
        <v>572</v>
      </c>
      <c r="I980" t="s">
        <v>21</v>
      </c>
      <c r="J980" t="str">
        <f>_xlfn.XLOOKUP(branches[[#This Row],[Филиал]], tbl_Filialy[Филиал], tbl_Filialy[Менеджер])</f>
        <v>Алия Гайнутдинова</v>
      </c>
    </row>
    <row r="981" spans="1:10" x14ac:dyDescent="0.3">
      <c r="A981" t="str">
        <f>_xlfn.XLOOKUP(branches[[#This Row],[Филиал]], tbl_Filialy[Филиал], tbl_Filialy[Город])</f>
        <v>Казань</v>
      </c>
      <c r="B981" s="1" t="s">
        <v>30</v>
      </c>
      <c r="C981" s="2">
        <v>45825</v>
      </c>
      <c r="D981" s="2" t="str">
        <f>CHOOSE(MONTH(branches[[#This Row],[Дата]]),"Январь","Февраль","Март","Апрель","Май","Июнь","Июль","Август","Сентябрь","Октябрь","Ноябрь","Декабрь")&amp;" "&amp;YEAR(branches[[#This Row],[Дата]])</f>
        <v>Июнь 2025</v>
      </c>
      <c r="E981" t="s">
        <v>24</v>
      </c>
      <c r="F981" t="s">
        <v>17</v>
      </c>
      <c r="G981">
        <v>1</v>
      </c>
      <c r="H981">
        <v>362</v>
      </c>
      <c r="I981" t="s">
        <v>13</v>
      </c>
      <c r="J981" t="str">
        <f>_xlfn.XLOOKUP(branches[[#This Row],[Филиал]], tbl_Filialy[Филиал], tbl_Filialy[Менеджер])</f>
        <v>Алия Гайнутдинова</v>
      </c>
    </row>
    <row r="982" spans="1:10" x14ac:dyDescent="0.3">
      <c r="A982" t="str">
        <f>_xlfn.XLOOKUP(branches[[#This Row],[Филиал]], tbl_Filialy[Филиал], tbl_Filialy[Город])</f>
        <v>Казань</v>
      </c>
      <c r="B982" s="1" t="s">
        <v>30</v>
      </c>
      <c r="C982" s="2">
        <v>45993</v>
      </c>
      <c r="D982" s="2" t="str">
        <f>CHOOSE(MONTH(branches[[#This Row],[Дата]]),"Январь","Февраль","Март","Апрель","Май","Июнь","Июль","Август","Сентябрь","Октябрь","Ноябрь","Декабрь")&amp;" "&amp;YEAR(branches[[#This Row],[Дата]])</f>
        <v>Декабрь 2025</v>
      </c>
      <c r="E982" t="s">
        <v>16</v>
      </c>
      <c r="F982" t="s">
        <v>17</v>
      </c>
      <c r="G982">
        <v>1</v>
      </c>
      <c r="H982">
        <v>280</v>
      </c>
      <c r="I982" t="s">
        <v>15</v>
      </c>
      <c r="J982" t="str">
        <f>_xlfn.XLOOKUP(branches[[#This Row],[Филиал]], tbl_Filialy[Филиал], tbl_Filialy[Менеджер])</f>
        <v>Алия Гайнутдинова</v>
      </c>
    </row>
    <row r="983" spans="1:10" x14ac:dyDescent="0.3">
      <c r="A983" t="str">
        <f>_xlfn.XLOOKUP(branches[[#This Row],[Филиал]], tbl_Filialy[Филиал], tbl_Filialy[Город])</f>
        <v>Казань</v>
      </c>
      <c r="B983" s="1" t="s">
        <v>30</v>
      </c>
      <c r="C983" s="2">
        <v>45824</v>
      </c>
      <c r="D983" s="2" t="str">
        <f>CHOOSE(MONTH(branches[[#This Row],[Дата]]),"Январь","Февраль","Март","Апрель","Май","Июнь","Июль","Август","Сентябрь","Октябрь","Ноябрь","Декабрь")&amp;" "&amp;YEAR(branches[[#This Row],[Дата]])</f>
        <v>Июнь 2025</v>
      </c>
      <c r="E983" t="s">
        <v>14</v>
      </c>
      <c r="F983" t="s">
        <v>12</v>
      </c>
      <c r="G983">
        <v>3</v>
      </c>
      <c r="H983">
        <v>783</v>
      </c>
      <c r="I983" t="s">
        <v>19</v>
      </c>
      <c r="J983" t="str">
        <f>_xlfn.XLOOKUP(branches[[#This Row],[Филиал]], tbl_Filialy[Филиал], tbl_Filialy[Менеджер])</f>
        <v>Алия Гайнутдинова</v>
      </c>
    </row>
    <row r="984" spans="1:10" x14ac:dyDescent="0.3">
      <c r="A984" t="str">
        <f>_xlfn.XLOOKUP(branches[[#This Row],[Филиал]], tbl_Filialy[Филиал], tbl_Filialy[Город])</f>
        <v>Казань</v>
      </c>
      <c r="B984" s="1" t="s">
        <v>30</v>
      </c>
      <c r="C984" s="2">
        <v>45973</v>
      </c>
      <c r="D984" s="2" t="str">
        <f>CHOOSE(MONTH(branches[[#This Row],[Дата]]),"Январь","Февраль","Март","Апрель","Май","Июнь","Июль","Август","Сентябрь","Октябрь","Ноябрь","Декабрь")&amp;" "&amp;YEAR(branches[[#This Row],[Дата]])</f>
        <v>Ноябрь 2025</v>
      </c>
      <c r="E984" t="s">
        <v>20</v>
      </c>
      <c r="F984" t="s">
        <v>12</v>
      </c>
      <c r="G984">
        <v>1</v>
      </c>
      <c r="H984">
        <v>309</v>
      </c>
      <c r="I984" t="s">
        <v>23</v>
      </c>
      <c r="J984" t="str">
        <f>_xlfn.XLOOKUP(branches[[#This Row],[Филиал]], tbl_Filialy[Филиал], tbl_Filialy[Менеджер])</f>
        <v>Алия Гайнутдинова</v>
      </c>
    </row>
    <row r="985" spans="1:10" x14ac:dyDescent="0.3">
      <c r="A985" t="str">
        <f>_xlfn.XLOOKUP(branches[[#This Row],[Филиал]], tbl_Filialy[Филиал], tbl_Filialy[Город])</f>
        <v>Казань</v>
      </c>
      <c r="B985" s="1" t="s">
        <v>30</v>
      </c>
      <c r="C985" s="2">
        <v>45912</v>
      </c>
      <c r="D985" s="2" t="str">
        <f>CHOOSE(MONTH(branches[[#This Row],[Дата]]),"Январь","Февраль","Март","Апрель","Май","Июнь","Июль","Август","Сентябрь","Октябрь","Ноябрь","Декабрь")&amp;" "&amp;YEAR(branches[[#This Row],[Дата]])</f>
        <v>Сентябрь 2025</v>
      </c>
      <c r="E985" t="s">
        <v>24</v>
      </c>
      <c r="F985" t="s">
        <v>17</v>
      </c>
      <c r="G985">
        <v>1</v>
      </c>
      <c r="H985">
        <v>350</v>
      </c>
      <c r="I985" t="s">
        <v>23</v>
      </c>
      <c r="J985" t="str">
        <f>_xlfn.XLOOKUP(branches[[#This Row],[Филиал]], tbl_Filialy[Филиал], tbl_Filialy[Менеджер])</f>
        <v>Алия Гайнутдинова</v>
      </c>
    </row>
    <row r="986" spans="1:10" x14ac:dyDescent="0.3">
      <c r="A986" t="str">
        <f>_xlfn.XLOOKUP(branches[[#This Row],[Филиал]], tbl_Filialy[Филиал], tbl_Filialy[Город])</f>
        <v>Казань</v>
      </c>
      <c r="B986" s="1" t="s">
        <v>30</v>
      </c>
      <c r="C986" s="2">
        <v>45775</v>
      </c>
      <c r="D986" s="2" t="str">
        <f>CHOOSE(MONTH(branches[[#This Row],[Дата]]),"Январь","Февраль","Март","Апрель","Май","Июнь","Июль","Август","Сентябрь","Октябрь","Ноябрь","Декабрь")&amp;" "&amp;YEAR(branches[[#This Row],[Дата]])</f>
        <v>Апрель 2025</v>
      </c>
      <c r="E986" t="s">
        <v>22</v>
      </c>
      <c r="F986" t="s">
        <v>9</v>
      </c>
      <c r="G986">
        <v>2</v>
      </c>
      <c r="H986">
        <v>336</v>
      </c>
      <c r="I986" t="s">
        <v>13</v>
      </c>
      <c r="J986" t="str">
        <f>_xlfn.XLOOKUP(branches[[#This Row],[Филиал]], tbl_Filialy[Филиал], tbl_Filialy[Менеджер])</f>
        <v>Алия Гайнутдинова</v>
      </c>
    </row>
    <row r="987" spans="1:10" x14ac:dyDescent="0.3">
      <c r="A987" t="str">
        <f>_xlfn.XLOOKUP(branches[[#This Row],[Филиал]], tbl_Filialy[Филиал], tbl_Filialy[Город])</f>
        <v>Казань</v>
      </c>
      <c r="B987" s="1" t="s">
        <v>30</v>
      </c>
      <c r="C987" s="2">
        <v>45711</v>
      </c>
      <c r="D987" s="2" t="str">
        <f>CHOOSE(MONTH(branches[[#This Row],[Дата]]),"Январь","Февраль","Март","Апрель","Май","Июнь","Июль","Август","Сентябрь","Октябрь","Ноябрь","Декабрь")&amp;" "&amp;YEAR(branches[[#This Row],[Дата]])</f>
        <v>Февраль 2025</v>
      </c>
      <c r="E987" t="s">
        <v>26</v>
      </c>
      <c r="F987" t="s">
        <v>9</v>
      </c>
      <c r="G987">
        <v>3</v>
      </c>
      <c r="H987">
        <v>576</v>
      </c>
      <c r="I987" t="s">
        <v>23</v>
      </c>
      <c r="J987" t="str">
        <f>_xlfn.XLOOKUP(branches[[#This Row],[Филиал]], tbl_Filialy[Филиал], tbl_Filialy[Менеджер])</f>
        <v>Алия Гайнутдинова</v>
      </c>
    </row>
    <row r="988" spans="1:10" x14ac:dyDescent="0.3">
      <c r="A988" t="str">
        <f>_xlfn.XLOOKUP(branches[[#This Row],[Филиал]], tbl_Filialy[Филиал], tbl_Filialy[Город])</f>
        <v>Казань</v>
      </c>
      <c r="B988" s="1" t="s">
        <v>30</v>
      </c>
      <c r="C988" s="2">
        <v>45780</v>
      </c>
      <c r="D988" s="2" t="str">
        <f>CHOOSE(MONTH(branches[[#This Row],[Дата]]),"Январь","Февраль","Март","Апрель","Май","Июнь","Июль","Август","Сентябрь","Октябрь","Ноябрь","Декабрь")&amp;" "&amp;YEAR(branches[[#This Row],[Дата]])</f>
        <v>Май 2025</v>
      </c>
      <c r="E988" t="s">
        <v>11</v>
      </c>
      <c r="F988" t="s">
        <v>12</v>
      </c>
      <c r="G988">
        <v>1</v>
      </c>
      <c r="H988">
        <v>153</v>
      </c>
      <c r="I988" t="s">
        <v>15</v>
      </c>
      <c r="J988" t="str">
        <f>_xlfn.XLOOKUP(branches[[#This Row],[Филиал]], tbl_Filialy[Филиал], tbl_Filialy[Менеджер])</f>
        <v>Алия Гайнутдинова</v>
      </c>
    </row>
    <row r="989" spans="1:10" x14ac:dyDescent="0.3">
      <c r="A989" t="str">
        <f>_xlfn.XLOOKUP(branches[[#This Row],[Филиал]], tbl_Filialy[Филиал], tbl_Filialy[Город])</f>
        <v>Казань</v>
      </c>
      <c r="B989" s="1" t="s">
        <v>30</v>
      </c>
      <c r="C989" s="2">
        <v>45810</v>
      </c>
      <c r="D989" s="2" t="str">
        <f>CHOOSE(MONTH(branches[[#This Row],[Дата]]),"Январь","Февраль","Март","Апрель","Май","Июнь","Июль","Август","Сентябрь","Октябрь","Ноябрь","Декабрь")&amp;" "&amp;YEAR(branches[[#This Row],[Дата]])</f>
        <v>Июнь 2025</v>
      </c>
      <c r="E989" t="s">
        <v>27</v>
      </c>
      <c r="F989" t="s">
        <v>12</v>
      </c>
      <c r="G989">
        <v>1</v>
      </c>
      <c r="H989">
        <v>227</v>
      </c>
      <c r="I989" t="s">
        <v>23</v>
      </c>
      <c r="J989" t="str">
        <f>_xlfn.XLOOKUP(branches[[#This Row],[Филиал]], tbl_Filialy[Филиал], tbl_Filialy[Менеджер])</f>
        <v>Алия Гайнутдинова</v>
      </c>
    </row>
    <row r="990" spans="1:10" x14ac:dyDescent="0.3">
      <c r="A990" t="str">
        <f>_xlfn.XLOOKUP(branches[[#This Row],[Филиал]], tbl_Filialy[Филиал], tbl_Filialy[Город])</f>
        <v>Казань</v>
      </c>
      <c r="B990" s="1" t="s">
        <v>30</v>
      </c>
      <c r="C990" s="2">
        <v>45835</v>
      </c>
      <c r="D990" s="2" t="str">
        <f>CHOOSE(MONTH(branches[[#This Row],[Дата]]),"Январь","Февраль","Март","Апрель","Май","Июнь","Июль","Август","Сентябрь","Октябрь","Ноябрь","Декабрь")&amp;" "&amp;YEAR(branches[[#This Row],[Дата]])</f>
        <v>Июнь 2025</v>
      </c>
      <c r="E990" t="s">
        <v>25</v>
      </c>
      <c r="F990" t="s">
        <v>12</v>
      </c>
      <c r="G990">
        <v>1</v>
      </c>
      <c r="H990">
        <v>199</v>
      </c>
      <c r="I990" t="s">
        <v>15</v>
      </c>
      <c r="J990" t="str">
        <f>_xlfn.XLOOKUP(branches[[#This Row],[Филиал]], tbl_Filialy[Филиал], tbl_Filialy[Менеджер])</f>
        <v>Алия Гайнутдинова</v>
      </c>
    </row>
    <row r="991" spans="1:10" x14ac:dyDescent="0.3">
      <c r="A991" t="str">
        <f>_xlfn.XLOOKUP(branches[[#This Row],[Филиал]], tbl_Filialy[Филиал], tbl_Filialy[Город])</f>
        <v>Казань</v>
      </c>
      <c r="B991" s="1" t="s">
        <v>30</v>
      </c>
      <c r="C991" s="2">
        <v>45992</v>
      </c>
      <c r="D991" s="2" t="str">
        <f>CHOOSE(MONTH(branches[[#This Row],[Дата]]),"Январь","Февраль","Март","Апрель","Май","Июнь","Июль","Август","Сентябрь","Октябрь","Ноябрь","Декабрь")&amp;" "&amp;YEAR(branches[[#This Row],[Дата]])</f>
        <v>Декабрь 2025</v>
      </c>
      <c r="E991" t="s">
        <v>8</v>
      </c>
      <c r="F991" t="s">
        <v>9</v>
      </c>
      <c r="G991">
        <v>2</v>
      </c>
      <c r="H991">
        <v>444</v>
      </c>
      <c r="I991" t="s">
        <v>15</v>
      </c>
      <c r="J991" t="str">
        <f>_xlfn.XLOOKUP(branches[[#This Row],[Филиал]], tbl_Filialy[Филиал], tbl_Filialy[Менеджер])</f>
        <v>Алия Гайнутдинова</v>
      </c>
    </row>
    <row r="992" spans="1:10" x14ac:dyDescent="0.3">
      <c r="A992" t="str">
        <f>_xlfn.XLOOKUP(branches[[#This Row],[Филиал]], tbl_Filialy[Филиал], tbl_Filialy[Город])</f>
        <v>Казань</v>
      </c>
      <c r="B992" s="1" t="s">
        <v>30</v>
      </c>
      <c r="C992" s="2">
        <v>45966</v>
      </c>
      <c r="D992" s="2" t="str">
        <f>CHOOSE(MONTH(branches[[#This Row],[Дата]]),"Январь","Февраль","Март","Апрель","Май","Июнь","Июль","Август","Сентябрь","Октябрь","Ноябрь","Декабрь")&amp;" "&amp;YEAR(branches[[#This Row],[Дата]])</f>
        <v>Ноябрь 2025</v>
      </c>
      <c r="E992" t="s">
        <v>28</v>
      </c>
      <c r="F992" t="s">
        <v>12</v>
      </c>
      <c r="G992">
        <v>1</v>
      </c>
      <c r="H992">
        <v>227</v>
      </c>
      <c r="I992" t="s">
        <v>15</v>
      </c>
      <c r="J992" t="str">
        <f>_xlfn.XLOOKUP(branches[[#This Row],[Филиал]], tbl_Filialy[Филиал], tbl_Filialy[Менеджер])</f>
        <v>Алия Гайнутдинова</v>
      </c>
    </row>
    <row r="993" spans="1:10" x14ac:dyDescent="0.3">
      <c r="A993" t="str">
        <f>_xlfn.XLOOKUP(branches[[#This Row],[Филиал]], tbl_Filialy[Филиал], tbl_Filialy[Город])</f>
        <v>Казань</v>
      </c>
      <c r="B993" s="1" t="s">
        <v>30</v>
      </c>
      <c r="C993" s="2">
        <v>45988</v>
      </c>
      <c r="D993" s="2" t="str">
        <f>CHOOSE(MONTH(branches[[#This Row],[Дата]]),"Январь","Февраль","Март","Апрель","Май","Июнь","Июль","Август","Сентябрь","Октябрь","Ноябрь","Декабрь")&amp;" "&amp;YEAR(branches[[#This Row],[Дата]])</f>
        <v>Ноябрь 2025</v>
      </c>
      <c r="E993" t="s">
        <v>20</v>
      </c>
      <c r="F993" t="s">
        <v>12</v>
      </c>
      <c r="G993">
        <v>2</v>
      </c>
      <c r="H993">
        <v>538</v>
      </c>
      <c r="I993" t="s">
        <v>10</v>
      </c>
      <c r="J993" t="str">
        <f>_xlfn.XLOOKUP(branches[[#This Row],[Филиал]], tbl_Filialy[Филиал], tbl_Filialy[Менеджер])</f>
        <v>Алия Гайнутдинова</v>
      </c>
    </row>
    <row r="994" spans="1:10" x14ac:dyDescent="0.3">
      <c r="A994" t="str">
        <f>_xlfn.XLOOKUP(branches[[#This Row],[Филиал]], tbl_Filialy[Филиал], tbl_Filialy[Город])</f>
        <v>Казань</v>
      </c>
      <c r="B994" s="1" t="s">
        <v>30</v>
      </c>
      <c r="C994" s="2">
        <v>45870</v>
      </c>
      <c r="D994" s="2" t="str">
        <f>CHOOSE(MONTH(branches[[#This Row],[Дата]]),"Январь","Февраль","Март","Апрель","Май","Июнь","Июль","Август","Сентябрь","Октябрь","Ноябрь","Декабрь")&amp;" "&amp;YEAR(branches[[#This Row],[Дата]])</f>
        <v>Август 2025</v>
      </c>
      <c r="E994" t="s">
        <v>16</v>
      </c>
      <c r="F994" t="s">
        <v>17</v>
      </c>
      <c r="G994">
        <v>2</v>
      </c>
      <c r="H994">
        <v>594</v>
      </c>
      <c r="I994" t="s">
        <v>15</v>
      </c>
      <c r="J994" t="str">
        <f>_xlfn.XLOOKUP(branches[[#This Row],[Филиал]], tbl_Filialy[Филиал], tbl_Filialy[Менеджер])</f>
        <v>Алия Гайнутдинова</v>
      </c>
    </row>
    <row r="995" spans="1:10" x14ac:dyDescent="0.3">
      <c r="A995" t="str">
        <f>_xlfn.XLOOKUP(branches[[#This Row],[Филиал]], tbl_Filialy[Филиал], tbl_Filialy[Город])</f>
        <v>Казань</v>
      </c>
      <c r="B995" s="1" t="s">
        <v>30</v>
      </c>
      <c r="C995" s="2">
        <v>46007</v>
      </c>
      <c r="D995" s="2" t="str">
        <f>CHOOSE(MONTH(branches[[#This Row],[Дата]]),"Январь","Февраль","Март","Апрель","Май","Июнь","Июль","Август","Сентябрь","Октябрь","Ноябрь","Декабрь")&amp;" "&amp;YEAR(branches[[#This Row],[Дата]])</f>
        <v>Декабрь 2025</v>
      </c>
      <c r="E995" t="s">
        <v>16</v>
      </c>
      <c r="F995" t="s">
        <v>17</v>
      </c>
      <c r="G995">
        <v>1</v>
      </c>
      <c r="H995">
        <v>357</v>
      </c>
      <c r="I995" t="s">
        <v>23</v>
      </c>
      <c r="J995" t="str">
        <f>_xlfn.XLOOKUP(branches[[#This Row],[Филиал]], tbl_Filialy[Филиал], tbl_Filialy[Менеджер])</f>
        <v>Алия Гайнутдинова</v>
      </c>
    </row>
    <row r="996" spans="1:10" x14ac:dyDescent="0.3">
      <c r="A996" t="str">
        <f>_xlfn.XLOOKUP(branches[[#This Row],[Филиал]], tbl_Filialy[Филиал], tbl_Filialy[Город])</f>
        <v>Казань</v>
      </c>
      <c r="B996" s="1" t="s">
        <v>30</v>
      </c>
      <c r="C996" s="2">
        <v>45782</v>
      </c>
      <c r="D996" s="2" t="str">
        <f>CHOOSE(MONTH(branches[[#This Row],[Дата]]),"Январь","Февраль","Март","Апрель","Май","Июнь","Июль","Август","Сентябрь","Октябрь","Ноябрь","Декабрь")&amp;" "&amp;YEAR(branches[[#This Row],[Дата]])</f>
        <v>Май 2025</v>
      </c>
      <c r="E996" t="s">
        <v>24</v>
      </c>
      <c r="F996" t="s">
        <v>17</v>
      </c>
      <c r="G996">
        <v>2</v>
      </c>
      <c r="H996">
        <v>680</v>
      </c>
      <c r="I996" t="s">
        <v>13</v>
      </c>
      <c r="J996" t="str">
        <f>_xlfn.XLOOKUP(branches[[#This Row],[Филиал]], tbl_Filialy[Филиал], tbl_Filialy[Менеджер])</f>
        <v>Алия Гайнутдинова</v>
      </c>
    </row>
    <row r="997" spans="1:10" x14ac:dyDescent="0.3">
      <c r="A997" t="str">
        <f>_xlfn.XLOOKUP(branches[[#This Row],[Филиал]], tbl_Filialy[Филиал], tbl_Filialy[Город])</f>
        <v>Казань</v>
      </c>
      <c r="B997" s="1" t="s">
        <v>30</v>
      </c>
      <c r="C997" s="2">
        <v>45992</v>
      </c>
      <c r="D997" s="2" t="str">
        <f>CHOOSE(MONTH(branches[[#This Row],[Дата]]),"Январь","Февраль","Март","Апрель","Май","Июнь","Июль","Август","Сентябрь","Октябрь","Ноябрь","Декабрь")&amp;" "&amp;YEAR(branches[[#This Row],[Дата]])</f>
        <v>Декабрь 2025</v>
      </c>
      <c r="E997" t="s">
        <v>22</v>
      </c>
      <c r="F997" t="s">
        <v>9</v>
      </c>
      <c r="G997">
        <v>2</v>
      </c>
      <c r="H997">
        <v>362</v>
      </c>
      <c r="I997" t="s">
        <v>13</v>
      </c>
      <c r="J997" t="str">
        <f>_xlfn.XLOOKUP(branches[[#This Row],[Филиал]], tbl_Filialy[Филиал], tbl_Filialy[Менеджер])</f>
        <v>Алия Гайнутдинова</v>
      </c>
    </row>
    <row r="998" spans="1:10" x14ac:dyDescent="0.3">
      <c r="A998" t="str">
        <f>_xlfn.XLOOKUP(branches[[#This Row],[Филиал]], tbl_Filialy[Филиал], tbl_Filialy[Город])</f>
        <v>Казань</v>
      </c>
      <c r="B998" s="1" t="s">
        <v>30</v>
      </c>
      <c r="C998" s="2">
        <v>45713</v>
      </c>
      <c r="D998" s="2" t="str">
        <f>CHOOSE(MONTH(branches[[#This Row],[Дата]]),"Январь","Февраль","Март","Апрель","Май","Июнь","Июль","Август","Сентябрь","Октябрь","Ноябрь","Декабрь")&amp;" "&amp;YEAR(branches[[#This Row],[Дата]])</f>
        <v>Февраль 2025</v>
      </c>
      <c r="E998" t="s">
        <v>24</v>
      </c>
      <c r="F998" t="s">
        <v>17</v>
      </c>
      <c r="G998">
        <v>3</v>
      </c>
      <c r="H998">
        <v>1230</v>
      </c>
      <c r="I998" t="s">
        <v>21</v>
      </c>
      <c r="J998" t="str">
        <f>_xlfn.XLOOKUP(branches[[#This Row],[Филиал]], tbl_Filialy[Филиал], tbl_Filialy[Менеджер])</f>
        <v>Алия Гайнутдинова</v>
      </c>
    </row>
    <row r="999" spans="1:10" x14ac:dyDescent="0.3">
      <c r="A999" t="str">
        <f>_xlfn.XLOOKUP(branches[[#This Row],[Филиал]], tbl_Filialy[Филиал], tbl_Filialy[Город])</f>
        <v>Казань</v>
      </c>
      <c r="B999" s="1" t="s">
        <v>30</v>
      </c>
      <c r="C999" s="2">
        <v>45664</v>
      </c>
      <c r="D999" s="2" t="str">
        <f>CHOOSE(MONTH(branches[[#This Row],[Дата]]),"Январь","Февраль","Март","Апрель","Май","Июнь","Июль","Август","Сентябрь","Октябрь","Ноябрь","Декабрь")&amp;" "&amp;YEAR(branches[[#This Row],[Дата]])</f>
        <v>Январь 2025</v>
      </c>
      <c r="E999" t="s">
        <v>25</v>
      </c>
      <c r="F999" t="s">
        <v>12</v>
      </c>
      <c r="G999">
        <v>1</v>
      </c>
      <c r="H999">
        <v>216</v>
      </c>
      <c r="I999" t="s">
        <v>13</v>
      </c>
      <c r="J999" t="str">
        <f>_xlfn.XLOOKUP(branches[[#This Row],[Филиал]], tbl_Filialy[Филиал], tbl_Filialy[Менеджер])</f>
        <v>Алия Гайнутдинова</v>
      </c>
    </row>
    <row r="1000" spans="1:10" x14ac:dyDescent="0.3">
      <c r="A1000" t="str">
        <f>_xlfn.XLOOKUP(branches[[#This Row],[Филиал]], tbl_Filialy[Филиал], tbl_Filialy[Город])</f>
        <v>Казань</v>
      </c>
      <c r="B1000" s="1" t="s">
        <v>30</v>
      </c>
      <c r="C1000" s="2">
        <v>45842</v>
      </c>
      <c r="D1000" s="2" t="str">
        <f>CHOOSE(MONTH(branches[[#This Row],[Дата]]),"Январь","Февраль","Март","Апрель","Май","Июнь","Июль","Август","Сентябрь","Октябрь","Ноябрь","Декабрь")&amp;" "&amp;YEAR(branches[[#This Row],[Дата]])</f>
        <v>Июль 2025</v>
      </c>
      <c r="E1000" t="s">
        <v>25</v>
      </c>
      <c r="F1000" t="s">
        <v>12</v>
      </c>
      <c r="G1000">
        <v>1</v>
      </c>
      <c r="H1000">
        <v>204</v>
      </c>
      <c r="I1000" t="s">
        <v>21</v>
      </c>
      <c r="J1000" t="str">
        <f>_xlfn.XLOOKUP(branches[[#This Row],[Филиал]], tbl_Filialy[Филиал], tbl_Filialy[Менеджер])</f>
        <v>Алия Гайнутдинова</v>
      </c>
    </row>
    <row r="1001" spans="1:10" x14ac:dyDescent="0.3">
      <c r="A1001" t="str">
        <f>_xlfn.XLOOKUP(branches[[#This Row],[Филиал]], tbl_Filialy[Филиал], tbl_Filialy[Город])</f>
        <v>Казань</v>
      </c>
      <c r="B1001" s="1" t="s">
        <v>30</v>
      </c>
      <c r="C1001" s="2">
        <v>45972</v>
      </c>
      <c r="D1001" s="2" t="str">
        <f>CHOOSE(MONTH(branches[[#This Row],[Дата]]),"Январь","Февраль","Март","Апрель","Май","Июнь","Июль","Август","Сентябрь","Октябрь","Ноябрь","Декабрь")&amp;" "&amp;YEAR(branches[[#This Row],[Дата]])</f>
        <v>Ноябрь 2025</v>
      </c>
      <c r="E1001" t="s">
        <v>28</v>
      </c>
      <c r="F1001" t="s">
        <v>12</v>
      </c>
      <c r="G1001">
        <v>2</v>
      </c>
      <c r="H1001">
        <v>476</v>
      </c>
      <c r="I1001" t="s">
        <v>15</v>
      </c>
      <c r="J1001" t="str">
        <f>_xlfn.XLOOKUP(branches[[#This Row],[Филиал]], tbl_Filialy[Филиал], tbl_Filialy[Менеджер])</f>
        <v>Алия Гайнутдинова</v>
      </c>
    </row>
    <row r="1002" spans="1:10" x14ac:dyDescent="0.3">
      <c r="A1002" t="str">
        <f>_xlfn.XLOOKUP(branches[[#This Row],[Филиал]], tbl_Filialy[Филиал], tbl_Filialy[Город])</f>
        <v>Казань</v>
      </c>
      <c r="B1002" s="1" t="s">
        <v>30</v>
      </c>
      <c r="C1002" s="2">
        <v>45779</v>
      </c>
      <c r="D1002" s="2" t="str">
        <f>CHOOSE(MONTH(branches[[#This Row],[Дата]]),"Январь","Февраль","Март","Апрель","Май","Июнь","Июль","Август","Сентябрь","Октябрь","Ноябрь","Декабрь")&amp;" "&amp;YEAR(branches[[#This Row],[Дата]])</f>
        <v>Май 2025</v>
      </c>
      <c r="E1002" t="s">
        <v>22</v>
      </c>
      <c r="F1002" t="s">
        <v>9</v>
      </c>
      <c r="G1002">
        <v>1</v>
      </c>
      <c r="H1002">
        <v>176</v>
      </c>
      <c r="I1002" t="s">
        <v>23</v>
      </c>
      <c r="J1002" t="str">
        <f>_xlfn.XLOOKUP(branches[[#This Row],[Филиал]], tbl_Filialy[Филиал], tbl_Filialy[Менеджер])</f>
        <v>Алия Гайнутдинова</v>
      </c>
    </row>
    <row r="1003" spans="1:10" x14ac:dyDescent="0.3">
      <c r="A1003" t="str">
        <f>_xlfn.XLOOKUP(branches[[#This Row],[Филиал]], tbl_Filialy[Филиал], tbl_Filialy[Город])</f>
        <v>Казань</v>
      </c>
      <c r="B1003" s="1" t="s">
        <v>30</v>
      </c>
      <c r="C1003" s="2">
        <v>45907</v>
      </c>
      <c r="D1003" s="2" t="str">
        <f>CHOOSE(MONTH(branches[[#This Row],[Дата]]),"Январь","Февраль","Март","Апрель","Май","Июнь","Июль","Август","Сентябрь","Октябрь","Ноябрь","Декабрь")&amp;" "&amp;YEAR(branches[[#This Row],[Дата]])</f>
        <v>Сентябрь 2025</v>
      </c>
      <c r="E1003" t="s">
        <v>28</v>
      </c>
      <c r="F1003" t="s">
        <v>12</v>
      </c>
      <c r="G1003">
        <v>1</v>
      </c>
      <c r="H1003">
        <v>244</v>
      </c>
      <c r="I1003" t="s">
        <v>23</v>
      </c>
      <c r="J1003" t="str">
        <f>_xlfn.XLOOKUP(branches[[#This Row],[Филиал]], tbl_Filialy[Филиал], tbl_Filialy[Менеджер])</f>
        <v>Алия Гайнутдинова</v>
      </c>
    </row>
    <row r="1004" spans="1:10" x14ac:dyDescent="0.3">
      <c r="A1004" t="str">
        <f>_xlfn.XLOOKUP(branches[[#This Row],[Филиал]], tbl_Filialy[Филиал], tbl_Filialy[Город])</f>
        <v>Казань</v>
      </c>
      <c r="B1004" s="1" t="s">
        <v>30</v>
      </c>
      <c r="C1004" s="2">
        <v>45672</v>
      </c>
      <c r="D1004" s="2" t="str">
        <f>CHOOSE(MONTH(branches[[#This Row],[Дата]]),"Январь","Февраль","Март","Апрель","Май","Июнь","Июль","Август","Сентябрь","Октябрь","Ноябрь","Декабрь")&amp;" "&amp;YEAR(branches[[#This Row],[Дата]])</f>
        <v>Январь 2025</v>
      </c>
      <c r="E1004" t="s">
        <v>25</v>
      </c>
      <c r="F1004" t="s">
        <v>12</v>
      </c>
      <c r="G1004">
        <v>2</v>
      </c>
      <c r="H1004">
        <v>462</v>
      </c>
      <c r="I1004" t="s">
        <v>21</v>
      </c>
      <c r="J1004" t="str">
        <f>_xlfn.XLOOKUP(branches[[#This Row],[Филиал]], tbl_Filialy[Филиал], tbl_Filialy[Менеджер])</f>
        <v>Алия Гайнутдинова</v>
      </c>
    </row>
    <row r="1005" spans="1:10" x14ac:dyDescent="0.3">
      <c r="A1005" t="str">
        <f>_xlfn.XLOOKUP(branches[[#This Row],[Филиал]], tbl_Filialy[Филиал], tbl_Filialy[Город])</f>
        <v>Казань</v>
      </c>
      <c r="B1005" s="1" t="s">
        <v>30</v>
      </c>
      <c r="C1005" s="2">
        <v>45911</v>
      </c>
      <c r="D1005" s="2" t="str">
        <f>CHOOSE(MONTH(branches[[#This Row],[Дата]]),"Январь","Февраль","Март","Апрель","Май","Июнь","Июль","Август","Сентябрь","Октябрь","Ноябрь","Декабрь")&amp;" "&amp;YEAR(branches[[#This Row],[Дата]])</f>
        <v>Сентябрь 2025</v>
      </c>
      <c r="E1005" t="s">
        <v>20</v>
      </c>
      <c r="F1005" t="s">
        <v>12</v>
      </c>
      <c r="G1005">
        <v>1</v>
      </c>
      <c r="H1005">
        <v>302</v>
      </c>
      <c r="I1005" t="s">
        <v>13</v>
      </c>
      <c r="J1005" t="str">
        <f>_xlfn.XLOOKUP(branches[[#This Row],[Филиал]], tbl_Filialy[Филиал], tbl_Filialy[Менеджер])</f>
        <v>Алия Гайнутдинова</v>
      </c>
    </row>
    <row r="1006" spans="1:10" x14ac:dyDescent="0.3">
      <c r="A1006" t="str">
        <f>_xlfn.XLOOKUP(branches[[#This Row],[Филиал]], tbl_Filialy[Филиал], tbl_Filialy[Город])</f>
        <v>Казань</v>
      </c>
      <c r="B1006" s="1" t="s">
        <v>30</v>
      </c>
      <c r="C1006" s="2">
        <v>45737</v>
      </c>
      <c r="D1006" s="2" t="str">
        <f>CHOOSE(MONTH(branches[[#This Row],[Дата]]),"Январь","Февраль","Март","Апрель","Май","Июнь","Июль","Август","Сентябрь","Октябрь","Ноябрь","Декабрь")&amp;" "&amp;YEAR(branches[[#This Row],[Дата]])</f>
        <v>Март 2025</v>
      </c>
      <c r="E1006" t="s">
        <v>25</v>
      </c>
      <c r="F1006" t="s">
        <v>12</v>
      </c>
      <c r="G1006">
        <v>1</v>
      </c>
      <c r="H1006">
        <v>235</v>
      </c>
      <c r="I1006" t="s">
        <v>29</v>
      </c>
      <c r="J1006" t="str">
        <f>_xlfn.XLOOKUP(branches[[#This Row],[Филиал]], tbl_Filialy[Филиал], tbl_Filialy[Менеджер])</f>
        <v>Алия Гайнутдинова</v>
      </c>
    </row>
    <row r="1007" spans="1:10" x14ac:dyDescent="0.3">
      <c r="A1007" t="str">
        <f>_xlfn.XLOOKUP(branches[[#This Row],[Филиал]], tbl_Filialy[Филиал], tbl_Filialy[Город])</f>
        <v>Казань</v>
      </c>
      <c r="B1007" s="1" t="s">
        <v>30</v>
      </c>
      <c r="C1007" s="2">
        <v>45819</v>
      </c>
      <c r="D1007" s="2" t="str">
        <f>CHOOSE(MONTH(branches[[#This Row],[Дата]]),"Январь","Февраль","Март","Апрель","Май","Июнь","Июль","Август","Сентябрь","Октябрь","Ноябрь","Декабрь")&amp;" "&amp;YEAR(branches[[#This Row],[Дата]])</f>
        <v>Июнь 2025</v>
      </c>
      <c r="E1007" t="s">
        <v>25</v>
      </c>
      <c r="F1007" t="s">
        <v>12</v>
      </c>
      <c r="G1007">
        <v>1</v>
      </c>
      <c r="H1007">
        <v>243</v>
      </c>
      <c r="I1007" t="s">
        <v>23</v>
      </c>
      <c r="J1007" t="str">
        <f>_xlfn.XLOOKUP(branches[[#This Row],[Филиал]], tbl_Filialy[Филиал], tbl_Filialy[Менеджер])</f>
        <v>Алия Гайнутдинова</v>
      </c>
    </row>
    <row r="1008" spans="1:10" x14ac:dyDescent="0.3">
      <c r="A1008" t="str">
        <f>_xlfn.XLOOKUP(branches[[#This Row],[Филиал]], tbl_Filialy[Филиал], tbl_Filialy[Город])</f>
        <v>Казань</v>
      </c>
      <c r="B1008" s="1" t="s">
        <v>30</v>
      </c>
      <c r="C1008" s="2">
        <v>45971</v>
      </c>
      <c r="D1008" s="2" t="str">
        <f>CHOOSE(MONTH(branches[[#This Row],[Дата]]),"Январь","Февраль","Март","Апрель","Май","Июнь","Июль","Август","Сентябрь","Октябрь","Ноябрь","Декабрь")&amp;" "&amp;YEAR(branches[[#This Row],[Дата]])</f>
        <v>Ноябрь 2025</v>
      </c>
      <c r="E1008" t="s">
        <v>16</v>
      </c>
      <c r="F1008" t="s">
        <v>17</v>
      </c>
      <c r="G1008">
        <v>1</v>
      </c>
      <c r="H1008">
        <v>337</v>
      </c>
      <c r="I1008" t="s">
        <v>19</v>
      </c>
      <c r="J1008" t="str">
        <f>_xlfn.XLOOKUP(branches[[#This Row],[Филиал]], tbl_Filialy[Филиал], tbl_Filialy[Менеджер])</f>
        <v>Алия Гайнутдинова</v>
      </c>
    </row>
    <row r="1009" spans="1:10" x14ac:dyDescent="0.3">
      <c r="A1009" t="str">
        <f>_xlfn.XLOOKUP(branches[[#This Row],[Филиал]], tbl_Filialy[Филиал], tbl_Filialy[Город])</f>
        <v>Казань</v>
      </c>
      <c r="B1009" s="1" t="s">
        <v>30</v>
      </c>
      <c r="C1009" s="2">
        <v>45840</v>
      </c>
      <c r="D1009" s="2" t="str">
        <f>CHOOSE(MONTH(branches[[#This Row],[Дата]]),"Январь","Февраль","Март","Апрель","Май","Июнь","Июль","Август","Сентябрь","Октябрь","Ноябрь","Декабрь")&amp;" "&amp;YEAR(branches[[#This Row],[Дата]])</f>
        <v>Июль 2025</v>
      </c>
      <c r="E1009" t="s">
        <v>26</v>
      </c>
      <c r="F1009" t="s">
        <v>9</v>
      </c>
      <c r="G1009">
        <v>3</v>
      </c>
      <c r="H1009">
        <v>675</v>
      </c>
      <c r="I1009" t="s">
        <v>19</v>
      </c>
      <c r="J1009" t="str">
        <f>_xlfn.XLOOKUP(branches[[#This Row],[Филиал]], tbl_Filialy[Филиал], tbl_Filialy[Менеджер])</f>
        <v>Алия Гайнутдинова</v>
      </c>
    </row>
    <row r="1010" spans="1:10" x14ac:dyDescent="0.3">
      <c r="A1010" t="str">
        <f>_xlfn.XLOOKUP(branches[[#This Row],[Филиал]], tbl_Filialy[Филиал], tbl_Filialy[Город])</f>
        <v>Казань</v>
      </c>
      <c r="B1010" s="1" t="s">
        <v>30</v>
      </c>
      <c r="C1010" s="2">
        <v>45812</v>
      </c>
      <c r="D1010" s="2" t="str">
        <f>CHOOSE(MONTH(branches[[#This Row],[Дата]]),"Январь","Февраль","Март","Апрель","Май","Июнь","Июль","Август","Сентябрь","Октябрь","Ноябрь","Декабрь")&amp;" "&amp;YEAR(branches[[#This Row],[Дата]])</f>
        <v>Июнь 2025</v>
      </c>
      <c r="E1010" t="s">
        <v>18</v>
      </c>
      <c r="F1010" t="s">
        <v>12</v>
      </c>
      <c r="G1010">
        <v>2</v>
      </c>
      <c r="H1010">
        <v>290</v>
      </c>
      <c r="I1010" t="s">
        <v>21</v>
      </c>
      <c r="J1010" t="str">
        <f>_xlfn.XLOOKUP(branches[[#This Row],[Филиал]], tbl_Filialy[Филиал], tbl_Filialy[Менеджер])</f>
        <v>Алия Гайнутдинова</v>
      </c>
    </row>
    <row r="1011" spans="1:10" x14ac:dyDescent="0.3">
      <c r="A1011" t="str">
        <f>_xlfn.XLOOKUP(branches[[#This Row],[Филиал]], tbl_Filialy[Филиал], tbl_Filialy[Город])</f>
        <v>Казань</v>
      </c>
      <c r="B1011" s="1" t="s">
        <v>30</v>
      </c>
      <c r="C1011" s="2">
        <v>45935</v>
      </c>
      <c r="D1011" s="2" t="str">
        <f>CHOOSE(MONTH(branches[[#This Row],[Дата]]),"Январь","Февраль","Март","Апрель","Май","Июнь","Июль","Август","Сентябрь","Октябрь","Ноябрь","Декабрь")&amp;" "&amp;YEAR(branches[[#This Row],[Дата]])</f>
        <v>Октябрь 2025</v>
      </c>
      <c r="E1011" t="s">
        <v>16</v>
      </c>
      <c r="F1011" t="s">
        <v>17</v>
      </c>
      <c r="G1011">
        <v>3</v>
      </c>
      <c r="H1011">
        <v>933</v>
      </c>
      <c r="I1011" t="s">
        <v>19</v>
      </c>
      <c r="J1011" t="str">
        <f>_xlfn.XLOOKUP(branches[[#This Row],[Филиал]], tbl_Filialy[Филиал], tbl_Filialy[Менеджер])</f>
        <v>Алия Гайнутдинова</v>
      </c>
    </row>
    <row r="1012" spans="1:10" x14ac:dyDescent="0.3">
      <c r="A1012" t="str">
        <f>_xlfn.XLOOKUP(branches[[#This Row],[Филиал]], tbl_Filialy[Филиал], tbl_Filialy[Город])</f>
        <v>Казань</v>
      </c>
      <c r="B1012" s="1" t="s">
        <v>30</v>
      </c>
      <c r="C1012" s="2">
        <v>45707</v>
      </c>
      <c r="D1012" s="2" t="str">
        <f>CHOOSE(MONTH(branches[[#This Row],[Дата]]),"Январь","Февраль","Март","Апрель","Май","Июнь","Июль","Август","Сентябрь","Октябрь","Ноябрь","Декабрь")&amp;" "&amp;YEAR(branches[[#This Row],[Дата]])</f>
        <v>Февраль 2025</v>
      </c>
      <c r="E1012" t="s">
        <v>22</v>
      </c>
      <c r="F1012" t="s">
        <v>9</v>
      </c>
      <c r="G1012">
        <v>2</v>
      </c>
      <c r="H1012">
        <v>380</v>
      </c>
      <c r="I1012" t="s">
        <v>13</v>
      </c>
      <c r="J1012" t="str">
        <f>_xlfn.XLOOKUP(branches[[#This Row],[Филиал]], tbl_Filialy[Филиал], tbl_Filialy[Менеджер])</f>
        <v>Алия Гайнутдинова</v>
      </c>
    </row>
    <row r="1013" spans="1:10" x14ac:dyDescent="0.3">
      <c r="A1013" t="str">
        <f>_xlfn.XLOOKUP(branches[[#This Row],[Филиал]], tbl_Filialy[Филиал], tbl_Filialy[Город])</f>
        <v>Казань</v>
      </c>
      <c r="B1013" s="1" t="s">
        <v>30</v>
      </c>
      <c r="C1013" s="2">
        <v>45943</v>
      </c>
      <c r="D1013" s="2" t="str">
        <f>CHOOSE(MONTH(branches[[#This Row],[Дата]]),"Январь","Февраль","Март","Апрель","Май","Июнь","Июль","Август","Сентябрь","Октябрь","Ноябрь","Декабрь")&amp;" "&amp;YEAR(branches[[#This Row],[Дата]])</f>
        <v>Октябрь 2025</v>
      </c>
      <c r="E1013" t="s">
        <v>24</v>
      </c>
      <c r="F1013" t="s">
        <v>17</v>
      </c>
      <c r="G1013">
        <v>1</v>
      </c>
      <c r="H1013">
        <v>418</v>
      </c>
      <c r="I1013" t="s">
        <v>21</v>
      </c>
      <c r="J1013" t="str">
        <f>_xlfn.XLOOKUP(branches[[#This Row],[Филиал]], tbl_Filialy[Филиал], tbl_Filialy[Менеджер])</f>
        <v>Алия Гайнутдинова</v>
      </c>
    </row>
    <row r="1014" spans="1:10" x14ac:dyDescent="0.3">
      <c r="A1014" t="str">
        <f>_xlfn.XLOOKUP(branches[[#This Row],[Филиал]], tbl_Filialy[Филиал], tbl_Filialy[Город])</f>
        <v>Казань</v>
      </c>
      <c r="B1014" s="1" t="s">
        <v>30</v>
      </c>
      <c r="C1014" s="2">
        <v>45724</v>
      </c>
      <c r="D1014" s="2" t="str">
        <f>CHOOSE(MONTH(branches[[#This Row],[Дата]]),"Январь","Февраль","Март","Апрель","Май","Июнь","Июль","Август","Сентябрь","Октябрь","Ноябрь","Декабрь")&amp;" "&amp;YEAR(branches[[#This Row],[Дата]])</f>
        <v>Март 2025</v>
      </c>
      <c r="E1014" t="s">
        <v>8</v>
      </c>
      <c r="F1014" t="s">
        <v>9</v>
      </c>
      <c r="G1014">
        <v>1</v>
      </c>
      <c r="H1014">
        <v>224</v>
      </c>
      <c r="I1014" t="s">
        <v>13</v>
      </c>
      <c r="J1014" t="str">
        <f>_xlfn.XLOOKUP(branches[[#This Row],[Филиал]], tbl_Filialy[Филиал], tbl_Filialy[Менеджер])</f>
        <v>Алия Гайнутдинова</v>
      </c>
    </row>
    <row r="1015" spans="1:10" x14ac:dyDescent="0.3">
      <c r="A1015" t="str">
        <f>_xlfn.XLOOKUP(branches[[#This Row],[Филиал]], tbl_Filialy[Филиал], tbl_Filialy[Город])</f>
        <v>Казань</v>
      </c>
      <c r="B1015" s="1" t="s">
        <v>30</v>
      </c>
      <c r="C1015" s="2">
        <v>45951</v>
      </c>
      <c r="D1015" s="2" t="str">
        <f>CHOOSE(MONTH(branches[[#This Row],[Дата]]),"Январь","Февраль","Март","Апрель","Май","Июнь","Июль","Август","Сентябрь","Октябрь","Ноябрь","Декабрь")&amp;" "&amp;YEAR(branches[[#This Row],[Дата]])</f>
        <v>Октябрь 2025</v>
      </c>
      <c r="E1015" t="s">
        <v>20</v>
      </c>
      <c r="F1015" t="s">
        <v>12</v>
      </c>
      <c r="G1015">
        <v>1</v>
      </c>
      <c r="H1015">
        <v>258</v>
      </c>
      <c r="I1015" t="s">
        <v>13</v>
      </c>
      <c r="J1015" t="str">
        <f>_xlfn.XLOOKUP(branches[[#This Row],[Филиал]], tbl_Filialy[Филиал], tbl_Filialy[Менеджер])</f>
        <v>Алия Гайнутдинова</v>
      </c>
    </row>
    <row r="1016" spans="1:10" x14ac:dyDescent="0.3">
      <c r="A1016" t="str">
        <f>_xlfn.XLOOKUP(branches[[#This Row],[Филиал]], tbl_Filialy[Филиал], tbl_Filialy[Город])</f>
        <v>Казань</v>
      </c>
      <c r="B1016" s="1" t="s">
        <v>30</v>
      </c>
      <c r="C1016" s="2">
        <v>45884</v>
      </c>
      <c r="D1016" s="2" t="str">
        <f>CHOOSE(MONTH(branches[[#This Row],[Дата]]),"Январь","Февраль","Март","Апрель","Май","Июнь","Июль","Август","Сентябрь","Октябрь","Ноябрь","Декабрь")&amp;" "&amp;YEAR(branches[[#This Row],[Дата]])</f>
        <v>Август 2025</v>
      </c>
      <c r="E1016" t="s">
        <v>8</v>
      </c>
      <c r="F1016" t="s">
        <v>9</v>
      </c>
      <c r="G1016">
        <v>1</v>
      </c>
      <c r="H1016">
        <v>274</v>
      </c>
      <c r="I1016" t="s">
        <v>15</v>
      </c>
      <c r="J1016" t="str">
        <f>_xlfn.XLOOKUP(branches[[#This Row],[Филиал]], tbl_Filialy[Филиал], tbl_Filialy[Менеджер])</f>
        <v>Алия Гайнутдинова</v>
      </c>
    </row>
    <row r="1017" spans="1:10" x14ac:dyDescent="0.3">
      <c r="A1017" t="str">
        <f>_xlfn.XLOOKUP(branches[[#This Row],[Филиал]], tbl_Filialy[Филиал], tbl_Filialy[Город])</f>
        <v>Казань</v>
      </c>
      <c r="B1017" s="1" t="s">
        <v>30</v>
      </c>
      <c r="C1017" s="2">
        <v>45658</v>
      </c>
      <c r="D1017" s="2" t="str">
        <f>CHOOSE(MONTH(branches[[#This Row],[Дата]]),"Январь","Февраль","Март","Апрель","Май","Июнь","Июль","Август","Сентябрь","Октябрь","Ноябрь","Декабрь")&amp;" "&amp;YEAR(branches[[#This Row],[Дата]])</f>
        <v>Январь 2025</v>
      </c>
      <c r="E1017" t="s">
        <v>20</v>
      </c>
      <c r="F1017" t="s">
        <v>12</v>
      </c>
      <c r="G1017">
        <v>2</v>
      </c>
      <c r="H1017">
        <v>614</v>
      </c>
      <c r="I1017" t="s">
        <v>23</v>
      </c>
      <c r="J1017" t="str">
        <f>_xlfn.XLOOKUP(branches[[#This Row],[Филиал]], tbl_Filialy[Филиал], tbl_Filialy[Менеджер])</f>
        <v>Алия Гайнутдинова</v>
      </c>
    </row>
    <row r="1018" spans="1:10" x14ac:dyDescent="0.3">
      <c r="A1018" t="str">
        <f>_xlfn.XLOOKUP(branches[[#This Row],[Филиал]], tbl_Filialy[Филиал], tbl_Filialy[Город])</f>
        <v>Казань</v>
      </c>
      <c r="B1018" s="1" t="s">
        <v>30</v>
      </c>
      <c r="C1018" s="2">
        <v>45730</v>
      </c>
      <c r="D1018" s="2" t="str">
        <f>CHOOSE(MONTH(branches[[#This Row],[Дата]]),"Январь","Февраль","Март","Апрель","Май","Июнь","Июль","Август","Сентябрь","Октябрь","Ноябрь","Декабрь")&amp;" "&amp;YEAR(branches[[#This Row],[Дата]])</f>
        <v>Март 2025</v>
      </c>
      <c r="E1018" t="s">
        <v>14</v>
      </c>
      <c r="F1018" t="s">
        <v>12</v>
      </c>
      <c r="G1018">
        <v>1</v>
      </c>
      <c r="H1018">
        <v>278</v>
      </c>
      <c r="I1018" t="s">
        <v>21</v>
      </c>
      <c r="J1018" t="str">
        <f>_xlfn.XLOOKUP(branches[[#This Row],[Филиал]], tbl_Filialy[Филиал], tbl_Filialy[Менеджер])</f>
        <v>Алия Гайнутдинова</v>
      </c>
    </row>
    <row r="1019" spans="1:10" x14ac:dyDescent="0.3">
      <c r="A1019" t="str">
        <f>_xlfn.XLOOKUP(branches[[#This Row],[Филиал]], tbl_Filialy[Филиал], tbl_Filialy[Город])</f>
        <v>Казань</v>
      </c>
      <c r="B1019" s="1" t="s">
        <v>30</v>
      </c>
      <c r="C1019" s="2">
        <v>45756</v>
      </c>
      <c r="D1019" s="2" t="str">
        <f>CHOOSE(MONTH(branches[[#This Row],[Дата]]),"Январь","Февраль","Март","Апрель","Май","Июнь","Июль","Август","Сентябрь","Октябрь","Ноябрь","Декабрь")&amp;" "&amp;YEAR(branches[[#This Row],[Дата]])</f>
        <v>Апрель 2025</v>
      </c>
      <c r="E1019" t="s">
        <v>14</v>
      </c>
      <c r="F1019" t="s">
        <v>12</v>
      </c>
      <c r="G1019">
        <v>2</v>
      </c>
      <c r="H1019">
        <v>556</v>
      </c>
      <c r="I1019" t="s">
        <v>13</v>
      </c>
      <c r="J1019" t="str">
        <f>_xlfn.XLOOKUP(branches[[#This Row],[Филиал]], tbl_Filialy[Филиал], tbl_Filialy[Менеджер])</f>
        <v>Алия Гайнутдинова</v>
      </c>
    </row>
    <row r="1020" spans="1:10" x14ac:dyDescent="0.3">
      <c r="A1020" t="str">
        <f>_xlfn.XLOOKUP(branches[[#This Row],[Филиал]], tbl_Filialy[Филиал], tbl_Filialy[Город])</f>
        <v>Казань</v>
      </c>
      <c r="B1020" s="1" t="s">
        <v>30</v>
      </c>
      <c r="C1020" s="2">
        <v>45690</v>
      </c>
      <c r="D1020" s="2" t="str">
        <f>CHOOSE(MONTH(branches[[#This Row],[Дата]]),"Январь","Февраль","Март","Апрель","Май","Июнь","Июль","Август","Сентябрь","Октябрь","Ноябрь","Декабрь")&amp;" "&amp;YEAR(branches[[#This Row],[Дата]])</f>
        <v>Февраль 2025</v>
      </c>
      <c r="E1020" t="s">
        <v>18</v>
      </c>
      <c r="F1020" t="s">
        <v>12</v>
      </c>
      <c r="G1020">
        <v>2</v>
      </c>
      <c r="H1020">
        <v>284</v>
      </c>
      <c r="I1020" t="s">
        <v>13</v>
      </c>
      <c r="J1020" t="str">
        <f>_xlfn.XLOOKUP(branches[[#This Row],[Филиал]], tbl_Filialy[Филиал], tbl_Filialy[Менеджер])</f>
        <v>Алия Гайнутдинова</v>
      </c>
    </row>
    <row r="1021" spans="1:10" x14ac:dyDescent="0.3">
      <c r="A1021" t="str">
        <f>_xlfn.XLOOKUP(branches[[#This Row],[Филиал]], tbl_Filialy[Филиал], tbl_Filialy[Город])</f>
        <v>Казань</v>
      </c>
      <c r="B1021" s="1" t="s">
        <v>30</v>
      </c>
      <c r="C1021" s="2">
        <v>45936</v>
      </c>
      <c r="D1021" s="2" t="str">
        <f>CHOOSE(MONTH(branches[[#This Row],[Дата]]),"Январь","Февраль","Март","Апрель","Май","Июнь","Июль","Август","Сентябрь","Октябрь","Ноябрь","Декабрь")&amp;" "&amp;YEAR(branches[[#This Row],[Дата]])</f>
        <v>Октябрь 2025</v>
      </c>
      <c r="E1021" t="s">
        <v>25</v>
      </c>
      <c r="F1021" t="s">
        <v>12</v>
      </c>
      <c r="G1021">
        <v>1</v>
      </c>
      <c r="H1021">
        <v>202</v>
      </c>
      <c r="I1021" t="s">
        <v>21</v>
      </c>
      <c r="J1021" t="str">
        <f>_xlfn.XLOOKUP(branches[[#This Row],[Филиал]], tbl_Filialy[Филиал], tbl_Filialy[Менеджер])</f>
        <v>Алия Гайнутдинова</v>
      </c>
    </row>
    <row r="1022" spans="1:10" x14ac:dyDescent="0.3">
      <c r="A1022" t="str">
        <f>_xlfn.XLOOKUP(branches[[#This Row],[Филиал]], tbl_Filialy[Филиал], tbl_Filialy[Город])</f>
        <v>Казань</v>
      </c>
      <c r="B1022" s="1" t="s">
        <v>30</v>
      </c>
      <c r="C1022" s="2">
        <v>45749</v>
      </c>
      <c r="D1022" s="2" t="str">
        <f>CHOOSE(MONTH(branches[[#This Row],[Дата]]),"Январь","Февраль","Март","Апрель","Май","Июнь","Июль","Август","Сентябрь","Октябрь","Ноябрь","Декабрь")&amp;" "&amp;YEAR(branches[[#This Row],[Дата]])</f>
        <v>Апрель 2025</v>
      </c>
      <c r="E1022" t="s">
        <v>18</v>
      </c>
      <c r="F1022" t="s">
        <v>12</v>
      </c>
      <c r="G1022">
        <v>1</v>
      </c>
      <c r="H1022">
        <v>128</v>
      </c>
      <c r="I1022" t="s">
        <v>13</v>
      </c>
      <c r="J1022" t="str">
        <f>_xlfn.XLOOKUP(branches[[#This Row],[Филиал]], tbl_Filialy[Филиал], tbl_Filialy[Менеджер])</f>
        <v>Алия Гайнутдинова</v>
      </c>
    </row>
    <row r="1023" spans="1:10" x14ac:dyDescent="0.3">
      <c r="A1023" t="str">
        <f>_xlfn.XLOOKUP(branches[[#This Row],[Филиал]], tbl_Filialy[Филиал], tbl_Filialy[Город])</f>
        <v>Казань</v>
      </c>
      <c r="B1023" s="1" t="s">
        <v>30</v>
      </c>
      <c r="C1023" s="2">
        <v>45818</v>
      </c>
      <c r="D1023" s="2" t="str">
        <f>CHOOSE(MONTH(branches[[#This Row],[Дата]]),"Январь","Февраль","Март","Апрель","Май","Июнь","Июль","Август","Сентябрь","Октябрь","Ноябрь","Декабрь")&amp;" "&amp;YEAR(branches[[#This Row],[Дата]])</f>
        <v>Июнь 2025</v>
      </c>
      <c r="E1023" t="s">
        <v>22</v>
      </c>
      <c r="F1023" t="s">
        <v>9</v>
      </c>
      <c r="G1023">
        <v>2</v>
      </c>
      <c r="H1023">
        <v>336</v>
      </c>
      <c r="I1023" t="s">
        <v>13</v>
      </c>
      <c r="J1023" t="str">
        <f>_xlfn.XLOOKUP(branches[[#This Row],[Филиал]], tbl_Filialy[Филиал], tbl_Filialy[Менеджер])</f>
        <v>Алия Гайнутдинова</v>
      </c>
    </row>
    <row r="1024" spans="1:10" x14ac:dyDescent="0.3">
      <c r="A1024" t="str">
        <f>_xlfn.XLOOKUP(branches[[#This Row],[Филиал]], tbl_Filialy[Филиал], tbl_Filialy[Город])</f>
        <v>Казань</v>
      </c>
      <c r="B1024" s="1" t="s">
        <v>30</v>
      </c>
      <c r="C1024" s="2">
        <v>45931</v>
      </c>
      <c r="D1024" s="2" t="str">
        <f>CHOOSE(MONTH(branches[[#This Row],[Дата]]),"Январь","Февраль","Март","Апрель","Май","Июнь","Июль","Август","Сентябрь","Октябрь","Ноябрь","Декабрь")&amp;" "&amp;YEAR(branches[[#This Row],[Дата]])</f>
        <v>Октябрь 2025</v>
      </c>
      <c r="E1024" t="s">
        <v>8</v>
      </c>
      <c r="F1024" t="s">
        <v>9</v>
      </c>
      <c r="G1024">
        <v>3</v>
      </c>
      <c r="H1024">
        <v>729</v>
      </c>
      <c r="I1024" t="s">
        <v>15</v>
      </c>
      <c r="J1024" t="str">
        <f>_xlfn.XLOOKUP(branches[[#This Row],[Филиал]], tbl_Filialy[Филиал], tbl_Filialy[Менеджер])</f>
        <v>Алия Гайнутдинова</v>
      </c>
    </row>
    <row r="1025" spans="1:10" x14ac:dyDescent="0.3">
      <c r="A1025" t="str">
        <f>_xlfn.XLOOKUP(branches[[#This Row],[Филиал]], tbl_Filialy[Филиал], tbl_Filialy[Город])</f>
        <v>Казань</v>
      </c>
      <c r="B1025" s="1" t="s">
        <v>30</v>
      </c>
      <c r="C1025" s="2">
        <v>45690</v>
      </c>
      <c r="D1025" s="2" t="str">
        <f>CHOOSE(MONTH(branches[[#This Row],[Дата]]),"Январь","Февраль","Март","Апрель","Май","Июнь","Июль","Август","Сентябрь","Октябрь","Ноябрь","Декабрь")&amp;" "&amp;YEAR(branches[[#This Row],[Дата]])</f>
        <v>Февраль 2025</v>
      </c>
      <c r="E1025" t="s">
        <v>25</v>
      </c>
      <c r="F1025" t="s">
        <v>12</v>
      </c>
      <c r="G1025">
        <v>2</v>
      </c>
      <c r="H1025">
        <v>432</v>
      </c>
      <c r="I1025" t="s">
        <v>10</v>
      </c>
      <c r="J1025" t="str">
        <f>_xlfn.XLOOKUP(branches[[#This Row],[Филиал]], tbl_Filialy[Филиал], tbl_Filialy[Менеджер])</f>
        <v>Алия Гайнутдинова</v>
      </c>
    </row>
    <row r="1026" spans="1:10" x14ac:dyDescent="0.3">
      <c r="A1026" t="str">
        <f>_xlfn.XLOOKUP(branches[[#This Row],[Филиал]], tbl_Filialy[Филиал], tbl_Filialy[Город])</f>
        <v>Казань</v>
      </c>
      <c r="B1026" s="1" t="s">
        <v>30</v>
      </c>
      <c r="C1026" s="2">
        <v>45846</v>
      </c>
      <c r="D1026" s="2" t="str">
        <f>CHOOSE(MONTH(branches[[#This Row],[Дата]]),"Январь","Февраль","Март","Апрель","Май","Июнь","Июль","Август","Сентябрь","Октябрь","Ноябрь","Декабрь")&amp;" "&amp;YEAR(branches[[#This Row],[Дата]])</f>
        <v>Июль 2025</v>
      </c>
      <c r="E1026" t="s">
        <v>20</v>
      </c>
      <c r="F1026" t="s">
        <v>12</v>
      </c>
      <c r="G1026">
        <v>2</v>
      </c>
      <c r="H1026">
        <v>526</v>
      </c>
      <c r="I1026" t="s">
        <v>21</v>
      </c>
      <c r="J1026" t="str">
        <f>_xlfn.XLOOKUP(branches[[#This Row],[Филиал]], tbl_Filialy[Филиал], tbl_Filialy[Менеджер])</f>
        <v>Алия Гайнутдинова</v>
      </c>
    </row>
    <row r="1027" spans="1:10" x14ac:dyDescent="0.3">
      <c r="A1027" t="str">
        <f>_xlfn.XLOOKUP(branches[[#This Row],[Филиал]], tbl_Filialy[Филиал], tbl_Filialy[Город])</f>
        <v>Казань</v>
      </c>
      <c r="B1027" s="1" t="s">
        <v>30</v>
      </c>
      <c r="C1027" s="2">
        <v>45847</v>
      </c>
      <c r="D1027" s="2" t="str">
        <f>CHOOSE(MONTH(branches[[#This Row],[Дата]]),"Январь","Февраль","Март","Апрель","Май","Июнь","Июль","Август","Сентябрь","Октябрь","Ноябрь","Декабрь")&amp;" "&amp;YEAR(branches[[#This Row],[Дата]])</f>
        <v>Июль 2025</v>
      </c>
      <c r="E1027" t="s">
        <v>14</v>
      </c>
      <c r="F1027" t="s">
        <v>12</v>
      </c>
      <c r="G1027">
        <v>2</v>
      </c>
      <c r="H1027">
        <v>512</v>
      </c>
      <c r="I1027" t="s">
        <v>19</v>
      </c>
      <c r="J1027" t="str">
        <f>_xlfn.XLOOKUP(branches[[#This Row],[Филиал]], tbl_Filialy[Филиал], tbl_Filialy[Менеджер])</f>
        <v>Алия Гайнутдинова</v>
      </c>
    </row>
    <row r="1028" spans="1:10" x14ac:dyDescent="0.3">
      <c r="A1028" t="str">
        <f>_xlfn.XLOOKUP(branches[[#This Row],[Филиал]], tbl_Filialy[Филиал], tbl_Filialy[Город])</f>
        <v>Казань</v>
      </c>
      <c r="B1028" s="1" t="s">
        <v>30</v>
      </c>
      <c r="C1028" s="2">
        <v>45925</v>
      </c>
      <c r="D1028" s="2" t="str">
        <f>CHOOSE(MONTH(branches[[#This Row],[Дата]]),"Январь","Февраль","Март","Апрель","Май","Июнь","Июль","Август","Сентябрь","Октябрь","Ноябрь","Декабрь")&amp;" "&amp;YEAR(branches[[#This Row],[Дата]])</f>
        <v>Сентябрь 2025</v>
      </c>
      <c r="E1028" t="s">
        <v>14</v>
      </c>
      <c r="F1028" t="s">
        <v>12</v>
      </c>
      <c r="G1028">
        <v>2</v>
      </c>
      <c r="H1028">
        <v>470</v>
      </c>
      <c r="I1028" t="s">
        <v>19</v>
      </c>
      <c r="J1028" t="str">
        <f>_xlfn.XLOOKUP(branches[[#This Row],[Филиал]], tbl_Filialy[Филиал], tbl_Filialy[Менеджер])</f>
        <v>Алия Гайнутдинова</v>
      </c>
    </row>
    <row r="1029" spans="1:10" x14ac:dyDescent="0.3">
      <c r="A1029" t="str">
        <f>_xlfn.XLOOKUP(branches[[#This Row],[Филиал]], tbl_Filialy[Филиал], tbl_Filialy[Город])</f>
        <v>Казань</v>
      </c>
      <c r="B1029" s="1" t="s">
        <v>30</v>
      </c>
      <c r="C1029" s="2">
        <v>45660</v>
      </c>
      <c r="D1029" s="2" t="str">
        <f>CHOOSE(MONTH(branches[[#This Row],[Дата]]),"Январь","Февраль","Март","Апрель","Май","Июнь","Июль","Август","Сентябрь","Октябрь","Ноябрь","Декабрь")&amp;" "&amp;YEAR(branches[[#This Row],[Дата]])</f>
        <v>Январь 2025</v>
      </c>
      <c r="E1029" t="s">
        <v>22</v>
      </c>
      <c r="F1029" t="s">
        <v>9</v>
      </c>
      <c r="G1029">
        <v>2</v>
      </c>
      <c r="H1029">
        <v>336</v>
      </c>
      <c r="I1029" t="s">
        <v>13</v>
      </c>
      <c r="J1029" t="str">
        <f>_xlfn.XLOOKUP(branches[[#This Row],[Филиал]], tbl_Filialy[Филиал], tbl_Filialy[Менеджер])</f>
        <v>Алия Гайнутдинова</v>
      </c>
    </row>
    <row r="1030" spans="1:10" x14ac:dyDescent="0.3">
      <c r="A1030" t="str">
        <f>_xlfn.XLOOKUP(branches[[#This Row],[Филиал]], tbl_Filialy[Филиал], tbl_Filialy[Город])</f>
        <v>Казань</v>
      </c>
      <c r="B1030" s="1" t="s">
        <v>30</v>
      </c>
      <c r="C1030" s="2">
        <v>45962</v>
      </c>
      <c r="D1030" s="2" t="str">
        <f>CHOOSE(MONTH(branches[[#This Row],[Дата]]),"Январь","Февраль","Март","Апрель","Май","Июнь","Июль","Август","Сентябрь","Октябрь","Ноябрь","Декабрь")&amp;" "&amp;YEAR(branches[[#This Row],[Дата]])</f>
        <v>Ноябрь 2025</v>
      </c>
      <c r="E1030" t="s">
        <v>11</v>
      </c>
      <c r="F1030" t="s">
        <v>12</v>
      </c>
      <c r="G1030">
        <v>3</v>
      </c>
      <c r="H1030">
        <v>528</v>
      </c>
      <c r="I1030" t="s">
        <v>23</v>
      </c>
      <c r="J1030" t="str">
        <f>_xlfn.XLOOKUP(branches[[#This Row],[Филиал]], tbl_Filialy[Филиал], tbl_Filialy[Менеджер])</f>
        <v>Алия Гайнутдинова</v>
      </c>
    </row>
    <row r="1031" spans="1:10" x14ac:dyDescent="0.3">
      <c r="A1031" t="str">
        <f>_xlfn.XLOOKUP(branches[[#This Row],[Филиал]], tbl_Filialy[Филиал], tbl_Filialy[Город])</f>
        <v>Казань</v>
      </c>
      <c r="B1031" s="1" t="s">
        <v>30</v>
      </c>
      <c r="C1031" s="2">
        <v>45727</v>
      </c>
      <c r="D1031" s="2" t="str">
        <f>CHOOSE(MONTH(branches[[#This Row],[Дата]]),"Январь","Февраль","Март","Апрель","Май","Июнь","Июль","Август","Сентябрь","Октябрь","Ноябрь","Декабрь")&amp;" "&amp;YEAR(branches[[#This Row],[Дата]])</f>
        <v>Март 2025</v>
      </c>
      <c r="E1031" t="s">
        <v>27</v>
      </c>
      <c r="F1031" t="s">
        <v>12</v>
      </c>
      <c r="G1031">
        <v>2</v>
      </c>
      <c r="H1031">
        <v>382</v>
      </c>
      <c r="I1031" t="s">
        <v>23</v>
      </c>
      <c r="J1031" t="str">
        <f>_xlfn.XLOOKUP(branches[[#This Row],[Филиал]], tbl_Filialy[Филиал], tbl_Filialy[Менеджер])</f>
        <v>Алия Гайнутдинова</v>
      </c>
    </row>
    <row r="1032" spans="1:10" x14ac:dyDescent="0.3">
      <c r="A1032" t="str">
        <f>_xlfn.XLOOKUP(branches[[#This Row],[Филиал]], tbl_Filialy[Филиал], tbl_Filialy[Город])</f>
        <v>Казань</v>
      </c>
      <c r="B1032" s="1" t="s">
        <v>30</v>
      </c>
      <c r="C1032" s="2">
        <v>45872</v>
      </c>
      <c r="D1032" s="2" t="str">
        <f>CHOOSE(MONTH(branches[[#This Row],[Дата]]),"Январь","Февраль","Март","Апрель","Май","Июнь","Июль","Август","Сентябрь","Октябрь","Ноябрь","Декабрь")&amp;" "&amp;YEAR(branches[[#This Row],[Дата]])</f>
        <v>Август 2025</v>
      </c>
      <c r="E1032" t="s">
        <v>27</v>
      </c>
      <c r="F1032" t="s">
        <v>12</v>
      </c>
      <c r="G1032">
        <v>1</v>
      </c>
      <c r="H1032">
        <v>235</v>
      </c>
      <c r="I1032" t="s">
        <v>15</v>
      </c>
      <c r="J1032" t="str">
        <f>_xlfn.XLOOKUP(branches[[#This Row],[Филиал]], tbl_Filialy[Филиал], tbl_Filialy[Менеджер])</f>
        <v>Алия Гайнутдинова</v>
      </c>
    </row>
    <row r="1033" spans="1:10" x14ac:dyDescent="0.3">
      <c r="A1033" t="str">
        <f>_xlfn.XLOOKUP(branches[[#This Row],[Филиал]], tbl_Filialy[Филиал], tbl_Filialy[Город])</f>
        <v>Казань</v>
      </c>
      <c r="B1033" s="1" t="s">
        <v>30</v>
      </c>
      <c r="C1033" s="2">
        <v>45801</v>
      </c>
      <c r="D1033" s="2" t="str">
        <f>CHOOSE(MONTH(branches[[#This Row],[Дата]]),"Январь","Февраль","Март","Апрель","Май","Июнь","Июль","Август","Сентябрь","Октябрь","Ноябрь","Декабрь")&amp;" "&amp;YEAR(branches[[#This Row],[Дата]])</f>
        <v>Май 2025</v>
      </c>
      <c r="E1033" t="s">
        <v>22</v>
      </c>
      <c r="F1033" t="s">
        <v>9</v>
      </c>
      <c r="G1033">
        <v>1</v>
      </c>
      <c r="H1033">
        <v>198</v>
      </c>
      <c r="I1033" t="s">
        <v>10</v>
      </c>
      <c r="J1033" t="str">
        <f>_xlfn.XLOOKUP(branches[[#This Row],[Филиал]], tbl_Filialy[Филиал], tbl_Filialy[Менеджер])</f>
        <v>Алия Гайнутдинова</v>
      </c>
    </row>
    <row r="1034" spans="1:10" x14ac:dyDescent="0.3">
      <c r="A1034" t="str">
        <f>_xlfn.XLOOKUP(branches[[#This Row],[Филиал]], tbl_Filialy[Филиал], tbl_Filialy[Город])</f>
        <v>Казань</v>
      </c>
      <c r="B1034" s="1" t="s">
        <v>30</v>
      </c>
      <c r="C1034" s="2">
        <v>45750</v>
      </c>
      <c r="D1034" s="2" t="str">
        <f>CHOOSE(MONTH(branches[[#This Row],[Дата]]),"Январь","Февраль","Март","Апрель","Май","Июнь","Июль","Август","Сентябрь","Октябрь","Ноябрь","Декабрь")&amp;" "&amp;YEAR(branches[[#This Row],[Дата]])</f>
        <v>Апрель 2025</v>
      </c>
      <c r="E1034" t="s">
        <v>14</v>
      </c>
      <c r="F1034" t="s">
        <v>12</v>
      </c>
      <c r="G1034">
        <v>1</v>
      </c>
      <c r="H1034">
        <v>271</v>
      </c>
      <c r="I1034" t="s">
        <v>23</v>
      </c>
      <c r="J1034" t="str">
        <f>_xlfn.XLOOKUP(branches[[#This Row],[Филиал]], tbl_Filialy[Филиал], tbl_Filialy[Менеджер])</f>
        <v>Алия Гайнутдинова</v>
      </c>
    </row>
    <row r="1035" spans="1:10" x14ac:dyDescent="0.3">
      <c r="A1035" t="str">
        <f>_xlfn.XLOOKUP(branches[[#This Row],[Филиал]], tbl_Filialy[Филиал], tbl_Filialy[Город])</f>
        <v>Казань</v>
      </c>
      <c r="B1035" s="1" t="s">
        <v>30</v>
      </c>
      <c r="C1035" s="2">
        <v>45749</v>
      </c>
      <c r="D1035" s="2" t="str">
        <f>CHOOSE(MONTH(branches[[#This Row],[Дата]]),"Январь","Февраль","Март","Апрель","Май","Июнь","Июль","Август","Сентябрь","Октябрь","Ноябрь","Декабрь")&amp;" "&amp;YEAR(branches[[#This Row],[Дата]])</f>
        <v>Апрель 2025</v>
      </c>
      <c r="E1035" t="s">
        <v>11</v>
      </c>
      <c r="F1035" t="s">
        <v>12</v>
      </c>
      <c r="G1035">
        <v>1</v>
      </c>
      <c r="H1035">
        <v>152</v>
      </c>
      <c r="I1035" t="s">
        <v>10</v>
      </c>
      <c r="J1035" t="str">
        <f>_xlfn.XLOOKUP(branches[[#This Row],[Филиал]], tbl_Filialy[Филиал], tbl_Filialy[Менеджер])</f>
        <v>Алия Гайнутдинова</v>
      </c>
    </row>
    <row r="1036" spans="1:10" x14ac:dyDescent="0.3">
      <c r="A1036" t="str">
        <f>_xlfn.XLOOKUP(branches[[#This Row],[Филиал]], tbl_Filialy[Филиал], tbl_Filialy[Город])</f>
        <v>Казань</v>
      </c>
      <c r="B1036" s="1" t="s">
        <v>30</v>
      </c>
      <c r="C1036" s="2">
        <v>45911</v>
      </c>
      <c r="D1036" s="2" t="str">
        <f>CHOOSE(MONTH(branches[[#This Row],[Дата]]),"Январь","Февраль","Март","Апрель","Май","Июнь","Июль","Август","Сентябрь","Октябрь","Ноябрь","Декабрь")&amp;" "&amp;YEAR(branches[[#This Row],[Дата]])</f>
        <v>Сентябрь 2025</v>
      </c>
      <c r="E1036" t="s">
        <v>22</v>
      </c>
      <c r="F1036" t="s">
        <v>9</v>
      </c>
      <c r="G1036">
        <v>1</v>
      </c>
      <c r="H1036">
        <v>165</v>
      </c>
      <c r="I1036" t="s">
        <v>13</v>
      </c>
      <c r="J1036" t="str">
        <f>_xlfn.XLOOKUP(branches[[#This Row],[Филиал]], tbl_Filialy[Филиал], tbl_Filialy[Менеджер])</f>
        <v>Алия Гайнутдинова</v>
      </c>
    </row>
    <row r="1037" spans="1:10" x14ac:dyDescent="0.3">
      <c r="A1037" t="str">
        <f>_xlfn.XLOOKUP(branches[[#This Row],[Филиал]], tbl_Filialy[Филиал], tbl_Filialy[Город])</f>
        <v>Казань</v>
      </c>
      <c r="B1037" s="1" t="s">
        <v>30</v>
      </c>
      <c r="C1037" s="2">
        <v>45823</v>
      </c>
      <c r="D1037" s="2" t="str">
        <f>CHOOSE(MONTH(branches[[#This Row],[Дата]]),"Январь","Февраль","Март","Апрель","Май","Июнь","Июль","Август","Сентябрь","Октябрь","Ноябрь","Декабрь")&amp;" "&amp;YEAR(branches[[#This Row],[Дата]])</f>
        <v>Июнь 2025</v>
      </c>
      <c r="E1037" t="s">
        <v>20</v>
      </c>
      <c r="F1037" t="s">
        <v>12</v>
      </c>
      <c r="G1037">
        <v>2</v>
      </c>
      <c r="H1037">
        <v>602</v>
      </c>
      <c r="I1037" t="s">
        <v>23</v>
      </c>
      <c r="J1037" t="str">
        <f>_xlfn.XLOOKUP(branches[[#This Row],[Филиал]], tbl_Filialy[Филиал], tbl_Filialy[Менеджер])</f>
        <v>Алия Гайнутдинова</v>
      </c>
    </row>
    <row r="1038" spans="1:10" x14ac:dyDescent="0.3">
      <c r="A1038" t="str">
        <f>_xlfn.XLOOKUP(branches[[#This Row],[Филиал]], tbl_Filialy[Филиал], tbl_Filialy[Город])</f>
        <v>Казань</v>
      </c>
      <c r="B1038" s="1" t="s">
        <v>30</v>
      </c>
      <c r="C1038" s="2">
        <v>45692</v>
      </c>
      <c r="D1038" s="2" t="str">
        <f>CHOOSE(MONTH(branches[[#This Row],[Дата]]),"Январь","Февраль","Март","Апрель","Май","Июнь","Июль","Август","Сентябрь","Октябрь","Ноябрь","Декабрь")&amp;" "&amp;YEAR(branches[[#This Row],[Дата]])</f>
        <v>Февраль 2025</v>
      </c>
      <c r="E1038" t="s">
        <v>11</v>
      </c>
      <c r="F1038" t="s">
        <v>12</v>
      </c>
      <c r="G1038">
        <v>3</v>
      </c>
      <c r="H1038">
        <v>528</v>
      </c>
      <c r="I1038" t="s">
        <v>21</v>
      </c>
      <c r="J1038" t="str">
        <f>_xlfn.XLOOKUP(branches[[#This Row],[Филиал]], tbl_Filialy[Филиал], tbl_Filialy[Менеджер])</f>
        <v>Алия Гайнутдинова</v>
      </c>
    </row>
    <row r="1039" spans="1:10" x14ac:dyDescent="0.3">
      <c r="A1039" t="str">
        <f>_xlfn.XLOOKUP(branches[[#This Row],[Филиал]], tbl_Filialy[Филиал], tbl_Filialy[Город])</f>
        <v>Казань</v>
      </c>
      <c r="B1039" s="1" t="s">
        <v>30</v>
      </c>
      <c r="C1039" s="2">
        <v>45704</v>
      </c>
      <c r="D1039" s="2" t="str">
        <f>CHOOSE(MONTH(branches[[#This Row],[Дата]]),"Январь","Февраль","Март","Апрель","Май","Июнь","Июль","Август","Сентябрь","Октябрь","Ноябрь","Декабрь")&amp;" "&amp;YEAR(branches[[#This Row],[Дата]])</f>
        <v>Февраль 2025</v>
      </c>
      <c r="E1039" t="s">
        <v>11</v>
      </c>
      <c r="F1039" t="s">
        <v>12</v>
      </c>
      <c r="G1039">
        <v>2</v>
      </c>
      <c r="H1039">
        <v>298</v>
      </c>
      <c r="I1039" t="s">
        <v>21</v>
      </c>
      <c r="J1039" t="str">
        <f>_xlfn.XLOOKUP(branches[[#This Row],[Филиал]], tbl_Filialy[Филиал], tbl_Filialy[Менеджер])</f>
        <v>Алия Гайнутдинова</v>
      </c>
    </row>
    <row r="1040" spans="1:10" x14ac:dyDescent="0.3">
      <c r="A1040" t="str">
        <f>_xlfn.XLOOKUP(branches[[#This Row],[Филиал]], tbl_Filialy[Филиал], tbl_Filialy[Город])</f>
        <v>Казань</v>
      </c>
      <c r="B1040" s="1" t="s">
        <v>30</v>
      </c>
      <c r="C1040" s="2">
        <v>45957</v>
      </c>
      <c r="D1040" s="2" t="str">
        <f>CHOOSE(MONTH(branches[[#This Row],[Дата]]),"Январь","Февраль","Март","Апрель","Май","Июнь","Июль","Август","Сентябрь","Октябрь","Ноябрь","Декабрь")&amp;" "&amp;YEAR(branches[[#This Row],[Дата]])</f>
        <v>Октябрь 2025</v>
      </c>
      <c r="E1040" t="s">
        <v>18</v>
      </c>
      <c r="F1040" t="s">
        <v>12</v>
      </c>
      <c r="G1040">
        <v>1</v>
      </c>
      <c r="H1040">
        <v>156</v>
      </c>
      <c r="I1040" t="s">
        <v>15</v>
      </c>
      <c r="J1040" t="str">
        <f>_xlfn.XLOOKUP(branches[[#This Row],[Филиал]], tbl_Filialy[Филиал], tbl_Filialy[Менеджер])</f>
        <v>Алия Гайнутдинова</v>
      </c>
    </row>
    <row r="1041" spans="1:10" x14ac:dyDescent="0.3">
      <c r="A1041" t="str">
        <f>_xlfn.XLOOKUP(branches[[#This Row],[Филиал]], tbl_Filialy[Филиал], tbl_Filialy[Город])</f>
        <v>Казань</v>
      </c>
      <c r="B1041" s="1" t="s">
        <v>30</v>
      </c>
      <c r="C1041" s="2">
        <v>46018</v>
      </c>
      <c r="D1041" s="2" t="str">
        <f>CHOOSE(MONTH(branches[[#This Row],[Дата]]),"Январь","Февраль","Март","Апрель","Май","Июнь","Июль","Август","Сентябрь","Октябрь","Ноябрь","Декабрь")&amp;" "&amp;YEAR(branches[[#This Row],[Дата]])</f>
        <v>Декабрь 2025</v>
      </c>
      <c r="E1041" t="s">
        <v>8</v>
      </c>
      <c r="F1041" t="s">
        <v>9</v>
      </c>
      <c r="G1041">
        <v>1</v>
      </c>
      <c r="H1041">
        <v>277</v>
      </c>
      <c r="I1041" t="s">
        <v>13</v>
      </c>
      <c r="J1041" t="str">
        <f>_xlfn.XLOOKUP(branches[[#This Row],[Филиал]], tbl_Filialy[Филиал], tbl_Filialy[Менеджер])</f>
        <v>Алия Гайнутдинова</v>
      </c>
    </row>
    <row r="1042" spans="1:10" x14ac:dyDescent="0.3">
      <c r="A1042" t="str">
        <f>_xlfn.XLOOKUP(branches[[#This Row],[Филиал]], tbl_Filialy[Филиал], tbl_Filialy[Город])</f>
        <v>Казань</v>
      </c>
      <c r="B1042" s="1" t="s">
        <v>30</v>
      </c>
      <c r="C1042" s="2">
        <v>45987</v>
      </c>
      <c r="D1042" s="2" t="str">
        <f>CHOOSE(MONTH(branches[[#This Row],[Дата]]),"Январь","Февраль","Март","Апрель","Май","Июнь","Июль","Август","Сентябрь","Октябрь","Ноябрь","Декабрь")&amp;" "&amp;YEAR(branches[[#This Row],[Дата]])</f>
        <v>Ноябрь 2025</v>
      </c>
      <c r="E1042" t="s">
        <v>26</v>
      </c>
      <c r="F1042" t="s">
        <v>9</v>
      </c>
      <c r="G1042">
        <v>2</v>
      </c>
      <c r="H1042">
        <v>412</v>
      </c>
      <c r="I1042" t="s">
        <v>15</v>
      </c>
      <c r="J1042" t="str">
        <f>_xlfn.XLOOKUP(branches[[#This Row],[Филиал]], tbl_Filialy[Филиал], tbl_Filialy[Менеджер])</f>
        <v>Алия Гайнутдинова</v>
      </c>
    </row>
    <row r="1043" spans="1:10" x14ac:dyDescent="0.3">
      <c r="A1043" t="str">
        <f>_xlfn.XLOOKUP(branches[[#This Row],[Филиал]], tbl_Filialy[Филиал], tbl_Filialy[Город])</f>
        <v>Казань</v>
      </c>
      <c r="B1043" s="1" t="s">
        <v>30</v>
      </c>
      <c r="C1043" s="2">
        <v>45965</v>
      </c>
      <c r="D1043" s="2" t="str">
        <f>CHOOSE(MONTH(branches[[#This Row],[Дата]]),"Январь","Февраль","Март","Апрель","Май","Июнь","Июль","Август","Сентябрь","Октябрь","Ноябрь","Декабрь")&amp;" "&amp;YEAR(branches[[#This Row],[Дата]])</f>
        <v>Ноябрь 2025</v>
      </c>
      <c r="E1043" t="s">
        <v>24</v>
      </c>
      <c r="F1043" t="s">
        <v>17</v>
      </c>
      <c r="G1043">
        <v>2</v>
      </c>
      <c r="H1043">
        <v>798</v>
      </c>
      <c r="I1043" t="s">
        <v>13</v>
      </c>
      <c r="J1043" t="str">
        <f>_xlfn.XLOOKUP(branches[[#This Row],[Филиал]], tbl_Filialy[Филиал], tbl_Filialy[Менеджер])</f>
        <v>Алия Гайнутдинова</v>
      </c>
    </row>
    <row r="1044" spans="1:10" x14ac:dyDescent="0.3">
      <c r="A1044" t="str">
        <f>_xlfn.XLOOKUP(branches[[#This Row],[Филиал]], tbl_Filialy[Филиал], tbl_Filialy[Город])</f>
        <v>Казань</v>
      </c>
      <c r="B1044" s="1" t="s">
        <v>30</v>
      </c>
      <c r="C1044" s="2">
        <v>45694</v>
      </c>
      <c r="D1044" s="2" t="str">
        <f>CHOOSE(MONTH(branches[[#This Row],[Дата]]),"Январь","Февраль","Март","Апрель","Май","Июнь","Июль","Август","Сентябрь","Октябрь","Ноябрь","Декабрь")&amp;" "&amp;YEAR(branches[[#This Row],[Дата]])</f>
        <v>Февраль 2025</v>
      </c>
      <c r="E1044" t="s">
        <v>24</v>
      </c>
      <c r="F1044" t="s">
        <v>17</v>
      </c>
      <c r="G1044">
        <v>1</v>
      </c>
      <c r="H1044">
        <v>397</v>
      </c>
      <c r="I1044" t="s">
        <v>19</v>
      </c>
      <c r="J1044" t="str">
        <f>_xlfn.XLOOKUP(branches[[#This Row],[Филиал]], tbl_Filialy[Филиал], tbl_Filialy[Менеджер])</f>
        <v>Алия Гайнутдинова</v>
      </c>
    </row>
    <row r="1045" spans="1:10" x14ac:dyDescent="0.3">
      <c r="A1045" t="str">
        <f>_xlfn.XLOOKUP(branches[[#This Row],[Филиал]], tbl_Filialy[Филиал], tbl_Filialy[Город])</f>
        <v>Казань</v>
      </c>
      <c r="B1045" s="1" t="s">
        <v>30</v>
      </c>
      <c r="C1045" s="2">
        <v>45705</v>
      </c>
      <c r="D1045" s="2" t="str">
        <f>CHOOSE(MONTH(branches[[#This Row],[Дата]]),"Январь","Февраль","Март","Апрель","Май","Июнь","Июль","Август","Сентябрь","Октябрь","Ноябрь","Декабрь")&amp;" "&amp;YEAR(branches[[#This Row],[Дата]])</f>
        <v>Февраль 2025</v>
      </c>
      <c r="E1045" t="s">
        <v>22</v>
      </c>
      <c r="F1045" t="s">
        <v>9</v>
      </c>
      <c r="G1045">
        <v>2</v>
      </c>
      <c r="H1045">
        <v>330</v>
      </c>
      <c r="I1045" t="s">
        <v>19</v>
      </c>
      <c r="J1045" t="str">
        <f>_xlfn.XLOOKUP(branches[[#This Row],[Филиал]], tbl_Filialy[Филиал], tbl_Filialy[Менеджер])</f>
        <v>Алия Гайнутдинова</v>
      </c>
    </row>
    <row r="1046" spans="1:10" x14ac:dyDescent="0.3">
      <c r="A1046" t="str">
        <f>_xlfn.XLOOKUP(branches[[#This Row],[Филиал]], tbl_Filialy[Филиал], tbl_Filialy[Город])</f>
        <v>Казань</v>
      </c>
      <c r="B1046" s="1" t="s">
        <v>30</v>
      </c>
      <c r="C1046" s="2">
        <v>45712</v>
      </c>
      <c r="D1046" s="2" t="str">
        <f>CHOOSE(MONTH(branches[[#This Row],[Дата]]),"Январь","Февраль","Март","Апрель","Май","Июнь","Июль","Август","Сентябрь","Октябрь","Ноябрь","Декабрь")&amp;" "&amp;YEAR(branches[[#This Row],[Дата]])</f>
        <v>Февраль 2025</v>
      </c>
      <c r="E1046" t="s">
        <v>24</v>
      </c>
      <c r="F1046" t="s">
        <v>17</v>
      </c>
      <c r="G1046">
        <v>2</v>
      </c>
      <c r="H1046">
        <v>746</v>
      </c>
      <c r="I1046" t="s">
        <v>19</v>
      </c>
      <c r="J1046" t="str">
        <f>_xlfn.XLOOKUP(branches[[#This Row],[Филиал]], tbl_Filialy[Филиал], tbl_Filialy[Менеджер])</f>
        <v>Алия Гайнутдинова</v>
      </c>
    </row>
    <row r="1047" spans="1:10" x14ac:dyDescent="0.3">
      <c r="A1047" t="str">
        <f>_xlfn.XLOOKUP(branches[[#This Row],[Филиал]], tbl_Filialy[Филиал], tbl_Filialy[Город])</f>
        <v>Казань</v>
      </c>
      <c r="B1047" s="1" t="s">
        <v>30</v>
      </c>
      <c r="C1047" s="2">
        <v>45935</v>
      </c>
      <c r="D1047" s="2" t="str">
        <f>CHOOSE(MONTH(branches[[#This Row],[Дата]]),"Январь","Февраль","Март","Апрель","Май","Июнь","Июль","Август","Сентябрь","Октябрь","Ноябрь","Декабрь")&amp;" "&amp;YEAR(branches[[#This Row],[Дата]])</f>
        <v>Октябрь 2025</v>
      </c>
      <c r="E1047" t="s">
        <v>8</v>
      </c>
      <c r="F1047" t="s">
        <v>9</v>
      </c>
      <c r="G1047">
        <v>2</v>
      </c>
      <c r="H1047">
        <v>556</v>
      </c>
      <c r="I1047" t="s">
        <v>13</v>
      </c>
      <c r="J1047" t="str">
        <f>_xlfn.XLOOKUP(branches[[#This Row],[Филиал]], tbl_Filialy[Филиал], tbl_Filialy[Менеджер])</f>
        <v>Алия Гайнутдинова</v>
      </c>
    </row>
    <row r="1048" spans="1:10" x14ac:dyDescent="0.3">
      <c r="A1048" t="str">
        <f>_xlfn.XLOOKUP(branches[[#This Row],[Филиал]], tbl_Filialy[Филиал], tbl_Filialy[Город])</f>
        <v>Казань</v>
      </c>
      <c r="B1048" s="1" t="s">
        <v>30</v>
      </c>
      <c r="C1048" s="2">
        <v>45759</v>
      </c>
      <c r="D1048" s="2" t="str">
        <f>CHOOSE(MONTH(branches[[#This Row],[Дата]]),"Январь","Февраль","Март","Апрель","Май","Июнь","Июль","Август","Сентябрь","Октябрь","Ноябрь","Декабрь")&amp;" "&amp;YEAR(branches[[#This Row],[Дата]])</f>
        <v>Апрель 2025</v>
      </c>
      <c r="E1048" t="s">
        <v>14</v>
      </c>
      <c r="F1048" t="s">
        <v>12</v>
      </c>
      <c r="G1048">
        <v>1</v>
      </c>
      <c r="H1048">
        <v>234</v>
      </c>
      <c r="I1048" t="s">
        <v>10</v>
      </c>
      <c r="J1048" t="str">
        <f>_xlfn.XLOOKUP(branches[[#This Row],[Филиал]], tbl_Filialy[Филиал], tbl_Filialy[Менеджер])</f>
        <v>Алия Гайнутдинова</v>
      </c>
    </row>
    <row r="1049" spans="1:10" x14ac:dyDescent="0.3">
      <c r="A1049" t="str">
        <f>_xlfn.XLOOKUP(branches[[#This Row],[Филиал]], tbl_Filialy[Филиал], tbl_Filialy[Город])</f>
        <v>Казань</v>
      </c>
      <c r="B1049" s="1" t="s">
        <v>30</v>
      </c>
      <c r="C1049" s="2">
        <v>45912</v>
      </c>
      <c r="D1049" s="2" t="str">
        <f>CHOOSE(MONTH(branches[[#This Row],[Дата]]),"Январь","Февраль","Март","Апрель","Май","Июнь","Июль","Август","Сентябрь","Октябрь","Ноябрь","Декабрь")&amp;" "&amp;YEAR(branches[[#This Row],[Дата]])</f>
        <v>Сентябрь 2025</v>
      </c>
      <c r="E1049" t="s">
        <v>28</v>
      </c>
      <c r="F1049" t="s">
        <v>12</v>
      </c>
      <c r="G1049">
        <v>2</v>
      </c>
      <c r="H1049">
        <v>502</v>
      </c>
      <c r="I1049" t="s">
        <v>19</v>
      </c>
      <c r="J1049" t="str">
        <f>_xlfn.XLOOKUP(branches[[#This Row],[Филиал]], tbl_Filialy[Филиал], tbl_Filialy[Менеджер])</f>
        <v>Алия Гайнутдинова</v>
      </c>
    </row>
    <row r="1050" spans="1:10" x14ac:dyDescent="0.3">
      <c r="A1050" t="str">
        <f>_xlfn.XLOOKUP(branches[[#This Row],[Филиал]], tbl_Filialy[Филиал], tbl_Filialy[Город])</f>
        <v>Казань</v>
      </c>
      <c r="B1050" s="1" t="s">
        <v>30</v>
      </c>
      <c r="C1050" s="2">
        <v>45922</v>
      </c>
      <c r="D1050" s="2" t="str">
        <f>CHOOSE(MONTH(branches[[#This Row],[Дата]]),"Январь","Февраль","Март","Апрель","Май","Июнь","Июль","Август","Сентябрь","Октябрь","Ноябрь","Декабрь")&amp;" "&amp;YEAR(branches[[#This Row],[Дата]])</f>
        <v>Сентябрь 2025</v>
      </c>
      <c r="E1050" t="s">
        <v>25</v>
      </c>
      <c r="F1050" t="s">
        <v>12</v>
      </c>
      <c r="G1050">
        <v>3</v>
      </c>
      <c r="H1050">
        <v>642</v>
      </c>
      <c r="I1050" t="s">
        <v>19</v>
      </c>
      <c r="J1050" t="str">
        <f>_xlfn.XLOOKUP(branches[[#This Row],[Филиал]], tbl_Filialy[Филиал], tbl_Filialy[Менеджер])</f>
        <v>Алия Гайнутдинова</v>
      </c>
    </row>
    <row r="1051" spans="1:10" x14ac:dyDescent="0.3">
      <c r="A1051" t="str">
        <f>_xlfn.XLOOKUP(branches[[#This Row],[Филиал]], tbl_Filialy[Филиал], tbl_Filialy[Город])</f>
        <v>Казань</v>
      </c>
      <c r="B1051" s="1" t="s">
        <v>30</v>
      </c>
      <c r="C1051" s="2">
        <v>45809</v>
      </c>
      <c r="D1051" s="2" t="str">
        <f>CHOOSE(MONTH(branches[[#This Row],[Дата]]),"Январь","Февраль","Март","Апрель","Май","Июнь","Июль","Август","Сентябрь","Октябрь","Ноябрь","Декабрь")&amp;" "&amp;YEAR(branches[[#This Row],[Дата]])</f>
        <v>Июнь 2025</v>
      </c>
      <c r="E1051" t="s">
        <v>28</v>
      </c>
      <c r="F1051" t="s">
        <v>12</v>
      </c>
      <c r="G1051">
        <v>2</v>
      </c>
      <c r="H1051">
        <v>496</v>
      </c>
      <c r="I1051" t="s">
        <v>19</v>
      </c>
      <c r="J1051" t="str">
        <f>_xlfn.XLOOKUP(branches[[#This Row],[Филиал]], tbl_Filialy[Филиал], tbl_Filialy[Менеджер])</f>
        <v>Алия Гайнутдинова</v>
      </c>
    </row>
    <row r="1052" spans="1:10" x14ac:dyDescent="0.3">
      <c r="A1052" t="str">
        <f>_xlfn.XLOOKUP(branches[[#This Row],[Филиал]], tbl_Filialy[Филиал], tbl_Filialy[Город])</f>
        <v>Казань</v>
      </c>
      <c r="B1052" s="1" t="s">
        <v>30</v>
      </c>
      <c r="C1052" s="2">
        <v>45980</v>
      </c>
      <c r="D1052" s="2" t="str">
        <f>CHOOSE(MONTH(branches[[#This Row],[Дата]]),"Январь","Февраль","Март","Апрель","Май","Июнь","Июль","Август","Сентябрь","Октябрь","Ноябрь","Декабрь")&amp;" "&amp;YEAR(branches[[#This Row],[Дата]])</f>
        <v>Ноябрь 2025</v>
      </c>
      <c r="E1052" t="s">
        <v>28</v>
      </c>
      <c r="F1052" t="s">
        <v>12</v>
      </c>
      <c r="G1052">
        <v>1</v>
      </c>
      <c r="H1052">
        <v>223</v>
      </c>
      <c r="I1052" t="s">
        <v>10</v>
      </c>
      <c r="J1052" t="str">
        <f>_xlfn.XLOOKUP(branches[[#This Row],[Филиал]], tbl_Filialy[Филиал], tbl_Filialy[Менеджер])</f>
        <v>Алия Гайнутдинова</v>
      </c>
    </row>
    <row r="1053" spans="1:10" x14ac:dyDescent="0.3">
      <c r="A1053" t="str">
        <f>_xlfn.XLOOKUP(branches[[#This Row],[Филиал]], tbl_Filialy[Филиал], tbl_Filialy[Город])</f>
        <v>Казань</v>
      </c>
      <c r="B1053" s="1" t="s">
        <v>30</v>
      </c>
      <c r="C1053" s="2">
        <v>45858</v>
      </c>
      <c r="D1053" s="2" t="str">
        <f>CHOOSE(MONTH(branches[[#This Row],[Дата]]),"Январь","Февраль","Март","Апрель","Май","Июнь","Июль","Август","Сентябрь","Октябрь","Ноябрь","Декабрь")&amp;" "&amp;YEAR(branches[[#This Row],[Дата]])</f>
        <v>Июль 2025</v>
      </c>
      <c r="E1053" t="s">
        <v>22</v>
      </c>
      <c r="F1053" t="s">
        <v>9</v>
      </c>
      <c r="G1053">
        <v>1</v>
      </c>
      <c r="H1053">
        <v>175</v>
      </c>
      <c r="I1053" t="s">
        <v>23</v>
      </c>
      <c r="J1053" t="str">
        <f>_xlfn.XLOOKUP(branches[[#This Row],[Филиал]], tbl_Filialy[Филиал], tbl_Filialy[Менеджер])</f>
        <v>Алия Гайнутдинова</v>
      </c>
    </row>
    <row r="1054" spans="1:10" x14ac:dyDescent="0.3">
      <c r="A1054" t="str">
        <f>_xlfn.XLOOKUP(branches[[#This Row],[Филиал]], tbl_Filialy[Филиал], tbl_Filialy[Город])</f>
        <v>Казань</v>
      </c>
      <c r="B1054" s="1" t="s">
        <v>30</v>
      </c>
      <c r="C1054" s="2">
        <v>45785</v>
      </c>
      <c r="D1054" s="2" t="str">
        <f>CHOOSE(MONTH(branches[[#This Row],[Дата]]),"Январь","Февраль","Март","Апрель","Май","Июнь","Июль","Август","Сентябрь","Октябрь","Ноябрь","Декабрь")&amp;" "&amp;YEAR(branches[[#This Row],[Дата]])</f>
        <v>Май 2025</v>
      </c>
      <c r="E1054" t="s">
        <v>8</v>
      </c>
      <c r="F1054" t="s">
        <v>9</v>
      </c>
      <c r="G1054">
        <v>3</v>
      </c>
      <c r="H1054">
        <v>747</v>
      </c>
      <c r="I1054" t="s">
        <v>23</v>
      </c>
      <c r="J1054" t="str">
        <f>_xlfn.XLOOKUP(branches[[#This Row],[Филиал]], tbl_Filialy[Филиал], tbl_Filialy[Менеджер])</f>
        <v>Алия Гайнутдинова</v>
      </c>
    </row>
    <row r="1055" spans="1:10" x14ac:dyDescent="0.3">
      <c r="A1055" t="str">
        <f>_xlfn.XLOOKUP(branches[[#This Row],[Филиал]], tbl_Filialy[Филиал], tbl_Filialy[Город])</f>
        <v>Казань</v>
      </c>
      <c r="B1055" s="1" t="s">
        <v>30</v>
      </c>
      <c r="C1055" s="2">
        <v>45889</v>
      </c>
      <c r="D1055" s="2" t="str">
        <f>CHOOSE(MONTH(branches[[#This Row],[Дата]]),"Январь","Февраль","Март","Апрель","Май","Июнь","Июль","Август","Сентябрь","Октябрь","Ноябрь","Декабрь")&amp;" "&amp;YEAR(branches[[#This Row],[Дата]])</f>
        <v>Август 2025</v>
      </c>
      <c r="E1055" t="s">
        <v>14</v>
      </c>
      <c r="F1055" t="s">
        <v>12</v>
      </c>
      <c r="G1055">
        <v>1</v>
      </c>
      <c r="H1055">
        <v>245</v>
      </c>
      <c r="I1055" t="s">
        <v>15</v>
      </c>
      <c r="J1055" t="str">
        <f>_xlfn.XLOOKUP(branches[[#This Row],[Филиал]], tbl_Filialy[Филиал], tbl_Filialy[Менеджер])</f>
        <v>Алия Гайнутдинова</v>
      </c>
    </row>
    <row r="1056" spans="1:10" x14ac:dyDescent="0.3">
      <c r="A1056" t="str">
        <f>_xlfn.XLOOKUP(branches[[#This Row],[Филиал]], tbl_Filialy[Филиал], tbl_Filialy[Город])</f>
        <v>Казань</v>
      </c>
      <c r="B1056" s="1" t="s">
        <v>30</v>
      </c>
      <c r="C1056" s="2">
        <v>45732</v>
      </c>
      <c r="D1056" s="2" t="str">
        <f>CHOOSE(MONTH(branches[[#This Row],[Дата]]),"Январь","Февраль","Март","Апрель","Май","Июнь","Июль","Август","Сентябрь","Октябрь","Ноябрь","Декабрь")&amp;" "&amp;YEAR(branches[[#This Row],[Дата]])</f>
        <v>Март 2025</v>
      </c>
      <c r="E1056" t="s">
        <v>24</v>
      </c>
      <c r="F1056" t="s">
        <v>17</v>
      </c>
      <c r="G1056">
        <v>2</v>
      </c>
      <c r="H1056">
        <v>730</v>
      </c>
      <c r="I1056" t="s">
        <v>15</v>
      </c>
      <c r="J1056" t="str">
        <f>_xlfn.XLOOKUP(branches[[#This Row],[Филиал]], tbl_Filialy[Филиал], tbl_Filialy[Менеджер])</f>
        <v>Алия Гайнутдинова</v>
      </c>
    </row>
    <row r="1057" spans="1:10" x14ac:dyDescent="0.3">
      <c r="A1057" t="str">
        <f>_xlfn.XLOOKUP(branches[[#This Row],[Филиал]], tbl_Filialy[Филиал], tbl_Filialy[Город])</f>
        <v>Казань</v>
      </c>
      <c r="B1057" s="1" t="s">
        <v>30</v>
      </c>
      <c r="C1057" s="2">
        <v>45914</v>
      </c>
      <c r="D1057" s="2" t="str">
        <f>CHOOSE(MONTH(branches[[#This Row],[Дата]]),"Январь","Февраль","Март","Апрель","Май","Июнь","Июль","Август","Сентябрь","Октябрь","Ноябрь","Декабрь")&amp;" "&amp;YEAR(branches[[#This Row],[Дата]])</f>
        <v>Сентябрь 2025</v>
      </c>
      <c r="E1057" t="s">
        <v>8</v>
      </c>
      <c r="F1057" t="s">
        <v>9</v>
      </c>
      <c r="G1057">
        <v>1</v>
      </c>
      <c r="H1057">
        <v>252</v>
      </c>
      <c r="I1057" t="s">
        <v>15</v>
      </c>
      <c r="J1057" t="str">
        <f>_xlfn.XLOOKUP(branches[[#This Row],[Филиал]], tbl_Filialy[Филиал], tbl_Filialy[Менеджер])</f>
        <v>Алия Гайнутдинова</v>
      </c>
    </row>
    <row r="1058" spans="1:10" x14ac:dyDescent="0.3">
      <c r="A1058" t="str">
        <f>_xlfn.XLOOKUP(branches[[#This Row],[Филиал]], tbl_Filialy[Филиал], tbl_Filialy[Город])</f>
        <v>Казань</v>
      </c>
      <c r="B1058" s="1" t="s">
        <v>30</v>
      </c>
      <c r="C1058" s="2">
        <v>45723</v>
      </c>
      <c r="D1058" s="2" t="str">
        <f>CHOOSE(MONTH(branches[[#This Row],[Дата]]),"Январь","Февраль","Март","Апрель","Май","Июнь","Июль","Август","Сентябрь","Октябрь","Ноябрь","Декабрь")&amp;" "&amp;YEAR(branches[[#This Row],[Дата]])</f>
        <v>Март 2025</v>
      </c>
      <c r="E1058" t="s">
        <v>16</v>
      </c>
      <c r="F1058" t="s">
        <v>17</v>
      </c>
      <c r="G1058">
        <v>1</v>
      </c>
      <c r="H1058">
        <v>316</v>
      </c>
      <c r="I1058" t="s">
        <v>15</v>
      </c>
      <c r="J1058" t="str">
        <f>_xlfn.XLOOKUP(branches[[#This Row],[Филиал]], tbl_Filialy[Филиал], tbl_Filialy[Менеджер])</f>
        <v>Алия Гайнутдинова</v>
      </c>
    </row>
    <row r="1059" spans="1:10" x14ac:dyDescent="0.3">
      <c r="A1059" t="str">
        <f>_xlfn.XLOOKUP(branches[[#This Row],[Филиал]], tbl_Filialy[Филиал], tbl_Filialy[Город])</f>
        <v>Казань</v>
      </c>
      <c r="B1059" s="1" t="s">
        <v>30</v>
      </c>
      <c r="C1059" s="2">
        <v>45676</v>
      </c>
      <c r="D1059" s="2" t="str">
        <f>CHOOSE(MONTH(branches[[#This Row],[Дата]]),"Январь","Февраль","Март","Апрель","Май","Июнь","Июль","Август","Сентябрь","Октябрь","Ноябрь","Декабрь")&amp;" "&amp;YEAR(branches[[#This Row],[Дата]])</f>
        <v>Январь 2025</v>
      </c>
      <c r="E1059" t="s">
        <v>11</v>
      </c>
      <c r="F1059" t="s">
        <v>12</v>
      </c>
      <c r="G1059">
        <v>3</v>
      </c>
      <c r="H1059">
        <v>549</v>
      </c>
      <c r="I1059" t="s">
        <v>13</v>
      </c>
      <c r="J1059" t="str">
        <f>_xlfn.XLOOKUP(branches[[#This Row],[Филиал]], tbl_Filialy[Филиал], tbl_Filialy[Менеджер])</f>
        <v>Алия Гайнутдинова</v>
      </c>
    </row>
    <row r="1060" spans="1:10" x14ac:dyDescent="0.3">
      <c r="A1060" t="str">
        <f>_xlfn.XLOOKUP(branches[[#This Row],[Филиал]], tbl_Filialy[Филиал], tbl_Filialy[Город])</f>
        <v>Казань</v>
      </c>
      <c r="B1060" s="1" t="s">
        <v>30</v>
      </c>
      <c r="C1060" s="2">
        <v>45705</v>
      </c>
      <c r="D1060" s="2" t="str">
        <f>CHOOSE(MONTH(branches[[#This Row],[Дата]]),"Январь","Февраль","Март","Апрель","Май","Июнь","Июль","Август","Сентябрь","Октябрь","Ноябрь","Декабрь")&amp;" "&amp;YEAR(branches[[#This Row],[Дата]])</f>
        <v>Февраль 2025</v>
      </c>
      <c r="E1060" t="s">
        <v>25</v>
      </c>
      <c r="F1060" t="s">
        <v>12</v>
      </c>
      <c r="G1060">
        <v>2</v>
      </c>
      <c r="H1060">
        <v>390</v>
      </c>
      <c r="I1060" t="s">
        <v>13</v>
      </c>
      <c r="J1060" t="str">
        <f>_xlfn.XLOOKUP(branches[[#This Row],[Филиал]], tbl_Filialy[Филиал], tbl_Filialy[Менеджер])</f>
        <v>Алия Гайнутдинова</v>
      </c>
    </row>
    <row r="1061" spans="1:10" x14ac:dyDescent="0.3">
      <c r="A1061" t="str">
        <f>_xlfn.XLOOKUP(branches[[#This Row],[Филиал]], tbl_Filialy[Филиал], tbl_Filialy[Город])</f>
        <v>Казань</v>
      </c>
      <c r="B1061" s="1" t="s">
        <v>30</v>
      </c>
      <c r="C1061" s="2">
        <v>46017</v>
      </c>
      <c r="D1061" s="2" t="str">
        <f>CHOOSE(MONTH(branches[[#This Row],[Дата]]),"Январь","Февраль","Март","Апрель","Май","Июнь","Июль","Август","Сентябрь","Октябрь","Ноябрь","Декабрь")&amp;" "&amp;YEAR(branches[[#This Row],[Дата]])</f>
        <v>Декабрь 2025</v>
      </c>
      <c r="E1061" t="s">
        <v>27</v>
      </c>
      <c r="F1061" t="s">
        <v>12</v>
      </c>
      <c r="G1061">
        <v>1</v>
      </c>
      <c r="H1061">
        <v>213</v>
      </c>
      <c r="I1061" t="s">
        <v>21</v>
      </c>
      <c r="J1061" t="str">
        <f>_xlfn.XLOOKUP(branches[[#This Row],[Филиал]], tbl_Filialy[Филиал], tbl_Filialy[Менеджер])</f>
        <v>Алия Гайнутдинова</v>
      </c>
    </row>
    <row r="1062" spans="1:10" x14ac:dyDescent="0.3">
      <c r="A1062" t="str">
        <f>_xlfn.XLOOKUP(branches[[#This Row],[Филиал]], tbl_Filialy[Филиал], tbl_Filialy[Город])</f>
        <v>Казань</v>
      </c>
      <c r="B1062" s="1" t="s">
        <v>30</v>
      </c>
      <c r="C1062" s="2">
        <v>45753</v>
      </c>
      <c r="D1062" s="2" t="str">
        <f>CHOOSE(MONTH(branches[[#This Row],[Дата]]),"Январь","Февраль","Март","Апрель","Май","Июнь","Июль","Август","Сентябрь","Октябрь","Ноябрь","Декабрь")&amp;" "&amp;YEAR(branches[[#This Row],[Дата]])</f>
        <v>Апрель 2025</v>
      </c>
      <c r="E1062" t="s">
        <v>14</v>
      </c>
      <c r="F1062" t="s">
        <v>12</v>
      </c>
      <c r="G1062">
        <v>1</v>
      </c>
      <c r="H1062">
        <v>236</v>
      </c>
      <c r="I1062" t="s">
        <v>10</v>
      </c>
      <c r="J1062" t="str">
        <f>_xlfn.XLOOKUP(branches[[#This Row],[Филиал]], tbl_Filialy[Филиал], tbl_Filialy[Менеджер])</f>
        <v>Алия Гайнутдинова</v>
      </c>
    </row>
    <row r="1063" spans="1:10" x14ac:dyDescent="0.3">
      <c r="A1063" t="str">
        <f>_xlfn.XLOOKUP(branches[[#This Row],[Филиал]], tbl_Filialy[Филиал], tbl_Filialy[Город])</f>
        <v>Казань</v>
      </c>
      <c r="B1063" s="1" t="s">
        <v>30</v>
      </c>
      <c r="C1063" s="2">
        <v>45668</v>
      </c>
      <c r="D1063" s="2" t="str">
        <f>CHOOSE(MONTH(branches[[#This Row],[Дата]]),"Январь","Февраль","Март","Апрель","Май","Июнь","Июль","Август","Сентябрь","Октябрь","Ноябрь","Декабрь")&amp;" "&amp;YEAR(branches[[#This Row],[Дата]])</f>
        <v>Январь 2025</v>
      </c>
      <c r="E1063" t="s">
        <v>26</v>
      </c>
      <c r="F1063" t="s">
        <v>9</v>
      </c>
      <c r="G1063">
        <v>1</v>
      </c>
      <c r="H1063">
        <v>204</v>
      </c>
      <c r="I1063" t="s">
        <v>21</v>
      </c>
      <c r="J1063" t="str">
        <f>_xlfn.XLOOKUP(branches[[#This Row],[Филиал]], tbl_Filialy[Филиал], tbl_Filialy[Менеджер])</f>
        <v>Алия Гайнутдинова</v>
      </c>
    </row>
    <row r="1064" spans="1:10" x14ac:dyDescent="0.3">
      <c r="A1064" t="str">
        <f>_xlfn.XLOOKUP(branches[[#This Row],[Филиал]], tbl_Filialy[Филиал], tbl_Filialy[Город])</f>
        <v>Казань</v>
      </c>
      <c r="B1064" s="1" t="s">
        <v>30</v>
      </c>
      <c r="C1064" s="2">
        <v>45779</v>
      </c>
      <c r="D1064" s="2" t="str">
        <f>CHOOSE(MONTH(branches[[#This Row],[Дата]]),"Январь","Февраль","Март","Апрель","Май","Июнь","Июль","Август","Сентябрь","Октябрь","Ноябрь","Декабрь")&amp;" "&amp;YEAR(branches[[#This Row],[Дата]])</f>
        <v>Май 2025</v>
      </c>
      <c r="E1064" t="s">
        <v>20</v>
      </c>
      <c r="F1064" t="s">
        <v>12</v>
      </c>
      <c r="G1064">
        <v>1</v>
      </c>
      <c r="H1064">
        <v>286</v>
      </c>
      <c r="I1064" t="s">
        <v>19</v>
      </c>
      <c r="J1064" t="str">
        <f>_xlfn.XLOOKUP(branches[[#This Row],[Филиал]], tbl_Filialy[Филиал], tbl_Filialy[Менеджер])</f>
        <v>Алия Гайнутдинова</v>
      </c>
    </row>
    <row r="1065" spans="1:10" x14ac:dyDescent="0.3">
      <c r="A1065" t="str">
        <f>_xlfn.XLOOKUP(branches[[#This Row],[Филиал]], tbl_Filialy[Филиал], tbl_Filialy[Город])</f>
        <v>Казань</v>
      </c>
      <c r="B1065" s="1" t="s">
        <v>30</v>
      </c>
      <c r="C1065" s="2">
        <v>45765</v>
      </c>
      <c r="D1065" s="2" t="str">
        <f>CHOOSE(MONTH(branches[[#This Row],[Дата]]),"Январь","Февраль","Март","Апрель","Май","Июнь","Июль","Август","Сентябрь","Октябрь","Ноябрь","Декабрь")&amp;" "&amp;YEAR(branches[[#This Row],[Дата]])</f>
        <v>Апрель 2025</v>
      </c>
      <c r="E1065" t="s">
        <v>14</v>
      </c>
      <c r="F1065" t="s">
        <v>12</v>
      </c>
      <c r="G1065">
        <v>2</v>
      </c>
      <c r="H1065">
        <v>546</v>
      </c>
      <c r="I1065" t="s">
        <v>21</v>
      </c>
      <c r="J1065" t="str">
        <f>_xlfn.XLOOKUP(branches[[#This Row],[Филиал]], tbl_Filialy[Филиал], tbl_Filialy[Менеджер])</f>
        <v>Алия Гайнутдинова</v>
      </c>
    </row>
    <row r="1066" spans="1:10" x14ac:dyDescent="0.3">
      <c r="A1066" t="str">
        <f>_xlfn.XLOOKUP(branches[[#This Row],[Филиал]], tbl_Filialy[Филиал], tbl_Filialy[Город])</f>
        <v>Казань</v>
      </c>
      <c r="B1066" s="1" t="s">
        <v>30</v>
      </c>
      <c r="C1066" s="2">
        <v>45824</v>
      </c>
      <c r="D1066" s="2" t="str">
        <f>CHOOSE(MONTH(branches[[#This Row],[Дата]]),"Январь","Февраль","Март","Апрель","Май","Июнь","Июль","Август","Сентябрь","Октябрь","Ноябрь","Декабрь")&amp;" "&amp;YEAR(branches[[#This Row],[Дата]])</f>
        <v>Июнь 2025</v>
      </c>
      <c r="E1066" t="s">
        <v>28</v>
      </c>
      <c r="F1066" t="s">
        <v>12</v>
      </c>
      <c r="G1066">
        <v>2</v>
      </c>
      <c r="H1066">
        <v>416</v>
      </c>
      <c r="I1066" t="s">
        <v>10</v>
      </c>
      <c r="J1066" t="str">
        <f>_xlfn.XLOOKUP(branches[[#This Row],[Филиал]], tbl_Filialy[Филиал], tbl_Filialy[Менеджер])</f>
        <v>Алия Гайнутдинова</v>
      </c>
    </row>
    <row r="1067" spans="1:10" x14ac:dyDescent="0.3">
      <c r="A1067" t="str">
        <f>_xlfn.XLOOKUP(branches[[#This Row],[Филиал]], tbl_Filialy[Филиал], tbl_Filialy[Город])</f>
        <v>Казань</v>
      </c>
      <c r="B1067" s="1" t="s">
        <v>30</v>
      </c>
      <c r="C1067" s="2">
        <v>45872</v>
      </c>
      <c r="D1067" s="2" t="str">
        <f>CHOOSE(MONTH(branches[[#This Row],[Дата]]),"Январь","Февраль","Март","Апрель","Май","Июнь","Июль","Август","Сентябрь","Октябрь","Ноябрь","Декабрь")&amp;" "&amp;YEAR(branches[[#This Row],[Дата]])</f>
        <v>Август 2025</v>
      </c>
      <c r="E1067" t="s">
        <v>20</v>
      </c>
      <c r="F1067" t="s">
        <v>12</v>
      </c>
      <c r="G1067">
        <v>2</v>
      </c>
      <c r="H1067">
        <v>606</v>
      </c>
      <c r="I1067" t="s">
        <v>23</v>
      </c>
      <c r="J1067" t="str">
        <f>_xlfn.XLOOKUP(branches[[#This Row],[Филиал]], tbl_Filialy[Филиал], tbl_Filialy[Менеджер])</f>
        <v>Алия Гайнутдинова</v>
      </c>
    </row>
    <row r="1068" spans="1:10" x14ac:dyDescent="0.3">
      <c r="A1068" t="str">
        <f>_xlfn.XLOOKUP(branches[[#This Row],[Филиал]], tbl_Filialy[Филиал], tbl_Filialy[Город])</f>
        <v>Казань</v>
      </c>
      <c r="B1068" s="1" t="s">
        <v>30</v>
      </c>
      <c r="C1068" s="2">
        <v>45993</v>
      </c>
      <c r="D1068" s="2" t="str">
        <f>CHOOSE(MONTH(branches[[#This Row],[Дата]]),"Январь","Февраль","Март","Апрель","Май","Июнь","Июль","Август","Сентябрь","Октябрь","Ноябрь","Декабрь")&amp;" "&amp;YEAR(branches[[#This Row],[Дата]])</f>
        <v>Декабрь 2025</v>
      </c>
      <c r="E1068" t="s">
        <v>26</v>
      </c>
      <c r="F1068" t="s">
        <v>9</v>
      </c>
      <c r="G1068">
        <v>1</v>
      </c>
      <c r="H1068">
        <v>190</v>
      </c>
      <c r="I1068" t="s">
        <v>23</v>
      </c>
      <c r="J1068" t="str">
        <f>_xlfn.XLOOKUP(branches[[#This Row],[Филиал]], tbl_Filialy[Филиал], tbl_Filialy[Менеджер])</f>
        <v>Алия Гайнутдинова</v>
      </c>
    </row>
    <row r="1069" spans="1:10" x14ac:dyDescent="0.3">
      <c r="A1069" t="str">
        <f>_xlfn.XLOOKUP(branches[[#This Row],[Филиал]], tbl_Filialy[Филиал], tbl_Filialy[Город])</f>
        <v>Казань</v>
      </c>
      <c r="B1069" s="1" t="s">
        <v>30</v>
      </c>
      <c r="C1069" s="2">
        <v>45834</v>
      </c>
      <c r="D1069" s="2" t="str">
        <f>CHOOSE(MONTH(branches[[#This Row],[Дата]]),"Январь","Февраль","Март","Апрель","Май","Июнь","Июль","Август","Сентябрь","Октябрь","Ноябрь","Декабрь")&amp;" "&amp;YEAR(branches[[#This Row],[Дата]])</f>
        <v>Июнь 2025</v>
      </c>
      <c r="E1069" t="s">
        <v>16</v>
      </c>
      <c r="F1069" t="s">
        <v>17</v>
      </c>
      <c r="G1069">
        <v>2</v>
      </c>
      <c r="H1069">
        <v>686</v>
      </c>
      <c r="I1069" t="s">
        <v>15</v>
      </c>
      <c r="J1069" t="str">
        <f>_xlfn.XLOOKUP(branches[[#This Row],[Филиал]], tbl_Filialy[Филиал], tbl_Filialy[Менеджер])</f>
        <v>Алия Гайнутдинова</v>
      </c>
    </row>
    <row r="1070" spans="1:10" x14ac:dyDescent="0.3">
      <c r="A1070" t="str">
        <f>_xlfn.XLOOKUP(branches[[#This Row],[Филиал]], tbl_Filialy[Филиал], tbl_Filialy[Город])</f>
        <v>Казань</v>
      </c>
      <c r="B1070" s="1" t="s">
        <v>30</v>
      </c>
      <c r="C1070" s="2">
        <v>45798</v>
      </c>
      <c r="D1070" s="2" t="str">
        <f>CHOOSE(MONTH(branches[[#This Row],[Дата]]),"Январь","Февраль","Март","Апрель","Май","Июнь","Июль","Август","Сентябрь","Октябрь","Ноябрь","Декабрь")&amp;" "&amp;YEAR(branches[[#This Row],[Дата]])</f>
        <v>Май 2025</v>
      </c>
      <c r="E1070" t="s">
        <v>14</v>
      </c>
      <c r="F1070" t="s">
        <v>12</v>
      </c>
      <c r="G1070">
        <v>1</v>
      </c>
      <c r="H1070">
        <v>256</v>
      </c>
      <c r="I1070" t="s">
        <v>10</v>
      </c>
      <c r="J1070" t="str">
        <f>_xlfn.XLOOKUP(branches[[#This Row],[Филиал]], tbl_Filialy[Филиал], tbl_Filialy[Менеджер])</f>
        <v>Алия Гайнутдинова</v>
      </c>
    </row>
    <row r="1071" spans="1:10" x14ac:dyDescent="0.3">
      <c r="A1071" t="str">
        <f>_xlfn.XLOOKUP(branches[[#This Row],[Филиал]], tbl_Filialy[Филиал], tbl_Filialy[Город])</f>
        <v>Казань</v>
      </c>
      <c r="B1071" s="1" t="s">
        <v>30</v>
      </c>
      <c r="C1071" s="2">
        <v>45773</v>
      </c>
      <c r="D1071" s="2" t="str">
        <f>CHOOSE(MONTH(branches[[#This Row],[Дата]]),"Январь","Февраль","Март","Апрель","Май","Июнь","Июль","Август","Сентябрь","Октябрь","Ноябрь","Декабрь")&amp;" "&amp;YEAR(branches[[#This Row],[Дата]])</f>
        <v>Апрель 2025</v>
      </c>
      <c r="E1071" t="s">
        <v>22</v>
      </c>
      <c r="F1071" t="s">
        <v>9</v>
      </c>
      <c r="G1071">
        <v>2</v>
      </c>
      <c r="H1071">
        <v>366</v>
      </c>
      <c r="I1071" t="s">
        <v>13</v>
      </c>
      <c r="J1071" t="str">
        <f>_xlfn.XLOOKUP(branches[[#This Row],[Филиал]], tbl_Filialy[Филиал], tbl_Filialy[Менеджер])</f>
        <v>Алия Гайнутдинова</v>
      </c>
    </row>
    <row r="1072" spans="1:10" x14ac:dyDescent="0.3">
      <c r="A1072" t="str">
        <f>_xlfn.XLOOKUP(branches[[#This Row],[Филиал]], tbl_Filialy[Филиал], tbl_Filialy[Город])</f>
        <v>Казань</v>
      </c>
      <c r="B1072" s="1" t="s">
        <v>30</v>
      </c>
      <c r="C1072" s="2">
        <v>45848</v>
      </c>
      <c r="D1072" s="2" t="str">
        <f>CHOOSE(MONTH(branches[[#This Row],[Дата]]),"Январь","Февраль","Март","Апрель","Май","Июнь","Июль","Август","Сентябрь","Октябрь","Ноябрь","Декабрь")&amp;" "&amp;YEAR(branches[[#This Row],[Дата]])</f>
        <v>Июль 2025</v>
      </c>
      <c r="E1072" t="s">
        <v>14</v>
      </c>
      <c r="F1072" t="s">
        <v>12</v>
      </c>
      <c r="G1072">
        <v>1</v>
      </c>
      <c r="H1072">
        <v>233</v>
      </c>
      <c r="I1072" t="s">
        <v>19</v>
      </c>
      <c r="J1072" t="str">
        <f>_xlfn.XLOOKUP(branches[[#This Row],[Филиал]], tbl_Filialy[Филиал], tbl_Filialy[Менеджер])</f>
        <v>Алия Гайнутдинова</v>
      </c>
    </row>
    <row r="1073" spans="1:10" x14ac:dyDescent="0.3">
      <c r="A1073" t="str">
        <f>_xlfn.XLOOKUP(branches[[#This Row],[Филиал]], tbl_Filialy[Филиал], tbl_Filialy[Город])</f>
        <v>Казань</v>
      </c>
      <c r="B1073" s="1" t="s">
        <v>30</v>
      </c>
      <c r="C1073" s="2">
        <v>45805</v>
      </c>
      <c r="D1073" s="2" t="str">
        <f>CHOOSE(MONTH(branches[[#This Row],[Дата]]),"Январь","Февраль","Март","Апрель","Май","Июнь","Июль","Август","Сентябрь","Октябрь","Ноябрь","Декабрь")&amp;" "&amp;YEAR(branches[[#This Row],[Дата]])</f>
        <v>Май 2025</v>
      </c>
      <c r="E1073" t="s">
        <v>27</v>
      </c>
      <c r="F1073" t="s">
        <v>12</v>
      </c>
      <c r="G1073">
        <v>1</v>
      </c>
      <c r="H1073">
        <v>214</v>
      </c>
      <c r="I1073" t="s">
        <v>15</v>
      </c>
      <c r="J1073" t="str">
        <f>_xlfn.XLOOKUP(branches[[#This Row],[Филиал]], tbl_Filialy[Филиал], tbl_Filialy[Менеджер])</f>
        <v>Алия Гайнутдинова</v>
      </c>
    </row>
    <row r="1074" spans="1:10" x14ac:dyDescent="0.3">
      <c r="A1074" t="str">
        <f>_xlfn.XLOOKUP(branches[[#This Row],[Филиал]], tbl_Filialy[Филиал], tbl_Filialy[Город])</f>
        <v>Казань</v>
      </c>
      <c r="B1074" s="1" t="s">
        <v>30</v>
      </c>
      <c r="C1074" s="2">
        <v>45793</v>
      </c>
      <c r="D1074" s="2" t="str">
        <f>CHOOSE(MONTH(branches[[#This Row],[Дата]]),"Январь","Февраль","Март","Апрель","Май","Июнь","Июль","Август","Сентябрь","Октябрь","Ноябрь","Декабрь")&amp;" "&amp;YEAR(branches[[#This Row],[Дата]])</f>
        <v>Май 2025</v>
      </c>
      <c r="E1074" t="s">
        <v>8</v>
      </c>
      <c r="F1074" t="s">
        <v>9</v>
      </c>
      <c r="G1074">
        <v>2</v>
      </c>
      <c r="H1074">
        <v>464</v>
      </c>
      <c r="I1074" t="s">
        <v>10</v>
      </c>
      <c r="J1074" t="str">
        <f>_xlfn.XLOOKUP(branches[[#This Row],[Филиал]], tbl_Filialy[Филиал], tbl_Filialy[Менеджер])</f>
        <v>Алия Гайнутдинова</v>
      </c>
    </row>
    <row r="1075" spans="1:10" x14ac:dyDescent="0.3">
      <c r="A1075" t="str">
        <f>_xlfn.XLOOKUP(branches[[#This Row],[Филиал]], tbl_Filialy[Филиал], tbl_Filialy[Город])</f>
        <v>Казань</v>
      </c>
      <c r="B1075" s="1" t="s">
        <v>30</v>
      </c>
      <c r="C1075" s="2">
        <v>46005</v>
      </c>
      <c r="D1075" s="2" t="str">
        <f>CHOOSE(MONTH(branches[[#This Row],[Дата]]),"Январь","Февраль","Март","Апрель","Май","Июнь","Июль","Август","Сентябрь","Октябрь","Ноябрь","Декабрь")&amp;" "&amp;YEAR(branches[[#This Row],[Дата]])</f>
        <v>Декабрь 2025</v>
      </c>
      <c r="E1075" t="s">
        <v>11</v>
      </c>
      <c r="F1075" t="s">
        <v>12</v>
      </c>
      <c r="G1075">
        <v>1</v>
      </c>
      <c r="H1075">
        <v>182</v>
      </c>
      <c r="I1075" t="s">
        <v>19</v>
      </c>
      <c r="J1075" t="str">
        <f>_xlfn.XLOOKUP(branches[[#This Row],[Филиал]], tbl_Filialy[Филиал], tbl_Filialy[Менеджер])</f>
        <v>Алия Гайнутдинова</v>
      </c>
    </row>
    <row r="1076" spans="1:10" x14ac:dyDescent="0.3">
      <c r="A1076" t="str">
        <f>_xlfn.XLOOKUP(branches[[#This Row],[Филиал]], tbl_Filialy[Филиал], tbl_Filialy[Город])</f>
        <v>Казань</v>
      </c>
      <c r="B1076" s="1" t="s">
        <v>30</v>
      </c>
      <c r="C1076" s="2">
        <v>45685</v>
      </c>
      <c r="D1076" s="2" t="str">
        <f>CHOOSE(MONTH(branches[[#This Row],[Дата]]),"Январь","Февраль","Март","Апрель","Май","Июнь","Июль","Август","Сентябрь","Октябрь","Ноябрь","Декабрь")&amp;" "&amp;YEAR(branches[[#This Row],[Дата]])</f>
        <v>Январь 2025</v>
      </c>
      <c r="E1076" t="s">
        <v>26</v>
      </c>
      <c r="F1076" t="s">
        <v>9</v>
      </c>
      <c r="G1076">
        <v>2</v>
      </c>
      <c r="H1076">
        <v>420</v>
      </c>
      <c r="I1076" t="s">
        <v>21</v>
      </c>
      <c r="J1076" t="str">
        <f>_xlfn.XLOOKUP(branches[[#This Row],[Филиал]], tbl_Filialy[Филиал], tbl_Filialy[Менеджер])</f>
        <v>Алия Гайнутдинова</v>
      </c>
    </row>
    <row r="1077" spans="1:10" x14ac:dyDescent="0.3">
      <c r="A1077" t="str">
        <f>_xlfn.XLOOKUP(branches[[#This Row],[Филиал]], tbl_Filialy[Филиал], tbl_Filialy[Город])</f>
        <v>Казань</v>
      </c>
      <c r="B1077" s="1" t="s">
        <v>30</v>
      </c>
      <c r="C1077" s="2">
        <v>45911</v>
      </c>
      <c r="D1077" s="2" t="str">
        <f>CHOOSE(MONTH(branches[[#This Row],[Дата]]),"Январь","Февраль","Март","Апрель","Май","Июнь","Июль","Август","Сентябрь","Октябрь","Ноябрь","Декабрь")&amp;" "&amp;YEAR(branches[[#This Row],[Дата]])</f>
        <v>Сентябрь 2025</v>
      </c>
      <c r="E1077" t="s">
        <v>22</v>
      </c>
      <c r="F1077" t="s">
        <v>9</v>
      </c>
      <c r="G1077">
        <v>3</v>
      </c>
      <c r="H1077">
        <v>498</v>
      </c>
      <c r="I1077" t="s">
        <v>23</v>
      </c>
      <c r="J1077" t="str">
        <f>_xlfn.XLOOKUP(branches[[#This Row],[Филиал]], tbl_Filialy[Филиал], tbl_Filialy[Менеджер])</f>
        <v>Алия Гайнутдинова</v>
      </c>
    </row>
    <row r="1078" spans="1:10" x14ac:dyDescent="0.3">
      <c r="A1078" t="str">
        <f>_xlfn.XLOOKUP(branches[[#This Row],[Филиал]], tbl_Filialy[Филиал], tbl_Filialy[Город])</f>
        <v>Казань</v>
      </c>
      <c r="B1078" s="1" t="s">
        <v>30</v>
      </c>
      <c r="C1078" s="2">
        <v>45797</v>
      </c>
      <c r="D1078" s="2" t="str">
        <f>CHOOSE(MONTH(branches[[#This Row],[Дата]]),"Январь","Февраль","Март","Апрель","Май","Июнь","Июль","Август","Сентябрь","Октябрь","Ноябрь","Декабрь")&amp;" "&amp;YEAR(branches[[#This Row],[Дата]])</f>
        <v>Май 2025</v>
      </c>
      <c r="E1078" t="s">
        <v>14</v>
      </c>
      <c r="F1078" t="s">
        <v>12</v>
      </c>
      <c r="G1078">
        <v>1</v>
      </c>
      <c r="H1078">
        <v>255</v>
      </c>
      <c r="I1078" t="s">
        <v>21</v>
      </c>
      <c r="J1078" t="str">
        <f>_xlfn.XLOOKUP(branches[[#This Row],[Филиал]], tbl_Filialy[Филиал], tbl_Filialy[Менеджер])</f>
        <v>Алия Гайнутдинова</v>
      </c>
    </row>
    <row r="1079" spans="1:10" x14ac:dyDescent="0.3">
      <c r="A1079" t="str">
        <f>_xlfn.XLOOKUP(branches[[#This Row],[Филиал]], tbl_Filialy[Филиал], tbl_Filialy[Город])</f>
        <v>Казань</v>
      </c>
      <c r="B1079" s="1" t="s">
        <v>30</v>
      </c>
      <c r="C1079" s="2">
        <v>45970</v>
      </c>
      <c r="D1079" s="2" t="str">
        <f>CHOOSE(MONTH(branches[[#This Row],[Дата]]),"Январь","Февраль","Март","Апрель","Май","Июнь","Июль","Август","Сентябрь","Октябрь","Ноябрь","Декабрь")&amp;" "&amp;YEAR(branches[[#This Row],[Дата]])</f>
        <v>Ноябрь 2025</v>
      </c>
      <c r="E1079" t="s">
        <v>27</v>
      </c>
      <c r="F1079" t="s">
        <v>12</v>
      </c>
      <c r="G1079">
        <v>2</v>
      </c>
      <c r="H1079">
        <v>434</v>
      </c>
      <c r="I1079" t="s">
        <v>21</v>
      </c>
      <c r="J1079" t="str">
        <f>_xlfn.XLOOKUP(branches[[#This Row],[Филиал]], tbl_Filialy[Филиал], tbl_Filialy[Менеджер])</f>
        <v>Алия Гайнутдинова</v>
      </c>
    </row>
    <row r="1080" spans="1:10" x14ac:dyDescent="0.3">
      <c r="A1080" t="str">
        <f>_xlfn.XLOOKUP(branches[[#This Row],[Филиал]], tbl_Filialy[Филиал], tbl_Filialy[Город])</f>
        <v>Казань</v>
      </c>
      <c r="B1080" s="1" t="s">
        <v>30</v>
      </c>
      <c r="C1080" s="2">
        <v>45860</v>
      </c>
      <c r="D1080" s="2" t="str">
        <f>CHOOSE(MONTH(branches[[#This Row],[Дата]]),"Январь","Февраль","Март","Апрель","Май","Июнь","Июль","Август","Сентябрь","Октябрь","Ноябрь","Декабрь")&amp;" "&amp;YEAR(branches[[#This Row],[Дата]])</f>
        <v>Июль 2025</v>
      </c>
      <c r="E1080" t="s">
        <v>26</v>
      </c>
      <c r="F1080" t="s">
        <v>9</v>
      </c>
      <c r="G1080">
        <v>2</v>
      </c>
      <c r="H1080">
        <v>396</v>
      </c>
      <c r="I1080" t="s">
        <v>13</v>
      </c>
      <c r="J1080" t="str">
        <f>_xlfn.XLOOKUP(branches[[#This Row],[Филиал]], tbl_Filialy[Филиал], tbl_Filialy[Менеджер])</f>
        <v>Алия Гайнутдинова</v>
      </c>
    </row>
    <row r="1081" spans="1:10" x14ac:dyDescent="0.3">
      <c r="A1081" t="str">
        <f>_xlfn.XLOOKUP(branches[[#This Row],[Филиал]], tbl_Filialy[Филиал], tbl_Filialy[Город])</f>
        <v>Казань</v>
      </c>
      <c r="B1081" s="1" t="s">
        <v>30</v>
      </c>
      <c r="C1081" s="2">
        <v>45724</v>
      </c>
      <c r="D1081" s="2" t="str">
        <f>CHOOSE(MONTH(branches[[#This Row],[Дата]]),"Январь","Февраль","Март","Апрель","Май","Июнь","Июль","Август","Сентябрь","Октябрь","Ноябрь","Декабрь")&amp;" "&amp;YEAR(branches[[#This Row],[Дата]])</f>
        <v>Март 2025</v>
      </c>
      <c r="E1081" t="s">
        <v>18</v>
      </c>
      <c r="F1081" t="s">
        <v>12</v>
      </c>
      <c r="G1081">
        <v>1</v>
      </c>
      <c r="H1081">
        <v>140</v>
      </c>
      <c r="I1081" t="s">
        <v>23</v>
      </c>
      <c r="J1081" t="str">
        <f>_xlfn.XLOOKUP(branches[[#This Row],[Филиал]], tbl_Filialy[Филиал], tbl_Filialy[Менеджер])</f>
        <v>Алия Гайнутдинова</v>
      </c>
    </row>
    <row r="1082" spans="1:10" x14ac:dyDescent="0.3">
      <c r="A1082" t="str">
        <f>_xlfn.XLOOKUP(branches[[#This Row],[Филиал]], tbl_Filialy[Филиал], tbl_Filialy[Город])</f>
        <v>Казань</v>
      </c>
      <c r="B1082" s="1" t="s">
        <v>30</v>
      </c>
      <c r="C1082" s="2">
        <v>45740</v>
      </c>
      <c r="D1082" s="2" t="str">
        <f>CHOOSE(MONTH(branches[[#This Row],[Дата]]),"Январь","Февраль","Март","Апрель","Май","Июнь","Июль","Август","Сентябрь","Октябрь","Ноябрь","Декабрь")&amp;" "&amp;YEAR(branches[[#This Row],[Дата]])</f>
        <v>Март 2025</v>
      </c>
      <c r="E1082" t="s">
        <v>16</v>
      </c>
      <c r="F1082" t="s">
        <v>17</v>
      </c>
      <c r="G1082">
        <v>2</v>
      </c>
      <c r="H1082">
        <v>598</v>
      </c>
      <c r="I1082" t="s">
        <v>19</v>
      </c>
      <c r="J1082" t="str">
        <f>_xlfn.XLOOKUP(branches[[#This Row],[Филиал]], tbl_Filialy[Филиал], tbl_Filialy[Менеджер])</f>
        <v>Алия Гайнутдинова</v>
      </c>
    </row>
    <row r="1083" spans="1:10" x14ac:dyDescent="0.3">
      <c r="A1083" t="str">
        <f>_xlfn.XLOOKUP(branches[[#This Row],[Филиал]], tbl_Filialy[Филиал], tbl_Filialy[Город])</f>
        <v>Казань</v>
      </c>
      <c r="B1083" s="1" t="s">
        <v>30</v>
      </c>
      <c r="C1083" s="2">
        <v>45675</v>
      </c>
      <c r="D1083" s="2" t="str">
        <f>CHOOSE(MONTH(branches[[#This Row],[Дата]]),"Январь","Февраль","Март","Апрель","Май","Июнь","Июль","Август","Сентябрь","Октябрь","Ноябрь","Декабрь")&amp;" "&amp;YEAR(branches[[#This Row],[Дата]])</f>
        <v>Январь 2025</v>
      </c>
      <c r="E1083" t="s">
        <v>24</v>
      </c>
      <c r="F1083" t="s">
        <v>17</v>
      </c>
      <c r="G1083">
        <v>1</v>
      </c>
      <c r="H1083">
        <v>376</v>
      </c>
      <c r="I1083" t="s">
        <v>13</v>
      </c>
      <c r="J1083" t="str">
        <f>_xlfn.XLOOKUP(branches[[#This Row],[Филиал]], tbl_Filialy[Филиал], tbl_Filialy[Менеджер])</f>
        <v>Алия Гайнутдинова</v>
      </c>
    </row>
    <row r="1084" spans="1:10" x14ac:dyDescent="0.3">
      <c r="A1084" t="str">
        <f>_xlfn.XLOOKUP(branches[[#This Row],[Филиал]], tbl_Filialy[Филиал], tbl_Filialy[Город])</f>
        <v>Казань</v>
      </c>
      <c r="B1084" s="1" t="s">
        <v>30</v>
      </c>
      <c r="C1084" s="2">
        <v>45907</v>
      </c>
      <c r="D1084" s="2" t="str">
        <f>CHOOSE(MONTH(branches[[#This Row],[Дата]]),"Январь","Февраль","Март","Апрель","Май","Июнь","Июль","Август","Сентябрь","Октябрь","Ноябрь","Декабрь")&amp;" "&amp;YEAR(branches[[#This Row],[Дата]])</f>
        <v>Сентябрь 2025</v>
      </c>
      <c r="E1084" t="s">
        <v>26</v>
      </c>
      <c r="F1084" t="s">
        <v>9</v>
      </c>
      <c r="G1084">
        <v>3</v>
      </c>
      <c r="H1084">
        <v>666</v>
      </c>
      <c r="I1084" t="s">
        <v>19</v>
      </c>
      <c r="J1084" t="str">
        <f>_xlfn.XLOOKUP(branches[[#This Row],[Филиал]], tbl_Filialy[Филиал], tbl_Filialy[Менеджер])</f>
        <v>Алия Гайнутдинова</v>
      </c>
    </row>
    <row r="1085" spans="1:10" x14ac:dyDescent="0.3">
      <c r="A1085" t="str">
        <f>_xlfn.XLOOKUP(branches[[#This Row],[Филиал]], tbl_Filialy[Филиал], tbl_Filialy[Город])</f>
        <v>Казань</v>
      </c>
      <c r="B1085" s="1" t="s">
        <v>30</v>
      </c>
      <c r="C1085" s="2">
        <v>45710</v>
      </c>
      <c r="D1085" s="2" t="str">
        <f>CHOOSE(MONTH(branches[[#This Row],[Дата]]),"Январь","Февраль","Март","Апрель","Май","Июнь","Июль","Август","Сентябрь","Октябрь","Ноябрь","Декабрь")&amp;" "&amp;YEAR(branches[[#This Row],[Дата]])</f>
        <v>Февраль 2025</v>
      </c>
      <c r="E1085" t="s">
        <v>25</v>
      </c>
      <c r="F1085" t="s">
        <v>12</v>
      </c>
      <c r="G1085">
        <v>2</v>
      </c>
      <c r="H1085">
        <v>420</v>
      </c>
      <c r="I1085" t="s">
        <v>15</v>
      </c>
      <c r="J1085" t="str">
        <f>_xlfn.XLOOKUP(branches[[#This Row],[Филиал]], tbl_Filialy[Филиал], tbl_Filialy[Менеджер])</f>
        <v>Алия Гайнутдинова</v>
      </c>
    </row>
    <row r="1086" spans="1:10" x14ac:dyDescent="0.3">
      <c r="A1086" t="str">
        <f>_xlfn.XLOOKUP(branches[[#This Row],[Филиал]], tbl_Filialy[Филиал], tbl_Filialy[Город])</f>
        <v>Казань</v>
      </c>
      <c r="B1086" s="1" t="s">
        <v>30</v>
      </c>
      <c r="C1086" s="2">
        <v>45659</v>
      </c>
      <c r="D1086" s="2" t="str">
        <f>CHOOSE(MONTH(branches[[#This Row],[Дата]]),"Январь","Февраль","Март","Апрель","Май","Июнь","Июль","Август","Сентябрь","Октябрь","Ноябрь","Декабрь")&amp;" "&amp;YEAR(branches[[#This Row],[Дата]])</f>
        <v>Январь 2025</v>
      </c>
      <c r="E1086" t="s">
        <v>27</v>
      </c>
      <c r="F1086" t="s">
        <v>12</v>
      </c>
      <c r="G1086">
        <v>1</v>
      </c>
      <c r="H1086">
        <v>239</v>
      </c>
      <c r="I1086" t="s">
        <v>13</v>
      </c>
      <c r="J1086" t="str">
        <f>_xlfn.XLOOKUP(branches[[#This Row],[Филиал]], tbl_Filialy[Филиал], tbl_Filialy[Менеджер])</f>
        <v>Алия Гайнутдинова</v>
      </c>
    </row>
    <row r="1087" spans="1:10" x14ac:dyDescent="0.3">
      <c r="A1087" t="str">
        <f>_xlfn.XLOOKUP(branches[[#This Row],[Филиал]], tbl_Filialy[Филиал], tbl_Filialy[Город])</f>
        <v>Казань</v>
      </c>
      <c r="B1087" s="1" t="s">
        <v>30</v>
      </c>
      <c r="C1087" s="2">
        <v>45920</v>
      </c>
      <c r="D1087" s="2" t="str">
        <f>CHOOSE(MONTH(branches[[#This Row],[Дата]]),"Январь","Февраль","Март","Апрель","Май","Июнь","Июль","Август","Сентябрь","Октябрь","Ноябрь","Декабрь")&amp;" "&amp;YEAR(branches[[#This Row],[Дата]])</f>
        <v>Сентябрь 2025</v>
      </c>
      <c r="E1087" t="s">
        <v>22</v>
      </c>
      <c r="F1087" t="s">
        <v>9</v>
      </c>
      <c r="G1087">
        <v>3</v>
      </c>
      <c r="H1087">
        <v>531</v>
      </c>
      <c r="I1087" t="s">
        <v>13</v>
      </c>
      <c r="J1087" t="str">
        <f>_xlfn.XLOOKUP(branches[[#This Row],[Филиал]], tbl_Filialy[Филиал], tbl_Filialy[Менеджер])</f>
        <v>Алия Гайнутдинова</v>
      </c>
    </row>
    <row r="1088" spans="1:10" x14ac:dyDescent="0.3">
      <c r="A1088" t="str">
        <f>_xlfn.XLOOKUP(branches[[#This Row],[Филиал]], tbl_Filialy[Филиал], tbl_Filialy[Город])</f>
        <v>Казань</v>
      </c>
      <c r="B1088" s="1" t="s">
        <v>30</v>
      </c>
      <c r="C1088" s="2">
        <v>45683</v>
      </c>
      <c r="D1088" s="2" t="str">
        <f>CHOOSE(MONTH(branches[[#This Row],[Дата]]),"Январь","Февраль","Март","Апрель","Май","Июнь","Июль","Август","Сентябрь","Октябрь","Ноябрь","Декабрь")&amp;" "&amp;YEAR(branches[[#This Row],[Дата]])</f>
        <v>Январь 2025</v>
      </c>
      <c r="E1088" t="s">
        <v>22</v>
      </c>
      <c r="F1088" t="s">
        <v>9</v>
      </c>
      <c r="G1088">
        <v>2</v>
      </c>
      <c r="H1088">
        <v>322</v>
      </c>
      <c r="I1088" t="s">
        <v>15</v>
      </c>
      <c r="J1088" t="str">
        <f>_xlfn.XLOOKUP(branches[[#This Row],[Филиал]], tbl_Filialy[Филиал], tbl_Filialy[Менеджер])</f>
        <v>Алия Гайнутдинова</v>
      </c>
    </row>
    <row r="1089" spans="1:10" x14ac:dyDescent="0.3">
      <c r="A1089" t="str">
        <f>_xlfn.XLOOKUP(branches[[#This Row],[Филиал]], tbl_Filialy[Филиал], tbl_Filialy[Город])</f>
        <v>Казань</v>
      </c>
      <c r="B1089" s="1" t="s">
        <v>30</v>
      </c>
      <c r="C1089" s="2">
        <v>45759</v>
      </c>
      <c r="D1089" s="2" t="str">
        <f>CHOOSE(MONTH(branches[[#This Row],[Дата]]),"Январь","Февраль","Март","Апрель","Май","Июнь","Июль","Август","Сентябрь","Октябрь","Ноябрь","Декабрь")&amp;" "&amp;YEAR(branches[[#This Row],[Дата]])</f>
        <v>Апрель 2025</v>
      </c>
      <c r="E1089" t="s">
        <v>14</v>
      </c>
      <c r="F1089" t="s">
        <v>12</v>
      </c>
      <c r="G1089">
        <v>1</v>
      </c>
      <c r="H1089">
        <v>260</v>
      </c>
      <c r="I1089" t="s">
        <v>10</v>
      </c>
      <c r="J1089" t="str">
        <f>_xlfn.XLOOKUP(branches[[#This Row],[Филиал]], tbl_Filialy[Филиал], tbl_Filialy[Менеджер])</f>
        <v>Алия Гайнутдинова</v>
      </c>
    </row>
    <row r="1090" spans="1:10" x14ac:dyDescent="0.3">
      <c r="A1090" t="str">
        <f>_xlfn.XLOOKUP(branches[[#This Row],[Филиал]], tbl_Filialy[Филиал], tbl_Filialy[Город])</f>
        <v>Казань</v>
      </c>
      <c r="B1090" s="1" t="s">
        <v>30</v>
      </c>
      <c r="C1090" s="2">
        <v>45946</v>
      </c>
      <c r="D1090" s="2" t="str">
        <f>CHOOSE(MONTH(branches[[#This Row],[Дата]]),"Январь","Февраль","Март","Апрель","Май","Июнь","Июль","Август","Сентябрь","Октябрь","Ноябрь","Декабрь")&amp;" "&amp;YEAR(branches[[#This Row],[Дата]])</f>
        <v>Октябрь 2025</v>
      </c>
      <c r="E1090" t="s">
        <v>27</v>
      </c>
      <c r="F1090" t="s">
        <v>12</v>
      </c>
      <c r="G1090">
        <v>2</v>
      </c>
      <c r="H1090">
        <v>410</v>
      </c>
      <c r="I1090" t="s">
        <v>19</v>
      </c>
      <c r="J1090" t="str">
        <f>_xlfn.XLOOKUP(branches[[#This Row],[Филиал]], tbl_Filialy[Филиал], tbl_Filialy[Менеджер])</f>
        <v>Алия Гайнутдинова</v>
      </c>
    </row>
    <row r="1091" spans="1:10" x14ac:dyDescent="0.3">
      <c r="A1091" t="str">
        <f>_xlfn.XLOOKUP(branches[[#This Row],[Филиал]], tbl_Filialy[Филиал], tbl_Filialy[Город])</f>
        <v>Казань</v>
      </c>
      <c r="B1091" s="1" t="s">
        <v>30</v>
      </c>
      <c r="C1091" s="2">
        <v>45794</v>
      </c>
      <c r="D1091" s="2" t="str">
        <f>CHOOSE(MONTH(branches[[#This Row],[Дата]]),"Январь","Февраль","Март","Апрель","Май","Июнь","Июль","Август","Сентябрь","Октябрь","Ноябрь","Декабрь")&amp;" "&amp;YEAR(branches[[#This Row],[Дата]])</f>
        <v>Май 2025</v>
      </c>
      <c r="E1091" t="s">
        <v>14</v>
      </c>
      <c r="F1091" t="s">
        <v>12</v>
      </c>
      <c r="G1091">
        <v>2</v>
      </c>
      <c r="H1091">
        <v>570</v>
      </c>
      <c r="I1091" t="s">
        <v>10</v>
      </c>
      <c r="J1091" t="str">
        <f>_xlfn.XLOOKUP(branches[[#This Row],[Филиал]], tbl_Filialy[Филиал], tbl_Filialy[Менеджер])</f>
        <v>Алия Гайнутдинова</v>
      </c>
    </row>
    <row r="1092" spans="1:10" x14ac:dyDescent="0.3">
      <c r="A1092" t="str">
        <f>_xlfn.XLOOKUP(branches[[#This Row],[Филиал]], tbl_Filialy[Филиал], tbl_Filialy[Город])</f>
        <v>Казань</v>
      </c>
      <c r="B1092" s="1" t="s">
        <v>30</v>
      </c>
      <c r="C1092" s="2">
        <v>45921</v>
      </c>
      <c r="D1092" s="2" t="str">
        <f>CHOOSE(MONTH(branches[[#This Row],[Дата]]),"Январь","Февраль","Март","Апрель","Май","Июнь","Июль","Август","Сентябрь","Октябрь","Ноябрь","Декабрь")&amp;" "&amp;YEAR(branches[[#This Row],[Дата]])</f>
        <v>Сентябрь 2025</v>
      </c>
      <c r="E1092" t="s">
        <v>22</v>
      </c>
      <c r="F1092" t="s">
        <v>9</v>
      </c>
      <c r="G1092">
        <v>2</v>
      </c>
      <c r="H1092">
        <v>400</v>
      </c>
      <c r="I1092" t="s">
        <v>19</v>
      </c>
      <c r="J1092" t="str">
        <f>_xlfn.XLOOKUP(branches[[#This Row],[Филиал]], tbl_Filialy[Филиал], tbl_Filialy[Менеджер])</f>
        <v>Алия Гайнутдинова</v>
      </c>
    </row>
    <row r="1093" spans="1:10" x14ac:dyDescent="0.3">
      <c r="A1093" t="str">
        <f>_xlfn.XLOOKUP(branches[[#This Row],[Филиал]], tbl_Filialy[Филиал], tbl_Filialy[Город])</f>
        <v>Казань</v>
      </c>
      <c r="B1093" s="1" t="s">
        <v>30</v>
      </c>
      <c r="C1093" s="2">
        <v>45968</v>
      </c>
      <c r="D1093" s="2" t="str">
        <f>CHOOSE(MONTH(branches[[#This Row],[Дата]]),"Январь","Февраль","Март","Апрель","Май","Июнь","Июль","Август","Сентябрь","Октябрь","Ноябрь","Декабрь")&amp;" "&amp;YEAR(branches[[#This Row],[Дата]])</f>
        <v>Ноябрь 2025</v>
      </c>
      <c r="E1093" t="s">
        <v>25</v>
      </c>
      <c r="F1093" t="s">
        <v>12</v>
      </c>
      <c r="G1093">
        <v>1</v>
      </c>
      <c r="H1093">
        <v>198</v>
      </c>
      <c r="I1093" t="s">
        <v>21</v>
      </c>
      <c r="J1093" t="str">
        <f>_xlfn.XLOOKUP(branches[[#This Row],[Филиал]], tbl_Filialy[Филиал], tbl_Filialy[Менеджер])</f>
        <v>Алия Гайнутдинова</v>
      </c>
    </row>
    <row r="1094" spans="1:10" x14ac:dyDescent="0.3">
      <c r="A1094" t="str">
        <f>_xlfn.XLOOKUP(branches[[#This Row],[Филиал]], tbl_Filialy[Филиал], tbl_Filialy[Город])</f>
        <v>Казань</v>
      </c>
      <c r="B1094" s="1" t="s">
        <v>30</v>
      </c>
      <c r="C1094" s="2">
        <v>45816</v>
      </c>
      <c r="D1094" s="2" t="str">
        <f>CHOOSE(MONTH(branches[[#This Row],[Дата]]),"Январь","Февраль","Март","Апрель","Май","Июнь","Июль","Август","Сентябрь","Октябрь","Ноябрь","Декабрь")&amp;" "&amp;YEAR(branches[[#This Row],[Дата]])</f>
        <v>Июнь 2025</v>
      </c>
      <c r="E1094" t="s">
        <v>8</v>
      </c>
      <c r="F1094" t="s">
        <v>9</v>
      </c>
      <c r="G1094">
        <v>3</v>
      </c>
      <c r="H1094">
        <v>777</v>
      </c>
      <c r="I1094" t="s">
        <v>19</v>
      </c>
      <c r="J1094" t="str">
        <f>_xlfn.XLOOKUP(branches[[#This Row],[Филиал]], tbl_Filialy[Филиал], tbl_Filialy[Менеджер])</f>
        <v>Алия Гайнутдинова</v>
      </c>
    </row>
    <row r="1095" spans="1:10" x14ac:dyDescent="0.3">
      <c r="A1095" t="str">
        <f>_xlfn.XLOOKUP(branches[[#This Row],[Филиал]], tbl_Filialy[Филиал], tbl_Filialy[Город])</f>
        <v>Казань</v>
      </c>
      <c r="B1095" s="1" t="s">
        <v>30</v>
      </c>
      <c r="C1095" s="2">
        <v>45778</v>
      </c>
      <c r="D1095" s="2" t="str">
        <f>CHOOSE(MONTH(branches[[#This Row],[Дата]]),"Январь","Февраль","Март","Апрель","Май","Июнь","Июль","Август","Сентябрь","Октябрь","Ноябрь","Декабрь")&amp;" "&amp;YEAR(branches[[#This Row],[Дата]])</f>
        <v>Май 2025</v>
      </c>
      <c r="E1095" t="s">
        <v>22</v>
      </c>
      <c r="F1095" t="s">
        <v>9</v>
      </c>
      <c r="G1095">
        <v>3</v>
      </c>
      <c r="H1095">
        <v>525</v>
      </c>
      <c r="I1095" t="s">
        <v>23</v>
      </c>
      <c r="J1095" t="str">
        <f>_xlfn.XLOOKUP(branches[[#This Row],[Филиал]], tbl_Filialy[Филиал], tbl_Filialy[Менеджер])</f>
        <v>Алия Гайнутдинова</v>
      </c>
    </row>
    <row r="1096" spans="1:10" x14ac:dyDescent="0.3">
      <c r="A1096" t="str">
        <f>_xlfn.XLOOKUP(branches[[#This Row],[Филиал]], tbl_Filialy[Филиал], tbl_Filialy[Город])</f>
        <v>Краснодар</v>
      </c>
      <c r="B1096" s="1" t="s">
        <v>31</v>
      </c>
      <c r="C1096" s="2">
        <v>45736</v>
      </c>
      <c r="D1096" s="2" t="str">
        <f>CHOOSE(MONTH(branches[[#This Row],[Дата]]),"Январь","Февраль","Март","Апрель","Май","Июнь","Июль","Август","Сентябрь","Октябрь","Ноябрь","Декабрь")&amp;" "&amp;YEAR(branches[[#This Row],[Дата]])</f>
        <v>Март 2025</v>
      </c>
      <c r="E1096" t="s">
        <v>11</v>
      </c>
      <c r="F1096" t="s">
        <v>12</v>
      </c>
      <c r="G1096">
        <v>1</v>
      </c>
      <c r="H1096">
        <v>163</v>
      </c>
      <c r="I1096" t="s">
        <v>32</v>
      </c>
      <c r="J1096" t="str">
        <f>_xlfn.XLOOKUP(branches[[#This Row],[Филиал]], tbl_Filialy[Филиал], tbl_Filialy[Менеджер])</f>
        <v>Павел Ткаченко</v>
      </c>
    </row>
    <row r="1097" spans="1:10" x14ac:dyDescent="0.3">
      <c r="A1097" t="str">
        <f>_xlfn.XLOOKUP(branches[[#This Row],[Филиал]], tbl_Filialy[Филиал], tbl_Filialy[Город])</f>
        <v>Краснодар</v>
      </c>
      <c r="B1097" s="1" t="s">
        <v>31</v>
      </c>
      <c r="C1097" s="2">
        <v>45842</v>
      </c>
      <c r="D1097" s="2" t="str">
        <f>CHOOSE(MONTH(branches[[#This Row],[Дата]]),"Январь","Февраль","Март","Апрель","Май","Июнь","Июль","Август","Сентябрь","Октябрь","Ноябрь","Декабрь")&amp;" "&amp;YEAR(branches[[#This Row],[Дата]])</f>
        <v>Июль 2025</v>
      </c>
      <c r="E1097" t="s">
        <v>28</v>
      </c>
      <c r="F1097" t="s">
        <v>12</v>
      </c>
      <c r="G1097">
        <v>1</v>
      </c>
      <c r="H1097">
        <v>211</v>
      </c>
      <c r="I1097" t="s">
        <v>33</v>
      </c>
      <c r="J1097" t="str">
        <f>_xlfn.XLOOKUP(branches[[#This Row],[Филиал]], tbl_Filialy[Филиал], tbl_Filialy[Менеджер])</f>
        <v>Павел Ткаченко</v>
      </c>
    </row>
    <row r="1098" spans="1:10" x14ac:dyDescent="0.3">
      <c r="A1098" t="str">
        <f>_xlfn.XLOOKUP(branches[[#This Row],[Филиал]], tbl_Filialy[Филиал], tbl_Filialy[Город])</f>
        <v>Краснодар</v>
      </c>
      <c r="B1098" s="1" t="s">
        <v>31</v>
      </c>
      <c r="C1098" s="2">
        <v>45844</v>
      </c>
      <c r="D1098" s="2" t="str">
        <f>CHOOSE(MONTH(branches[[#This Row],[Дата]]),"Январь","Февраль","Март","Апрель","Май","Июнь","Июль","Август","Сентябрь","Октябрь","Ноябрь","Декабрь")&amp;" "&amp;YEAR(branches[[#This Row],[Дата]])</f>
        <v>Июль 2025</v>
      </c>
      <c r="E1098" t="s">
        <v>14</v>
      </c>
      <c r="F1098" t="s">
        <v>12</v>
      </c>
      <c r="G1098">
        <v>1</v>
      </c>
      <c r="H1098">
        <v>276</v>
      </c>
      <c r="I1098" t="s">
        <v>33</v>
      </c>
      <c r="J1098" t="str">
        <f>_xlfn.XLOOKUP(branches[[#This Row],[Филиал]], tbl_Filialy[Филиал], tbl_Filialy[Менеджер])</f>
        <v>Павел Ткаченко</v>
      </c>
    </row>
    <row r="1099" spans="1:10" x14ac:dyDescent="0.3">
      <c r="A1099" t="str">
        <f>_xlfn.XLOOKUP(branches[[#This Row],[Филиал]], tbl_Filialy[Филиал], tbl_Filialy[Город])</f>
        <v>Краснодар</v>
      </c>
      <c r="B1099" s="1" t="s">
        <v>31</v>
      </c>
      <c r="C1099" s="2">
        <v>45720</v>
      </c>
      <c r="D1099" s="2" t="str">
        <f>CHOOSE(MONTH(branches[[#This Row],[Дата]]),"Январь","Февраль","Март","Апрель","Май","Июнь","Июль","Август","Сентябрь","Октябрь","Ноябрь","Декабрь")&amp;" "&amp;YEAR(branches[[#This Row],[Дата]])</f>
        <v>Март 2025</v>
      </c>
      <c r="E1099" t="s">
        <v>26</v>
      </c>
      <c r="F1099" t="s">
        <v>9</v>
      </c>
      <c r="G1099">
        <v>1</v>
      </c>
      <c r="H1099">
        <v>201</v>
      </c>
      <c r="I1099" t="s">
        <v>33</v>
      </c>
      <c r="J1099" t="str">
        <f>_xlfn.XLOOKUP(branches[[#This Row],[Филиал]], tbl_Filialy[Филиал], tbl_Filialy[Менеджер])</f>
        <v>Павел Ткаченко</v>
      </c>
    </row>
    <row r="1100" spans="1:10" x14ac:dyDescent="0.3">
      <c r="A1100" t="str">
        <f>_xlfn.XLOOKUP(branches[[#This Row],[Филиал]], tbl_Filialy[Филиал], tbl_Filialy[Город])</f>
        <v>Краснодар</v>
      </c>
      <c r="B1100" s="1" t="s">
        <v>31</v>
      </c>
      <c r="C1100" s="2">
        <v>46007</v>
      </c>
      <c r="D1100" s="2" t="str">
        <f>CHOOSE(MONTH(branches[[#This Row],[Дата]]),"Январь","Февраль","Март","Апрель","Май","Июнь","Июль","Август","Сентябрь","Октябрь","Ноябрь","Декабрь")&amp;" "&amp;YEAR(branches[[#This Row],[Дата]])</f>
        <v>Декабрь 2025</v>
      </c>
      <c r="E1100" t="s">
        <v>14</v>
      </c>
      <c r="F1100" t="s">
        <v>12</v>
      </c>
      <c r="G1100">
        <v>1</v>
      </c>
      <c r="H1100">
        <v>287</v>
      </c>
      <c r="I1100" t="s">
        <v>33</v>
      </c>
      <c r="J1100" t="str">
        <f>_xlfn.XLOOKUP(branches[[#This Row],[Филиал]], tbl_Filialy[Филиал], tbl_Filialy[Менеджер])</f>
        <v>Павел Ткаченко</v>
      </c>
    </row>
    <row r="1101" spans="1:10" x14ac:dyDescent="0.3">
      <c r="A1101" t="str">
        <f>_xlfn.XLOOKUP(branches[[#This Row],[Филиал]], tbl_Filialy[Филиал], tbl_Filialy[Город])</f>
        <v>Краснодар</v>
      </c>
      <c r="B1101" s="1" t="s">
        <v>31</v>
      </c>
      <c r="C1101" s="2">
        <v>45969</v>
      </c>
      <c r="D1101" s="2" t="str">
        <f>CHOOSE(MONTH(branches[[#This Row],[Дата]]),"Январь","Февраль","Март","Апрель","Май","Июнь","Июль","Август","Сентябрь","Октябрь","Ноябрь","Декабрь")&amp;" "&amp;YEAR(branches[[#This Row],[Дата]])</f>
        <v>Ноябрь 2025</v>
      </c>
      <c r="E1101" t="s">
        <v>8</v>
      </c>
      <c r="F1101" t="s">
        <v>9</v>
      </c>
      <c r="G1101">
        <v>1</v>
      </c>
      <c r="H1101">
        <v>234</v>
      </c>
      <c r="I1101" t="s">
        <v>33</v>
      </c>
      <c r="J1101" t="str">
        <f>_xlfn.XLOOKUP(branches[[#This Row],[Филиал]], tbl_Filialy[Филиал], tbl_Filialy[Менеджер])</f>
        <v>Павел Ткаченко</v>
      </c>
    </row>
    <row r="1102" spans="1:10" x14ac:dyDescent="0.3">
      <c r="A1102" t="str">
        <f>_xlfn.XLOOKUP(branches[[#This Row],[Филиал]], tbl_Filialy[Филиал], tbl_Filialy[Город])</f>
        <v>Краснодар</v>
      </c>
      <c r="B1102" s="1" t="s">
        <v>31</v>
      </c>
      <c r="C1102" s="2">
        <v>45689</v>
      </c>
      <c r="D1102" s="2" t="str">
        <f>CHOOSE(MONTH(branches[[#This Row],[Дата]]),"Январь","Февраль","Март","Апрель","Май","Июнь","Июль","Август","Сентябрь","Октябрь","Ноябрь","Декабрь")&amp;" "&amp;YEAR(branches[[#This Row],[Дата]])</f>
        <v>Февраль 2025</v>
      </c>
      <c r="E1102" t="s">
        <v>26</v>
      </c>
      <c r="F1102" t="s">
        <v>9</v>
      </c>
      <c r="G1102">
        <v>3</v>
      </c>
      <c r="H1102">
        <v>702</v>
      </c>
      <c r="I1102" t="s">
        <v>34</v>
      </c>
      <c r="J1102" t="str">
        <f>_xlfn.XLOOKUP(branches[[#This Row],[Филиал]], tbl_Filialy[Филиал], tbl_Filialy[Менеджер])</f>
        <v>Павел Ткаченко</v>
      </c>
    </row>
    <row r="1103" spans="1:10" x14ac:dyDescent="0.3">
      <c r="A1103" t="str">
        <f>_xlfn.XLOOKUP(branches[[#This Row],[Филиал]], tbl_Filialy[Филиал], tbl_Filialy[Город])</f>
        <v>Краснодар</v>
      </c>
      <c r="B1103" s="1" t="s">
        <v>31</v>
      </c>
      <c r="C1103" s="2">
        <v>45981</v>
      </c>
      <c r="D1103" s="2" t="str">
        <f>CHOOSE(MONTH(branches[[#This Row],[Дата]]),"Январь","Февраль","Март","Апрель","Май","Июнь","Июль","Август","Сентябрь","Октябрь","Ноябрь","Декабрь")&amp;" "&amp;YEAR(branches[[#This Row],[Дата]])</f>
        <v>Ноябрь 2025</v>
      </c>
      <c r="E1103" t="s">
        <v>8</v>
      </c>
      <c r="F1103" t="s">
        <v>9</v>
      </c>
      <c r="G1103">
        <v>1</v>
      </c>
      <c r="H1103">
        <v>273</v>
      </c>
      <c r="I1103" t="s">
        <v>34</v>
      </c>
      <c r="J1103" t="str">
        <f>_xlfn.XLOOKUP(branches[[#This Row],[Филиал]], tbl_Filialy[Филиал], tbl_Filialy[Менеджер])</f>
        <v>Павел Ткаченко</v>
      </c>
    </row>
    <row r="1104" spans="1:10" x14ac:dyDescent="0.3">
      <c r="A1104" t="str">
        <f>_xlfn.XLOOKUP(branches[[#This Row],[Филиал]], tbl_Filialy[Филиал], tbl_Filialy[Город])</f>
        <v>Краснодар</v>
      </c>
      <c r="B1104" s="1" t="s">
        <v>31</v>
      </c>
      <c r="C1104" s="2">
        <v>45981</v>
      </c>
      <c r="D1104" s="2" t="str">
        <f>CHOOSE(MONTH(branches[[#This Row],[Дата]]),"Январь","Февраль","Март","Апрель","Май","Июнь","Июль","Август","Сентябрь","Октябрь","Ноябрь","Декабрь")&amp;" "&amp;YEAR(branches[[#This Row],[Дата]])</f>
        <v>Ноябрь 2025</v>
      </c>
      <c r="E1104" t="s">
        <v>28</v>
      </c>
      <c r="F1104" t="s">
        <v>12</v>
      </c>
      <c r="G1104">
        <v>1</v>
      </c>
      <c r="H1104">
        <v>245</v>
      </c>
      <c r="I1104" t="s">
        <v>33</v>
      </c>
      <c r="J1104" t="str">
        <f>_xlfn.XLOOKUP(branches[[#This Row],[Филиал]], tbl_Filialy[Филиал], tbl_Filialy[Менеджер])</f>
        <v>Павел Ткаченко</v>
      </c>
    </row>
    <row r="1105" spans="1:10" x14ac:dyDescent="0.3">
      <c r="A1105" t="str">
        <f>_xlfn.XLOOKUP(branches[[#This Row],[Филиал]], tbl_Filialy[Филиал], tbl_Filialy[Город])</f>
        <v>Краснодар</v>
      </c>
      <c r="B1105" s="1" t="s">
        <v>31</v>
      </c>
      <c r="C1105" s="2">
        <v>45914</v>
      </c>
      <c r="D1105" s="2" t="str">
        <f>CHOOSE(MONTH(branches[[#This Row],[Дата]]),"Январь","Февраль","Март","Апрель","Май","Июнь","Июль","Август","Сентябрь","Октябрь","Ноябрь","Декабрь")&amp;" "&amp;YEAR(branches[[#This Row],[Дата]])</f>
        <v>Сентябрь 2025</v>
      </c>
      <c r="E1105" t="s">
        <v>20</v>
      </c>
      <c r="F1105" t="s">
        <v>12</v>
      </c>
      <c r="G1105">
        <v>3</v>
      </c>
      <c r="H1105">
        <v>945</v>
      </c>
      <c r="I1105" t="s">
        <v>34</v>
      </c>
      <c r="J1105" t="str">
        <f>_xlfn.XLOOKUP(branches[[#This Row],[Филиал]], tbl_Filialy[Филиал], tbl_Filialy[Менеджер])</f>
        <v>Павел Ткаченко</v>
      </c>
    </row>
    <row r="1106" spans="1:10" x14ac:dyDescent="0.3">
      <c r="A1106" t="str">
        <f>_xlfn.XLOOKUP(branches[[#This Row],[Филиал]], tbl_Filialy[Филиал], tbl_Filialy[Город])</f>
        <v>Краснодар</v>
      </c>
      <c r="B1106" s="1" t="s">
        <v>31</v>
      </c>
      <c r="C1106" s="2">
        <v>45995</v>
      </c>
      <c r="D1106" s="2" t="str">
        <f>CHOOSE(MONTH(branches[[#This Row],[Дата]]),"Январь","Февраль","Март","Апрель","Май","Июнь","Июль","Август","Сентябрь","Октябрь","Ноябрь","Декабрь")&amp;" "&amp;YEAR(branches[[#This Row],[Дата]])</f>
        <v>Декабрь 2025</v>
      </c>
      <c r="E1106" t="s">
        <v>26</v>
      </c>
      <c r="F1106" t="s">
        <v>9</v>
      </c>
      <c r="G1106">
        <v>1</v>
      </c>
      <c r="H1106">
        <v>233</v>
      </c>
      <c r="I1106" t="s">
        <v>32</v>
      </c>
      <c r="J1106" t="str">
        <f>_xlfn.XLOOKUP(branches[[#This Row],[Филиал]], tbl_Filialy[Филиал], tbl_Filialy[Менеджер])</f>
        <v>Павел Ткаченко</v>
      </c>
    </row>
    <row r="1107" spans="1:10" x14ac:dyDescent="0.3">
      <c r="A1107" t="str">
        <f>_xlfn.XLOOKUP(branches[[#This Row],[Филиал]], tbl_Filialy[Филиал], tbl_Filialy[Город])</f>
        <v>Краснодар</v>
      </c>
      <c r="B1107" s="1" t="s">
        <v>31</v>
      </c>
      <c r="C1107" s="2">
        <v>45953</v>
      </c>
      <c r="D1107" s="2" t="str">
        <f>CHOOSE(MONTH(branches[[#This Row],[Дата]]),"Январь","Февраль","Март","Апрель","Май","Июнь","Июль","Август","Сентябрь","Октябрь","Ноябрь","Декабрь")&amp;" "&amp;YEAR(branches[[#This Row],[Дата]])</f>
        <v>Октябрь 2025</v>
      </c>
      <c r="E1107" t="s">
        <v>24</v>
      </c>
      <c r="F1107" t="s">
        <v>17</v>
      </c>
      <c r="G1107">
        <v>1</v>
      </c>
      <c r="H1107">
        <v>405</v>
      </c>
      <c r="I1107" t="s">
        <v>19</v>
      </c>
      <c r="J1107" t="str">
        <f>_xlfn.XLOOKUP(branches[[#This Row],[Филиал]], tbl_Filialy[Филиал], tbl_Filialy[Менеджер])</f>
        <v>Павел Ткаченко</v>
      </c>
    </row>
    <row r="1108" spans="1:10" x14ac:dyDescent="0.3">
      <c r="A1108" t="str">
        <f>_xlfn.XLOOKUP(branches[[#This Row],[Филиал]], tbl_Filialy[Филиал], tbl_Filialy[Город])</f>
        <v>Краснодар</v>
      </c>
      <c r="B1108" s="1" t="s">
        <v>31</v>
      </c>
      <c r="C1108" s="2">
        <v>45727</v>
      </c>
      <c r="D1108" s="2" t="str">
        <f>CHOOSE(MONTH(branches[[#This Row],[Дата]]),"Январь","Февраль","Март","Апрель","Май","Июнь","Июль","Август","Сентябрь","Октябрь","Ноябрь","Декабрь")&amp;" "&amp;YEAR(branches[[#This Row],[Дата]])</f>
        <v>Март 2025</v>
      </c>
      <c r="E1108" t="s">
        <v>26</v>
      </c>
      <c r="F1108" t="s">
        <v>9</v>
      </c>
      <c r="G1108">
        <v>2</v>
      </c>
      <c r="H1108">
        <v>438</v>
      </c>
      <c r="I1108" t="s">
        <v>13</v>
      </c>
      <c r="J1108" t="str">
        <f>_xlfn.XLOOKUP(branches[[#This Row],[Филиал]], tbl_Filialy[Филиал], tbl_Filialy[Менеджер])</f>
        <v>Павел Ткаченко</v>
      </c>
    </row>
    <row r="1109" spans="1:10" x14ac:dyDescent="0.3">
      <c r="A1109" t="str">
        <f>_xlfn.XLOOKUP(branches[[#This Row],[Филиал]], tbl_Filialy[Филиал], tbl_Filialy[Город])</f>
        <v>Краснодар</v>
      </c>
      <c r="B1109" s="1" t="s">
        <v>31</v>
      </c>
      <c r="C1109" s="2">
        <v>45813</v>
      </c>
      <c r="D1109" s="2" t="str">
        <f>CHOOSE(MONTH(branches[[#This Row],[Дата]]),"Январь","Февраль","Март","Апрель","Май","Июнь","Июль","Август","Сентябрь","Октябрь","Ноябрь","Декабрь")&amp;" "&amp;YEAR(branches[[#This Row],[Дата]])</f>
        <v>Июнь 2025</v>
      </c>
      <c r="E1109" t="s">
        <v>16</v>
      </c>
      <c r="F1109" t="s">
        <v>17</v>
      </c>
      <c r="G1109">
        <v>1</v>
      </c>
      <c r="H1109">
        <v>347</v>
      </c>
      <c r="I1109" t="s">
        <v>35</v>
      </c>
      <c r="J1109" t="str">
        <f>_xlfn.XLOOKUP(branches[[#This Row],[Филиал]], tbl_Filialy[Филиал], tbl_Filialy[Менеджер])</f>
        <v>Павел Ткаченко</v>
      </c>
    </row>
    <row r="1110" spans="1:10" x14ac:dyDescent="0.3">
      <c r="A1110" t="str">
        <f>_xlfn.XLOOKUP(branches[[#This Row],[Филиал]], tbl_Filialy[Филиал], tbl_Filialy[Город])</f>
        <v>Краснодар</v>
      </c>
      <c r="B1110" s="1" t="s">
        <v>31</v>
      </c>
      <c r="C1110" s="2">
        <v>45922</v>
      </c>
      <c r="D1110" s="2" t="str">
        <f>CHOOSE(MONTH(branches[[#This Row],[Дата]]),"Январь","Февраль","Март","Апрель","Май","Июнь","Июль","Август","Сентябрь","Октябрь","Ноябрь","Декабрь")&amp;" "&amp;YEAR(branches[[#This Row],[Дата]])</f>
        <v>Сентябрь 2025</v>
      </c>
      <c r="E1110" t="s">
        <v>14</v>
      </c>
      <c r="F1110" t="s">
        <v>12</v>
      </c>
      <c r="G1110">
        <v>1</v>
      </c>
      <c r="H1110">
        <v>278</v>
      </c>
      <c r="I1110" t="s">
        <v>34</v>
      </c>
      <c r="J1110" t="str">
        <f>_xlfn.XLOOKUP(branches[[#This Row],[Филиал]], tbl_Filialy[Филиал], tbl_Filialy[Менеджер])</f>
        <v>Павел Ткаченко</v>
      </c>
    </row>
    <row r="1111" spans="1:10" x14ac:dyDescent="0.3">
      <c r="A1111" t="str">
        <f>_xlfn.XLOOKUP(branches[[#This Row],[Филиал]], tbl_Filialy[Филиал], tbl_Filialy[Город])</f>
        <v>Краснодар</v>
      </c>
      <c r="B1111" s="1" t="s">
        <v>31</v>
      </c>
      <c r="C1111" s="2">
        <v>45870</v>
      </c>
      <c r="D1111" s="2" t="str">
        <f>CHOOSE(MONTH(branches[[#This Row],[Дата]]),"Январь","Февраль","Март","Апрель","Май","Июнь","Июль","Август","Сентябрь","Октябрь","Ноябрь","Декабрь")&amp;" "&amp;YEAR(branches[[#This Row],[Дата]])</f>
        <v>Август 2025</v>
      </c>
      <c r="E1111" t="s">
        <v>27</v>
      </c>
      <c r="F1111" t="s">
        <v>12</v>
      </c>
      <c r="G1111">
        <v>2</v>
      </c>
      <c r="H1111">
        <v>384</v>
      </c>
      <c r="I1111" t="s">
        <v>34</v>
      </c>
      <c r="J1111" t="str">
        <f>_xlfn.XLOOKUP(branches[[#This Row],[Филиал]], tbl_Filialy[Филиал], tbl_Filialy[Менеджер])</f>
        <v>Павел Ткаченко</v>
      </c>
    </row>
    <row r="1112" spans="1:10" x14ac:dyDescent="0.3">
      <c r="A1112" t="str">
        <f>_xlfn.XLOOKUP(branches[[#This Row],[Филиал]], tbl_Filialy[Филиал], tbl_Filialy[Город])</f>
        <v>Краснодар</v>
      </c>
      <c r="B1112" s="1" t="s">
        <v>31</v>
      </c>
      <c r="C1112" s="2">
        <v>45970</v>
      </c>
      <c r="D1112" s="2" t="str">
        <f>CHOOSE(MONTH(branches[[#This Row],[Дата]]),"Январь","Февраль","Март","Апрель","Май","Июнь","Июль","Август","Сентябрь","Октябрь","Ноябрь","Декабрь")&amp;" "&amp;YEAR(branches[[#This Row],[Дата]])</f>
        <v>Ноябрь 2025</v>
      </c>
      <c r="E1112" t="s">
        <v>25</v>
      </c>
      <c r="F1112" t="s">
        <v>12</v>
      </c>
      <c r="G1112">
        <v>1</v>
      </c>
      <c r="H1112">
        <v>200</v>
      </c>
      <c r="I1112" t="s">
        <v>19</v>
      </c>
      <c r="J1112" t="str">
        <f>_xlfn.XLOOKUP(branches[[#This Row],[Филиал]], tbl_Filialy[Филиал], tbl_Filialy[Менеджер])</f>
        <v>Павел Ткаченко</v>
      </c>
    </row>
    <row r="1113" spans="1:10" x14ac:dyDescent="0.3">
      <c r="A1113" t="str">
        <f>_xlfn.XLOOKUP(branches[[#This Row],[Филиал]], tbl_Filialy[Филиал], tbl_Filialy[Город])</f>
        <v>Краснодар</v>
      </c>
      <c r="B1113" s="1" t="s">
        <v>31</v>
      </c>
      <c r="C1113" s="2">
        <v>45927</v>
      </c>
      <c r="D1113" s="2" t="str">
        <f>CHOOSE(MONTH(branches[[#This Row],[Дата]]),"Январь","Февраль","Март","Апрель","Май","Июнь","Июль","Август","Сентябрь","Октябрь","Ноябрь","Декабрь")&amp;" "&amp;YEAR(branches[[#This Row],[Дата]])</f>
        <v>Сентябрь 2025</v>
      </c>
      <c r="E1113" t="s">
        <v>22</v>
      </c>
      <c r="F1113" t="s">
        <v>9</v>
      </c>
      <c r="G1113">
        <v>1</v>
      </c>
      <c r="H1113">
        <v>177</v>
      </c>
      <c r="I1113" t="s">
        <v>33</v>
      </c>
      <c r="J1113" t="str">
        <f>_xlfn.XLOOKUP(branches[[#This Row],[Филиал]], tbl_Filialy[Филиал], tbl_Filialy[Менеджер])</f>
        <v>Павел Ткаченко</v>
      </c>
    </row>
    <row r="1114" spans="1:10" x14ac:dyDescent="0.3">
      <c r="A1114" t="str">
        <f>_xlfn.XLOOKUP(branches[[#This Row],[Филиал]], tbl_Filialy[Филиал], tbl_Filialy[Город])</f>
        <v>Краснодар</v>
      </c>
      <c r="B1114" s="1" t="s">
        <v>31</v>
      </c>
      <c r="C1114" s="2">
        <v>45662</v>
      </c>
      <c r="D1114" s="2" t="str">
        <f>CHOOSE(MONTH(branches[[#This Row],[Дата]]),"Январь","Февраль","Март","Апрель","Май","Июнь","Июль","Август","Сентябрь","Октябрь","Ноябрь","Декабрь")&amp;" "&amp;YEAR(branches[[#This Row],[Дата]])</f>
        <v>Январь 2025</v>
      </c>
      <c r="E1114" t="s">
        <v>22</v>
      </c>
      <c r="F1114" t="s">
        <v>9</v>
      </c>
      <c r="G1114">
        <v>1</v>
      </c>
      <c r="H1114">
        <v>164</v>
      </c>
      <c r="I1114" t="s">
        <v>13</v>
      </c>
      <c r="J1114" t="str">
        <f>_xlfn.XLOOKUP(branches[[#This Row],[Филиал]], tbl_Filialy[Филиал], tbl_Filialy[Менеджер])</f>
        <v>Павел Ткаченко</v>
      </c>
    </row>
    <row r="1115" spans="1:10" x14ac:dyDescent="0.3">
      <c r="A1115" t="str">
        <f>_xlfn.XLOOKUP(branches[[#This Row],[Филиал]], tbl_Filialy[Филиал], tbl_Filialy[Город])</f>
        <v>Краснодар</v>
      </c>
      <c r="B1115" s="1" t="s">
        <v>31</v>
      </c>
      <c r="C1115" s="2">
        <v>45737</v>
      </c>
      <c r="D1115" s="2" t="str">
        <f>CHOOSE(MONTH(branches[[#This Row],[Дата]]),"Январь","Февраль","Март","Апрель","Май","Июнь","Июль","Август","Сентябрь","Октябрь","Ноябрь","Декабрь")&amp;" "&amp;YEAR(branches[[#This Row],[Дата]])</f>
        <v>Март 2025</v>
      </c>
      <c r="E1115" t="s">
        <v>24</v>
      </c>
      <c r="F1115" t="s">
        <v>17</v>
      </c>
      <c r="G1115">
        <v>3</v>
      </c>
      <c r="H1115">
        <v>1116</v>
      </c>
      <c r="I1115" t="s">
        <v>13</v>
      </c>
      <c r="J1115" t="str">
        <f>_xlfn.XLOOKUP(branches[[#This Row],[Филиал]], tbl_Filialy[Филиал], tbl_Filialy[Менеджер])</f>
        <v>Павел Ткаченко</v>
      </c>
    </row>
    <row r="1116" spans="1:10" x14ac:dyDescent="0.3">
      <c r="A1116" t="str">
        <f>_xlfn.XLOOKUP(branches[[#This Row],[Филиал]], tbl_Filialy[Филиал], tbl_Filialy[Город])</f>
        <v>Краснодар</v>
      </c>
      <c r="B1116" s="1" t="s">
        <v>31</v>
      </c>
      <c r="C1116" s="2">
        <v>45678</v>
      </c>
      <c r="D1116" s="2" t="str">
        <f>CHOOSE(MONTH(branches[[#This Row],[Дата]]),"Январь","Февраль","Март","Апрель","Май","Июнь","Июль","Август","Сентябрь","Октябрь","Ноябрь","Декабрь")&amp;" "&amp;YEAR(branches[[#This Row],[Дата]])</f>
        <v>Январь 2025</v>
      </c>
      <c r="E1116" t="s">
        <v>28</v>
      </c>
      <c r="F1116" t="s">
        <v>12</v>
      </c>
      <c r="G1116">
        <v>1</v>
      </c>
      <c r="H1116">
        <v>226</v>
      </c>
      <c r="I1116" t="s">
        <v>19</v>
      </c>
      <c r="J1116" t="str">
        <f>_xlfn.XLOOKUP(branches[[#This Row],[Филиал]], tbl_Filialy[Филиал], tbl_Filialy[Менеджер])</f>
        <v>Павел Ткаченко</v>
      </c>
    </row>
    <row r="1117" spans="1:10" x14ac:dyDescent="0.3">
      <c r="A1117" t="str">
        <f>_xlfn.XLOOKUP(branches[[#This Row],[Филиал]], tbl_Filialy[Филиал], tbl_Filialy[Город])</f>
        <v>Краснодар</v>
      </c>
      <c r="B1117" s="1" t="s">
        <v>31</v>
      </c>
      <c r="C1117" s="2">
        <v>45958</v>
      </c>
      <c r="D1117" s="2" t="str">
        <f>CHOOSE(MONTH(branches[[#This Row],[Дата]]),"Январь","Февраль","Март","Апрель","Май","Июнь","Июль","Август","Сентябрь","Октябрь","Ноябрь","Декабрь")&amp;" "&amp;YEAR(branches[[#This Row],[Дата]])</f>
        <v>Октябрь 2025</v>
      </c>
      <c r="E1117" t="s">
        <v>16</v>
      </c>
      <c r="F1117" t="s">
        <v>17</v>
      </c>
      <c r="G1117">
        <v>3</v>
      </c>
      <c r="H1117">
        <v>849</v>
      </c>
      <c r="I1117" t="s">
        <v>35</v>
      </c>
      <c r="J1117" t="str">
        <f>_xlfn.XLOOKUP(branches[[#This Row],[Филиал]], tbl_Filialy[Филиал], tbl_Filialy[Менеджер])</f>
        <v>Павел Ткаченко</v>
      </c>
    </row>
    <row r="1118" spans="1:10" x14ac:dyDescent="0.3">
      <c r="A1118" t="str">
        <f>_xlfn.XLOOKUP(branches[[#This Row],[Филиал]], tbl_Filialy[Филиал], tbl_Filialy[Город])</f>
        <v>Краснодар</v>
      </c>
      <c r="B1118" s="1" t="s">
        <v>31</v>
      </c>
      <c r="C1118" s="2">
        <v>45881</v>
      </c>
      <c r="D1118" s="2" t="str">
        <f>CHOOSE(MONTH(branches[[#This Row],[Дата]]),"Январь","Февраль","Март","Апрель","Май","Июнь","Июль","Август","Сентябрь","Октябрь","Ноябрь","Декабрь")&amp;" "&amp;YEAR(branches[[#This Row],[Дата]])</f>
        <v>Август 2025</v>
      </c>
      <c r="E1118" t="s">
        <v>27</v>
      </c>
      <c r="F1118" t="s">
        <v>12</v>
      </c>
      <c r="G1118">
        <v>3</v>
      </c>
      <c r="H1118">
        <v>717</v>
      </c>
      <c r="I1118" t="s">
        <v>35</v>
      </c>
      <c r="J1118" t="str">
        <f>_xlfn.XLOOKUP(branches[[#This Row],[Филиал]], tbl_Filialy[Филиал], tbl_Filialy[Менеджер])</f>
        <v>Павел Ткаченко</v>
      </c>
    </row>
    <row r="1119" spans="1:10" x14ac:dyDescent="0.3">
      <c r="A1119" t="str">
        <f>_xlfn.XLOOKUP(branches[[#This Row],[Филиал]], tbl_Filialy[Филиал], tbl_Filialy[Город])</f>
        <v>Краснодар</v>
      </c>
      <c r="B1119" s="1" t="s">
        <v>31</v>
      </c>
      <c r="C1119" s="2">
        <v>45822</v>
      </c>
      <c r="D1119" s="2" t="str">
        <f>CHOOSE(MONTH(branches[[#This Row],[Дата]]),"Январь","Февраль","Март","Апрель","Май","Июнь","Июль","Август","Сентябрь","Октябрь","Ноябрь","Декабрь")&amp;" "&amp;YEAR(branches[[#This Row],[Дата]])</f>
        <v>Июнь 2025</v>
      </c>
      <c r="E1119" t="s">
        <v>25</v>
      </c>
      <c r="F1119" t="s">
        <v>12</v>
      </c>
      <c r="G1119">
        <v>3</v>
      </c>
      <c r="H1119">
        <v>660</v>
      </c>
      <c r="I1119" t="s">
        <v>34</v>
      </c>
      <c r="J1119" t="str">
        <f>_xlfn.XLOOKUP(branches[[#This Row],[Филиал]], tbl_Filialy[Филиал], tbl_Filialy[Менеджер])</f>
        <v>Павел Ткаченко</v>
      </c>
    </row>
    <row r="1120" spans="1:10" x14ac:dyDescent="0.3">
      <c r="A1120" t="str">
        <f>_xlfn.XLOOKUP(branches[[#This Row],[Филиал]], tbl_Filialy[Филиал], tbl_Filialy[Город])</f>
        <v>Краснодар</v>
      </c>
      <c r="B1120" s="1" t="s">
        <v>31</v>
      </c>
      <c r="C1120" s="2">
        <v>45994</v>
      </c>
      <c r="D1120" s="2" t="str">
        <f>CHOOSE(MONTH(branches[[#This Row],[Дата]]),"Январь","Февраль","Март","Апрель","Май","Июнь","Июль","Август","Сентябрь","Октябрь","Ноябрь","Декабрь")&amp;" "&amp;YEAR(branches[[#This Row],[Дата]])</f>
        <v>Декабрь 2025</v>
      </c>
      <c r="E1120" t="s">
        <v>25</v>
      </c>
      <c r="F1120" t="s">
        <v>12</v>
      </c>
      <c r="G1120">
        <v>2</v>
      </c>
      <c r="H1120">
        <v>414</v>
      </c>
      <c r="I1120" t="s">
        <v>19</v>
      </c>
      <c r="J1120" t="str">
        <f>_xlfn.XLOOKUP(branches[[#This Row],[Филиал]], tbl_Filialy[Филиал], tbl_Filialy[Менеджер])</f>
        <v>Павел Ткаченко</v>
      </c>
    </row>
    <row r="1121" spans="1:10" x14ac:dyDescent="0.3">
      <c r="A1121" t="str">
        <f>_xlfn.XLOOKUP(branches[[#This Row],[Филиал]], tbl_Filialy[Филиал], tbl_Filialy[Город])</f>
        <v>Краснодар</v>
      </c>
      <c r="B1121" s="1" t="s">
        <v>31</v>
      </c>
      <c r="C1121" s="2">
        <v>45856</v>
      </c>
      <c r="D1121" s="2" t="str">
        <f>CHOOSE(MONTH(branches[[#This Row],[Дата]]),"Январь","Февраль","Март","Апрель","Май","Июнь","Июль","Август","Сентябрь","Октябрь","Ноябрь","Декабрь")&amp;" "&amp;YEAR(branches[[#This Row],[Дата]])</f>
        <v>Июль 2025</v>
      </c>
      <c r="E1121" t="s">
        <v>14</v>
      </c>
      <c r="F1121" t="s">
        <v>12</v>
      </c>
      <c r="G1121">
        <v>2</v>
      </c>
      <c r="H1121">
        <v>564</v>
      </c>
      <c r="I1121" t="s">
        <v>33</v>
      </c>
      <c r="J1121" t="str">
        <f>_xlfn.XLOOKUP(branches[[#This Row],[Филиал]], tbl_Filialy[Филиал], tbl_Filialy[Менеджер])</f>
        <v>Павел Ткаченко</v>
      </c>
    </row>
    <row r="1122" spans="1:10" x14ac:dyDescent="0.3">
      <c r="A1122" t="str">
        <f>_xlfn.XLOOKUP(branches[[#This Row],[Филиал]], tbl_Filialy[Филиал], tbl_Filialy[Город])</f>
        <v>Краснодар</v>
      </c>
      <c r="B1122" s="1" t="s">
        <v>31</v>
      </c>
      <c r="C1122" s="2">
        <v>45894</v>
      </c>
      <c r="D1122" s="2" t="str">
        <f>CHOOSE(MONTH(branches[[#This Row],[Дата]]),"Январь","Февраль","Март","Апрель","Май","Июнь","Июль","Август","Сентябрь","Октябрь","Ноябрь","Декабрь")&amp;" "&amp;YEAR(branches[[#This Row],[Дата]])</f>
        <v>Август 2025</v>
      </c>
      <c r="E1122" t="s">
        <v>24</v>
      </c>
      <c r="F1122" t="s">
        <v>17</v>
      </c>
      <c r="G1122">
        <v>1</v>
      </c>
      <c r="H1122">
        <v>419</v>
      </c>
      <c r="I1122" t="s">
        <v>33</v>
      </c>
      <c r="J1122" t="str">
        <f>_xlfn.XLOOKUP(branches[[#This Row],[Филиал]], tbl_Filialy[Филиал], tbl_Filialy[Менеджер])</f>
        <v>Павел Ткаченко</v>
      </c>
    </row>
    <row r="1123" spans="1:10" x14ac:dyDescent="0.3">
      <c r="A1123" t="str">
        <f>_xlfn.XLOOKUP(branches[[#This Row],[Филиал]], tbl_Filialy[Филиал], tbl_Filialy[Город])</f>
        <v>Краснодар</v>
      </c>
      <c r="B1123" s="1" t="s">
        <v>31</v>
      </c>
      <c r="C1123" s="2">
        <v>45704</v>
      </c>
      <c r="D1123" s="2" t="str">
        <f>CHOOSE(MONTH(branches[[#This Row],[Дата]]),"Январь","Февраль","Март","Апрель","Май","Июнь","Июль","Август","Сентябрь","Октябрь","Ноябрь","Декабрь")&amp;" "&amp;YEAR(branches[[#This Row],[Дата]])</f>
        <v>Февраль 2025</v>
      </c>
      <c r="E1123" t="s">
        <v>27</v>
      </c>
      <c r="F1123" t="s">
        <v>12</v>
      </c>
      <c r="G1123">
        <v>2</v>
      </c>
      <c r="H1123">
        <v>364</v>
      </c>
      <c r="I1123" t="s">
        <v>19</v>
      </c>
      <c r="J1123" t="str">
        <f>_xlfn.XLOOKUP(branches[[#This Row],[Филиал]], tbl_Filialy[Филиал], tbl_Filialy[Менеджер])</f>
        <v>Павел Ткаченко</v>
      </c>
    </row>
    <row r="1124" spans="1:10" x14ac:dyDescent="0.3">
      <c r="A1124" t="str">
        <f>_xlfn.XLOOKUP(branches[[#This Row],[Филиал]], tbl_Filialy[Филиал], tbl_Filialy[Город])</f>
        <v>Краснодар</v>
      </c>
      <c r="B1124" s="1" t="s">
        <v>31</v>
      </c>
      <c r="C1124" s="2">
        <v>45691</v>
      </c>
      <c r="D1124" s="2" t="str">
        <f>CHOOSE(MONTH(branches[[#This Row],[Дата]]),"Январь","Февраль","Март","Апрель","Май","Июнь","Июль","Август","Сентябрь","Октябрь","Ноябрь","Декабрь")&amp;" "&amp;YEAR(branches[[#This Row],[Дата]])</f>
        <v>Февраль 2025</v>
      </c>
      <c r="E1124" t="s">
        <v>11</v>
      </c>
      <c r="F1124" t="s">
        <v>12</v>
      </c>
      <c r="G1124">
        <v>1</v>
      </c>
      <c r="H1124">
        <v>152</v>
      </c>
      <c r="I1124" t="s">
        <v>35</v>
      </c>
      <c r="J1124" t="str">
        <f>_xlfn.XLOOKUP(branches[[#This Row],[Филиал]], tbl_Filialy[Филиал], tbl_Filialy[Менеджер])</f>
        <v>Павел Ткаченко</v>
      </c>
    </row>
    <row r="1125" spans="1:10" x14ac:dyDescent="0.3">
      <c r="A1125" t="str">
        <f>_xlfn.XLOOKUP(branches[[#This Row],[Филиал]], tbl_Filialy[Филиал], tbl_Filialy[Город])</f>
        <v>Краснодар</v>
      </c>
      <c r="B1125" s="1" t="s">
        <v>31</v>
      </c>
      <c r="C1125" s="2">
        <v>45934</v>
      </c>
      <c r="D1125" s="2" t="str">
        <f>CHOOSE(MONTH(branches[[#This Row],[Дата]]),"Январь","Февраль","Март","Апрель","Май","Июнь","Июль","Август","Сентябрь","Октябрь","Ноябрь","Декабрь")&amp;" "&amp;YEAR(branches[[#This Row],[Дата]])</f>
        <v>Октябрь 2025</v>
      </c>
      <c r="E1125" t="s">
        <v>25</v>
      </c>
      <c r="F1125" t="s">
        <v>12</v>
      </c>
      <c r="G1125">
        <v>1</v>
      </c>
      <c r="H1125">
        <v>228</v>
      </c>
      <c r="I1125" t="s">
        <v>34</v>
      </c>
      <c r="J1125" t="str">
        <f>_xlfn.XLOOKUP(branches[[#This Row],[Филиал]], tbl_Filialy[Филиал], tbl_Filialy[Менеджер])</f>
        <v>Павел Ткаченко</v>
      </c>
    </row>
    <row r="1126" spans="1:10" x14ac:dyDescent="0.3">
      <c r="A1126" t="str">
        <f>_xlfn.XLOOKUP(branches[[#This Row],[Филиал]], tbl_Filialy[Филиал], tbl_Filialy[Город])</f>
        <v>Краснодар</v>
      </c>
      <c r="B1126" s="1" t="s">
        <v>31</v>
      </c>
      <c r="C1126" s="2">
        <v>45932</v>
      </c>
      <c r="D1126" s="2" t="str">
        <f>CHOOSE(MONTH(branches[[#This Row],[Дата]]),"Январь","Февраль","Март","Апрель","Май","Июнь","Июль","Август","Сентябрь","Октябрь","Ноябрь","Декабрь")&amp;" "&amp;YEAR(branches[[#This Row],[Дата]])</f>
        <v>Октябрь 2025</v>
      </c>
      <c r="E1126" t="s">
        <v>27</v>
      </c>
      <c r="F1126" t="s">
        <v>12</v>
      </c>
      <c r="G1126">
        <v>1</v>
      </c>
      <c r="H1126">
        <v>218</v>
      </c>
      <c r="I1126" t="s">
        <v>19</v>
      </c>
      <c r="J1126" t="str">
        <f>_xlfn.XLOOKUP(branches[[#This Row],[Филиал]], tbl_Filialy[Филиал], tbl_Filialy[Менеджер])</f>
        <v>Павел Ткаченко</v>
      </c>
    </row>
    <row r="1127" spans="1:10" x14ac:dyDescent="0.3">
      <c r="A1127" t="str">
        <f>_xlfn.XLOOKUP(branches[[#This Row],[Филиал]], tbl_Filialy[Филиал], tbl_Filialy[Город])</f>
        <v>Краснодар</v>
      </c>
      <c r="B1127" s="1" t="s">
        <v>31</v>
      </c>
      <c r="C1127" s="2">
        <v>45693</v>
      </c>
      <c r="D1127" s="2" t="str">
        <f>CHOOSE(MONTH(branches[[#This Row],[Дата]]),"Январь","Февраль","Март","Апрель","Май","Июнь","Июль","Август","Сентябрь","Октябрь","Ноябрь","Декабрь")&amp;" "&amp;YEAR(branches[[#This Row],[Дата]])</f>
        <v>Февраль 2025</v>
      </c>
      <c r="E1127" t="s">
        <v>24</v>
      </c>
      <c r="F1127" t="s">
        <v>17</v>
      </c>
      <c r="G1127">
        <v>2</v>
      </c>
      <c r="H1127">
        <v>808</v>
      </c>
      <c r="I1127" t="s">
        <v>32</v>
      </c>
      <c r="J1127" t="str">
        <f>_xlfn.XLOOKUP(branches[[#This Row],[Филиал]], tbl_Filialy[Филиал], tbl_Filialy[Менеджер])</f>
        <v>Павел Ткаченко</v>
      </c>
    </row>
    <row r="1128" spans="1:10" x14ac:dyDescent="0.3">
      <c r="A1128" t="str">
        <f>_xlfn.XLOOKUP(branches[[#This Row],[Филиал]], tbl_Filialy[Филиал], tbl_Filialy[Город])</f>
        <v>Краснодар</v>
      </c>
      <c r="B1128" s="1" t="s">
        <v>31</v>
      </c>
      <c r="C1128" s="2">
        <v>45954</v>
      </c>
      <c r="D1128" s="2" t="str">
        <f>CHOOSE(MONTH(branches[[#This Row],[Дата]]),"Январь","Февраль","Март","Апрель","Май","Июнь","Июль","Август","Сентябрь","Октябрь","Ноябрь","Декабрь")&amp;" "&amp;YEAR(branches[[#This Row],[Дата]])</f>
        <v>Октябрь 2025</v>
      </c>
      <c r="E1128" t="s">
        <v>27</v>
      </c>
      <c r="F1128" t="s">
        <v>12</v>
      </c>
      <c r="G1128">
        <v>1</v>
      </c>
      <c r="H1128">
        <v>226</v>
      </c>
      <c r="I1128" t="s">
        <v>13</v>
      </c>
      <c r="J1128" t="str">
        <f>_xlfn.XLOOKUP(branches[[#This Row],[Филиал]], tbl_Filialy[Филиал], tbl_Filialy[Менеджер])</f>
        <v>Павел Ткаченко</v>
      </c>
    </row>
    <row r="1129" spans="1:10" x14ac:dyDescent="0.3">
      <c r="A1129" t="str">
        <f>_xlfn.XLOOKUP(branches[[#This Row],[Филиал]], tbl_Filialy[Филиал], tbl_Filialy[Город])</f>
        <v>Краснодар</v>
      </c>
      <c r="B1129" s="1" t="s">
        <v>31</v>
      </c>
      <c r="C1129" s="2">
        <v>45813</v>
      </c>
      <c r="D1129" s="2" t="str">
        <f>CHOOSE(MONTH(branches[[#This Row],[Дата]]),"Январь","Февраль","Март","Апрель","Май","Июнь","Июль","Август","Сентябрь","Октябрь","Ноябрь","Декабрь")&amp;" "&amp;YEAR(branches[[#This Row],[Дата]])</f>
        <v>Июнь 2025</v>
      </c>
      <c r="E1129" t="s">
        <v>18</v>
      </c>
      <c r="F1129" t="s">
        <v>12</v>
      </c>
      <c r="G1129">
        <v>1</v>
      </c>
      <c r="H1129">
        <v>149</v>
      </c>
      <c r="I1129" t="s">
        <v>35</v>
      </c>
      <c r="J1129" t="str">
        <f>_xlfn.XLOOKUP(branches[[#This Row],[Филиал]], tbl_Filialy[Филиал], tbl_Filialy[Менеджер])</f>
        <v>Павел Ткаченко</v>
      </c>
    </row>
    <row r="1130" spans="1:10" x14ac:dyDescent="0.3">
      <c r="A1130" t="str">
        <f>_xlfn.XLOOKUP(branches[[#This Row],[Филиал]], tbl_Filialy[Филиал], tbl_Filialy[Город])</f>
        <v>Краснодар</v>
      </c>
      <c r="B1130" s="1" t="s">
        <v>31</v>
      </c>
      <c r="C1130" s="2">
        <v>45879</v>
      </c>
      <c r="D1130" s="2" t="str">
        <f>CHOOSE(MONTH(branches[[#This Row],[Дата]]),"Январь","Февраль","Март","Апрель","Май","Июнь","Июль","Август","Сентябрь","Октябрь","Ноябрь","Декабрь")&amp;" "&amp;YEAR(branches[[#This Row],[Дата]])</f>
        <v>Август 2025</v>
      </c>
      <c r="E1130" t="s">
        <v>18</v>
      </c>
      <c r="F1130" t="s">
        <v>12</v>
      </c>
      <c r="G1130">
        <v>1</v>
      </c>
      <c r="H1130">
        <v>137</v>
      </c>
      <c r="I1130" t="s">
        <v>34</v>
      </c>
      <c r="J1130" t="str">
        <f>_xlfn.XLOOKUP(branches[[#This Row],[Филиал]], tbl_Filialy[Филиал], tbl_Filialy[Менеджер])</f>
        <v>Павел Ткаченко</v>
      </c>
    </row>
    <row r="1131" spans="1:10" x14ac:dyDescent="0.3">
      <c r="A1131" t="str">
        <f>_xlfn.XLOOKUP(branches[[#This Row],[Филиал]], tbl_Filialy[Филиал], tbl_Filialy[Город])</f>
        <v>Краснодар</v>
      </c>
      <c r="B1131" s="1" t="s">
        <v>31</v>
      </c>
      <c r="C1131" s="2">
        <v>45702</v>
      </c>
      <c r="D1131" s="2" t="str">
        <f>CHOOSE(MONTH(branches[[#This Row],[Дата]]),"Январь","Февраль","Март","Апрель","Май","Июнь","Июль","Август","Сентябрь","Октябрь","Ноябрь","Декабрь")&amp;" "&amp;YEAR(branches[[#This Row],[Дата]])</f>
        <v>Февраль 2025</v>
      </c>
      <c r="E1131" t="s">
        <v>20</v>
      </c>
      <c r="F1131" t="s">
        <v>12</v>
      </c>
      <c r="G1131">
        <v>1</v>
      </c>
      <c r="H1131">
        <v>283</v>
      </c>
      <c r="I1131" t="s">
        <v>34</v>
      </c>
      <c r="J1131" t="str">
        <f>_xlfn.XLOOKUP(branches[[#This Row],[Филиал]], tbl_Filialy[Филиал], tbl_Filialy[Менеджер])</f>
        <v>Павел Ткаченко</v>
      </c>
    </row>
    <row r="1132" spans="1:10" x14ac:dyDescent="0.3">
      <c r="A1132" t="str">
        <f>_xlfn.XLOOKUP(branches[[#This Row],[Филиал]], tbl_Filialy[Филиал], tbl_Filialy[Город])</f>
        <v>Краснодар</v>
      </c>
      <c r="B1132" s="1" t="s">
        <v>31</v>
      </c>
      <c r="C1132" s="2">
        <v>45662</v>
      </c>
      <c r="D1132" s="2" t="str">
        <f>CHOOSE(MONTH(branches[[#This Row],[Дата]]),"Январь","Февраль","Март","Апрель","Май","Июнь","Июль","Август","Сентябрь","Октябрь","Ноябрь","Декабрь")&amp;" "&amp;YEAR(branches[[#This Row],[Дата]])</f>
        <v>Январь 2025</v>
      </c>
      <c r="E1132" t="s">
        <v>14</v>
      </c>
      <c r="F1132" t="s">
        <v>12</v>
      </c>
      <c r="G1132">
        <v>1</v>
      </c>
      <c r="H1132">
        <v>267</v>
      </c>
      <c r="I1132" t="s">
        <v>32</v>
      </c>
      <c r="J1132" t="str">
        <f>_xlfn.XLOOKUP(branches[[#This Row],[Филиал]], tbl_Filialy[Филиал], tbl_Filialy[Менеджер])</f>
        <v>Павел Ткаченко</v>
      </c>
    </row>
    <row r="1133" spans="1:10" x14ac:dyDescent="0.3">
      <c r="A1133" t="str">
        <f>_xlfn.XLOOKUP(branches[[#This Row],[Филиал]], tbl_Filialy[Филиал], tbl_Filialy[Город])</f>
        <v>Краснодар</v>
      </c>
      <c r="B1133" s="1" t="s">
        <v>31</v>
      </c>
      <c r="C1133" s="2">
        <v>45994</v>
      </c>
      <c r="D1133" s="2" t="str">
        <f>CHOOSE(MONTH(branches[[#This Row],[Дата]]),"Январь","Февраль","Март","Апрель","Май","Июнь","Июль","Август","Сентябрь","Октябрь","Ноябрь","Декабрь")&amp;" "&amp;YEAR(branches[[#This Row],[Дата]])</f>
        <v>Декабрь 2025</v>
      </c>
      <c r="E1133" t="s">
        <v>14</v>
      </c>
      <c r="F1133" t="s">
        <v>12</v>
      </c>
      <c r="G1133">
        <v>3</v>
      </c>
      <c r="H1133">
        <v>804</v>
      </c>
      <c r="I1133" t="s">
        <v>35</v>
      </c>
      <c r="J1133" t="str">
        <f>_xlfn.XLOOKUP(branches[[#This Row],[Филиал]], tbl_Filialy[Филиал], tbl_Filialy[Менеджер])</f>
        <v>Павел Ткаченко</v>
      </c>
    </row>
    <row r="1134" spans="1:10" x14ac:dyDescent="0.3">
      <c r="A1134" t="str">
        <f>_xlfn.XLOOKUP(branches[[#This Row],[Филиал]], tbl_Filialy[Филиал], tbl_Filialy[Город])</f>
        <v>Краснодар</v>
      </c>
      <c r="B1134" s="1" t="s">
        <v>31</v>
      </c>
      <c r="C1134" s="2">
        <v>45907</v>
      </c>
      <c r="D1134" s="2" t="str">
        <f>CHOOSE(MONTH(branches[[#This Row],[Дата]]),"Январь","Февраль","Март","Апрель","Май","Июнь","Июль","Август","Сентябрь","Октябрь","Ноябрь","Декабрь")&amp;" "&amp;YEAR(branches[[#This Row],[Дата]])</f>
        <v>Сентябрь 2025</v>
      </c>
      <c r="E1134" t="s">
        <v>18</v>
      </c>
      <c r="F1134" t="s">
        <v>12</v>
      </c>
      <c r="G1134">
        <v>3</v>
      </c>
      <c r="H1134">
        <v>399</v>
      </c>
      <c r="I1134" t="s">
        <v>32</v>
      </c>
      <c r="J1134" t="str">
        <f>_xlfn.XLOOKUP(branches[[#This Row],[Филиал]], tbl_Filialy[Филиал], tbl_Filialy[Менеджер])</f>
        <v>Павел Ткаченко</v>
      </c>
    </row>
    <row r="1135" spans="1:10" x14ac:dyDescent="0.3">
      <c r="A1135" t="str">
        <f>_xlfn.XLOOKUP(branches[[#This Row],[Филиал]], tbl_Filialy[Филиал], tbl_Filialy[Город])</f>
        <v>Краснодар</v>
      </c>
      <c r="B1135" s="1" t="s">
        <v>31</v>
      </c>
      <c r="C1135" s="2">
        <v>46010</v>
      </c>
      <c r="D1135" s="2" t="str">
        <f>CHOOSE(MONTH(branches[[#This Row],[Дата]]),"Январь","Февраль","Март","Апрель","Май","Июнь","Июль","Август","Сентябрь","Октябрь","Ноябрь","Декабрь")&amp;" "&amp;YEAR(branches[[#This Row],[Дата]])</f>
        <v>Декабрь 2025</v>
      </c>
      <c r="E1135" t="s">
        <v>26</v>
      </c>
      <c r="F1135" t="s">
        <v>9</v>
      </c>
      <c r="G1135">
        <v>2</v>
      </c>
      <c r="H1135">
        <v>450</v>
      </c>
      <c r="I1135" t="s">
        <v>13</v>
      </c>
      <c r="J1135" t="str">
        <f>_xlfn.XLOOKUP(branches[[#This Row],[Филиал]], tbl_Filialy[Филиал], tbl_Filialy[Менеджер])</f>
        <v>Павел Ткаченко</v>
      </c>
    </row>
    <row r="1136" spans="1:10" x14ac:dyDescent="0.3">
      <c r="A1136" t="str">
        <f>_xlfn.XLOOKUP(branches[[#This Row],[Филиал]], tbl_Filialy[Филиал], tbl_Filialy[Город])</f>
        <v>Краснодар</v>
      </c>
      <c r="B1136" s="1" t="s">
        <v>31</v>
      </c>
      <c r="C1136" s="2">
        <v>45810</v>
      </c>
      <c r="D1136" s="2" t="str">
        <f>CHOOSE(MONTH(branches[[#This Row],[Дата]]),"Январь","Февраль","Март","Апрель","Май","Июнь","Июль","Август","Сентябрь","Октябрь","Ноябрь","Декабрь")&amp;" "&amp;YEAR(branches[[#This Row],[Дата]])</f>
        <v>Июнь 2025</v>
      </c>
      <c r="E1136" t="s">
        <v>16</v>
      </c>
      <c r="F1136" t="s">
        <v>17</v>
      </c>
      <c r="G1136">
        <v>1</v>
      </c>
      <c r="H1136">
        <v>320</v>
      </c>
      <c r="I1136" t="s">
        <v>33</v>
      </c>
      <c r="J1136" t="str">
        <f>_xlfn.XLOOKUP(branches[[#This Row],[Филиал]], tbl_Filialy[Филиал], tbl_Filialy[Менеджер])</f>
        <v>Павел Ткаченко</v>
      </c>
    </row>
    <row r="1137" spans="1:10" x14ac:dyDescent="0.3">
      <c r="A1137" t="str">
        <f>_xlfn.XLOOKUP(branches[[#This Row],[Филиал]], tbl_Filialy[Филиал], tbl_Filialy[Город])</f>
        <v>Краснодар</v>
      </c>
      <c r="B1137" s="1" t="s">
        <v>31</v>
      </c>
      <c r="C1137" s="2">
        <v>45690</v>
      </c>
      <c r="D1137" s="2" t="str">
        <f>CHOOSE(MONTH(branches[[#This Row],[Дата]]),"Январь","Февраль","Март","Апрель","Май","Июнь","Июль","Август","Сентябрь","Октябрь","Ноябрь","Декабрь")&amp;" "&amp;YEAR(branches[[#This Row],[Дата]])</f>
        <v>Февраль 2025</v>
      </c>
      <c r="E1137" t="s">
        <v>16</v>
      </c>
      <c r="F1137" t="s">
        <v>17</v>
      </c>
      <c r="G1137">
        <v>2</v>
      </c>
      <c r="H1137">
        <v>710</v>
      </c>
      <c r="I1137" t="s">
        <v>35</v>
      </c>
      <c r="J1137" t="str">
        <f>_xlfn.XLOOKUP(branches[[#This Row],[Филиал]], tbl_Filialy[Филиал], tbl_Filialy[Менеджер])</f>
        <v>Павел Ткаченко</v>
      </c>
    </row>
    <row r="1138" spans="1:10" x14ac:dyDescent="0.3">
      <c r="A1138" t="str">
        <f>_xlfn.XLOOKUP(branches[[#This Row],[Филиал]], tbl_Filialy[Филиал], tbl_Filialy[Город])</f>
        <v>Краснодар</v>
      </c>
      <c r="B1138" s="1" t="s">
        <v>31</v>
      </c>
      <c r="C1138" s="2">
        <v>45697</v>
      </c>
      <c r="D1138" s="2" t="str">
        <f>CHOOSE(MONTH(branches[[#This Row],[Дата]]),"Январь","Февраль","Март","Апрель","Май","Июнь","Июль","Август","Сентябрь","Октябрь","Ноябрь","Декабрь")&amp;" "&amp;YEAR(branches[[#This Row],[Дата]])</f>
        <v>Февраль 2025</v>
      </c>
      <c r="E1138" t="s">
        <v>14</v>
      </c>
      <c r="F1138" t="s">
        <v>12</v>
      </c>
      <c r="G1138">
        <v>1</v>
      </c>
      <c r="H1138">
        <v>272</v>
      </c>
      <c r="I1138" t="s">
        <v>13</v>
      </c>
      <c r="J1138" t="str">
        <f>_xlfn.XLOOKUP(branches[[#This Row],[Филиал]], tbl_Filialy[Филиал], tbl_Filialy[Менеджер])</f>
        <v>Павел Ткаченко</v>
      </c>
    </row>
    <row r="1139" spans="1:10" x14ac:dyDescent="0.3">
      <c r="A1139" t="str">
        <f>_xlfn.XLOOKUP(branches[[#This Row],[Филиал]], tbl_Filialy[Филиал], tbl_Filialy[Город])</f>
        <v>Краснодар</v>
      </c>
      <c r="B1139" s="1" t="s">
        <v>31</v>
      </c>
      <c r="C1139" s="2">
        <v>45760</v>
      </c>
      <c r="D1139" s="2" t="str">
        <f>CHOOSE(MONTH(branches[[#This Row],[Дата]]),"Январь","Февраль","Март","Апрель","Май","Июнь","Июль","Август","Сентябрь","Октябрь","Ноябрь","Декабрь")&amp;" "&amp;YEAR(branches[[#This Row],[Дата]])</f>
        <v>Апрель 2025</v>
      </c>
      <c r="E1139" t="s">
        <v>26</v>
      </c>
      <c r="F1139" t="s">
        <v>9</v>
      </c>
      <c r="G1139">
        <v>3</v>
      </c>
      <c r="H1139">
        <v>684</v>
      </c>
      <c r="I1139" t="s">
        <v>13</v>
      </c>
      <c r="J1139" t="str">
        <f>_xlfn.XLOOKUP(branches[[#This Row],[Филиал]], tbl_Filialy[Филиал], tbl_Filialy[Менеджер])</f>
        <v>Павел Ткаченко</v>
      </c>
    </row>
    <row r="1140" spans="1:10" x14ac:dyDescent="0.3">
      <c r="A1140" t="str">
        <f>_xlfn.XLOOKUP(branches[[#This Row],[Филиал]], tbl_Filialy[Филиал], tbl_Filialy[Город])</f>
        <v>Краснодар</v>
      </c>
      <c r="B1140" s="1" t="s">
        <v>31</v>
      </c>
      <c r="C1140" s="2">
        <v>45668</v>
      </c>
      <c r="D1140" s="2" t="str">
        <f>CHOOSE(MONTH(branches[[#This Row],[Дата]]),"Январь","Февраль","Март","Апрель","Май","Июнь","Июль","Август","Сентябрь","Октябрь","Ноябрь","Декабрь")&amp;" "&amp;YEAR(branches[[#This Row],[Дата]])</f>
        <v>Январь 2025</v>
      </c>
      <c r="E1140" t="s">
        <v>26</v>
      </c>
      <c r="F1140" t="s">
        <v>9</v>
      </c>
      <c r="G1140">
        <v>2</v>
      </c>
      <c r="H1140">
        <v>466</v>
      </c>
      <c r="I1140" t="s">
        <v>19</v>
      </c>
      <c r="J1140" t="str">
        <f>_xlfn.XLOOKUP(branches[[#This Row],[Филиал]], tbl_Filialy[Филиал], tbl_Filialy[Менеджер])</f>
        <v>Павел Ткаченко</v>
      </c>
    </row>
    <row r="1141" spans="1:10" x14ac:dyDescent="0.3">
      <c r="A1141" t="str">
        <f>_xlfn.XLOOKUP(branches[[#This Row],[Филиал]], tbl_Filialy[Филиал], tbl_Filialy[Город])</f>
        <v>Краснодар</v>
      </c>
      <c r="B1141" s="1" t="s">
        <v>31</v>
      </c>
      <c r="C1141" s="2">
        <v>45864</v>
      </c>
      <c r="D1141" s="2" t="str">
        <f>CHOOSE(MONTH(branches[[#This Row],[Дата]]),"Январь","Февраль","Март","Апрель","Май","Июнь","Июль","Август","Сентябрь","Октябрь","Ноябрь","Декабрь")&amp;" "&amp;YEAR(branches[[#This Row],[Дата]])</f>
        <v>Июль 2025</v>
      </c>
      <c r="E1141" t="s">
        <v>25</v>
      </c>
      <c r="F1141" t="s">
        <v>12</v>
      </c>
      <c r="G1141">
        <v>2</v>
      </c>
      <c r="H1141">
        <v>470</v>
      </c>
      <c r="I1141" t="s">
        <v>19</v>
      </c>
      <c r="J1141" t="str">
        <f>_xlfn.XLOOKUP(branches[[#This Row],[Филиал]], tbl_Filialy[Филиал], tbl_Filialy[Менеджер])</f>
        <v>Павел Ткаченко</v>
      </c>
    </row>
    <row r="1142" spans="1:10" x14ac:dyDescent="0.3">
      <c r="A1142" t="str">
        <f>_xlfn.XLOOKUP(branches[[#This Row],[Филиал]], tbl_Filialy[Филиал], tbl_Filialy[Город])</f>
        <v>Краснодар</v>
      </c>
      <c r="B1142" s="1" t="s">
        <v>31</v>
      </c>
      <c r="C1142" s="2">
        <v>45875</v>
      </c>
      <c r="D1142" s="2" t="str">
        <f>CHOOSE(MONTH(branches[[#This Row],[Дата]]),"Январь","Февраль","Март","Апрель","Май","Июнь","Июль","Август","Сентябрь","Октябрь","Ноябрь","Декабрь")&amp;" "&amp;YEAR(branches[[#This Row],[Дата]])</f>
        <v>Август 2025</v>
      </c>
      <c r="E1142" t="s">
        <v>8</v>
      </c>
      <c r="F1142" t="s">
        <v>9</v>
      </c>
      <c r="G1142">
        <v>1</v>
      </c>
      <c r="H1142">
        <v>236</v>
      </c>
      <c r="I1142" t="s">
        <v>34</v>
      </c>
      <c r="J1142" t="str">
        <f>_xlfn.XLOOKUP(branches[[#This Row],[Филиал]], tbl_Filialy[Филиал], tbl_Filialy[Менеджер])</f>
        <v>Павел Ткаченко</v>
      </c>
    </row>
    <row r="1143" spans="1:10" x14ac:dyDescent="0.3">
      <c r="A1143" t="str">
        <f>_xlfn.XLOOKUP(branches[[#This Row],[Филиал]], tbl_Filialy[Филиал], tbl_Filialy[Город])</f>
        <v>Краснодар</v>
      </c>
      <c r="B1143" s="1" t="s">
        <v>31</v>
      </c>
      <c r="C1143" s="2">
        <v>46018</v>
      </c>
      <c r="D1143" s="2" t="str">
        <f>CHOOSE(MONTH(branches[[#This Row],[Дата]]),"Январь","Февраль","Март","Апрель","Май","Июнь","Июль","Август","Сентябрь","Октябрь","Ноябрь","Декабрь")&amp;" "&amp;YEAR(branches[[#This Row],[Дата]])</f>
        <v>Декабрь 2025</v>
      </c>
      <c r="E1143" t="s">
        <v>24</v>
      </c>
      <c r="F1143" t="s">
        <v>17</v>
      </c>
      <c r="G1143">
        <v>2</v>
      </c>
      <c r="H1143">
        <v>830</v>
      </c>
      <c r="I1143" t="s">
        <v>33</v>
      </c>
      <c r="J1143" t="str">
        <f>_xlfn.XLOOKUP(branches[[#This Row],[Филиал]], tbl_Filialy[Филиал], tbl_Filialy[Менеджер])</f>
        <v>Павел Ткаченко</v>
      </c>
    </row>
    <row r="1144" spans="1:10" x14ac:dyDescent="0.3">
      <c r="A1144" t="str">
        <f>_xlfn.XLOOKUP(branches[[#This Row],[Филиал]], tbl_Filialy[Филиал], tbl_Filialy[Город])</f>
        <v>Краснодар</v>
      </c>
      <c r="B1144" s="1" t="s">
        <v>31</v>
      </c>
      <c r="C1144" s="2">
        <v>45751</v>
      </c>
      <c r="D1144" s="2" t="str">
        <f>CHOOSE(MONTH(branches[[#This Row],[Дата]]),"Январь","Февраль","Март","Апрель","Май","Июнь","Июль","Август","Сентябрь","Октябрь","Ноябрь","Декабрь")&amp;" "&amp;YEAR(branches[[#This Row],[Дата]])</f>
        <v>Апрель 2025</v>
      </c>
      <c r="E1144" t="s">
        <v>27</v>
      </c>
      <c r="F1144" t="s">
        <v>12</v>
      </c>
      <c r="G1144">
        <v>1</v>
      </c>
      <c r="H1144">
        <v>197</v>
      </c>
      <c r="I1144" t="s">
        <v>34</v>
      </c>
      <c r="J1144" t="str">
        <f>_xlfn.XLOOKUP(branches[[#This Row],[Филиал]], tbl_Filialy[Филиал], tbl_Filialy[Менеджер])</f>
        <v>Павел Ткаченко</v>
      </c>
    </row>
    <row r="1145" spans="1:10" x14ac:dyDescent="0.3">
      <c r="A1145" t="str">
        <f>_xlfn.XLOOKUP(branches[[#This Row],[Филиал]], tbl_Filialy[Филиал], tbl_Filialy[Город])</f>
        <v>Краснодар</v>
      </c>
      <c r="B1145" s="1" t="s">
        <v>31</v>
      </c>
      <c r="C1145" s="2">
        <v>45756</v>
      </c>
      <c r="D1145" s="2" t="str">
        <f>CHOOSE(MONTH(branches[[#This Row],[Дата]]),"Январь","Февраль","Март","Апрель","Май","Июнь","Июль","Август","Сентябрь","Октябрь","Ноябрь","Декабрь")&amp;" "&amp;YEAR(branches[[#This Row],[Дата]])</f>
        <v>Апрель 2025</v>
      </c>
      <c r="E1145" t="s">
        <v>8</v>
      </c>
      <c r="F1145" t="s">
        <v>9</v>
      </c>
      <c r="G1145">
        <v>2</v>
      </c>
      <c r="H1145">
        <v>544</v>
      </c>
      <c r="I1145" t="s">
        <v>34</v>
      </c>
      <c r="J1145" t="str">
        <f>_xlfn.XLOOKUP(branches[[#This Row],[Филиал]], tbl_Filialy[Филиал], tbl_Filialy[Менеджер])</f>
        <v>Павел Ткаченко</v>
      </c>
    </row>
    <row r="1146" spans="1:10" x14ac:dyDescent="0.3">
      <c r="A1146" t="str">
        <f>_xlfn.XLOOKUP(branches[[#This Row],[Филиал]], tbl_Filialy[Филиал], tbl_Filialy[Город])</f>
        <v>Краснодар</v>
      </c>
      <c r="B1146" s="1" t="s">
        <v>31</v>
      </c>
      <c r="C1146" s="2">
        <v>45966</v>
      </c>
      <c r="D1146" s="2" t="str">
        <f>CHOOSE(MONTH(branches[[#This Row],[Дата]]),"Январь","Февраль","Март","Апрель","Май","Июнь","Июль","Август","Сентябрь","Октябрь","Ноябрь","Декабрь")&amp;" "&amp;YEAR(branches[[#This Row],[Дата]])</f>
        <v>Ноябрь 2025</v>
      </c>
      <c r="E1146" t="s">
        <v>14</v>
      </c>
      <c r="F1146" t="s">
        <v>12</v>
      </c>
      <c r="G1146">
        <v>1</v>
      </c>
      <c r="H1146">
        <v>276</v>
      </c>
      <c r="I1146" t="s">
        <v>33</v>
      </c>
      <c r="J1146" t="str">
        <f>_xlfn.XLOOKUP(branches[[#This Row],[Филиал]], tbl_Filialy[Филиал], tbl_Filialy[Менеджер])</f>
        <v>Павел Ткаченко</v>
      </c>
    </row>
    <row r="1147" spans="1:10" x14ac:dyDescent="0.3">
      <c r="A1147" t="str">
        <f>_xlfn.XLOOKUP(branches[[#This Row],[Филиал]], tbl_Filialy[Филиал], tbl_Filialy[Город])</f>
        <v>Краснодар</v>
      </c>
      <c r="B1147" s="1" t="s">
        <v>31</v>
      </c>
      <c r="C1147" s="2">
        <v>45711</v>
      </c>
      <c r="D1147" s="2" t="str">
        <f>CHOOSE(MONTH(branches[[#This Row],[Дата]]),"Январь","Февраль","Март","Апрель","Май","Июнь","Июль","Август","Сентябрь","Октябрь","Ноябрь","Декабрь")&amp;" "&amp;YEAR(branches[[#This Row],[Дата]])</f>
        <v>Февраль 2025</v>
      </c>
      <c r="E1147" t="s">
        <v>24</v>
      </c>
      <c r="F1147" t="s">
        <v>17</v>
      </c>
      <c r="G1147">
        <v>1</v>
      </c>
      <c r="H1147">
        <v>422</v>
      </c>
      <c r="I1147" t="s">
        <v>32</v>
      </c>
      <c r="J1147" t="str">
        <f>_xlfn.XLOOKUP(branches[[#This Row],[Филиал]], tbl_Filialy[Филиал], tbl_Filialy[Менеджер])</f>
        <v>Павел Ткаченко</v>
      </c>
    </row>
    <row r="1148" spans="1:10" x14ac:dyDescent="0.3">
      <c r="A1148" t="str">
        <f>_xlfn.XLOOKUP(branches[[#This Row],[Филиал]], tbl_Filialy[Филиал], tbl_Filialy[Город])</f>
        <v>Краснодар</v>
      </c>
      <c r="B1148" s="1" t="s">
        <v>31</v>
      </c>
      <c r="C1148" s="2">
        <v>45951</v>
      </c>
      <c r="D1148" s="2" t="str">
        <f>CHOOSE(MONTH(branches[[#This Row],[Дата]]),"Январь","Февраль","Март","Апрель","Май","Июнь","Июль","Август","Сентябрь","Октябрь","Ноябрь","Декабрь")&amp;" "&amp;YEAR(branches[[#This Row],[Дата]])</f>
        <v>Октябрь 2025</v>
      </c>
      <c r="E1148" t="s">
        <v>8</v>
      </c>
      <c r="F1148" t="s">
        <v>9</v>
      </c>
      <c r="G1148">
        <v>2</v>
      </c>
      <c r="H1148">
        <v>490</v>
      </c>
      <c r="I1148" t="s">
        <v>34</v>
      </c>
      <c r="J1148" t="str">
        <f>_xlfn.XLOOKUP(branches[[#This Row],[Филиал]], tbl_Filialy[Филиал], tbl_Filialy[Менеджер])</f>
        <v>Павел Ткаченко</v>
      </c>
    </row>
    <row r="1149" spans="1:10" x14ac:dyDescent="0.3">
      <c r="A1149" t="str">
        <f>_xlfn.XLOOKUP(branches[[#This Row],[Филиал]], tbl_Filialy[Филиал], tbl_Filialy[Город])</f>
        <v>Краснодар</v>
      </c>
      <c r="B1149" s="1" t="s">
        <v>31</v>
      </c>
      <c r="C1149" s="2">
        <v>46014</v>
      </c>
      <c r="D1149" s="2" t="str">
        <f>CHOOSE(MONTH(branches[[#This Row],[Дата]]),"Январь","Февраль","Март","Апрель","Май","Июнь","Июль","Август","Сентябрь","Октябрь","Ноябрь","Декабрь")&amp;" "&amp;YEAR(branches[[#This Row],[Дата]])</f>
        <v>Декабрь 2025</v>
      </c>
      <c r="E1149" t="s">
        <v>26</v>
      </c>
      <c r="F1149" t="s">
        <v>9</v>
      </c>
      <c r="G1149">
        <v>1</v>
      </c>
      <c r="H1149">
        <v>186</v>
      </c>
      <c r="I1149" t="s">
        <v>33</v>
      </c>
      <c r="J1149" t="str">
        <f>_xlfn.XLOOKUP(branches[[#This Row],[Филиал]], tbl_Filialy[Филиал], tbl_Filialy[Менеджер])</f>
        <v>Павел Ткаченко</v>
      </c>
    </row>
    <row r="1150" spans="1:10" x14ac:dyDescent="0.3">
      <c r="A1150" t="str">
        <f>_xlfn.XLOOKUP(branches[[#This Row],[Филиал]], tbl_Filialy[Филиал], tbl_Filialy[Город])</f>
        <v>Краснодар</v>
      </c>
      <c r="B1150" s="1" t="s">
        <v>31</v>
      </c>
      <c r="C1150" s="2">
        <v>45737</v>
      </c>
      <c r="D1150" s="2" t="str">
        <f>CHOOSE(MONTH(branches[[#This Row],[Дата]]),"Январь","Февраль","Март","Апрель","Май","Июнь","Июль","Август","Сентябрь","Октябрь","Ноябрь","Декабрь")&amp;" "&amp;YEAR(branches[[#This Row],[Дата]])</f>
        <v>Март 2025</v>
      </c>
      <c r="E1150" t="s">
        <v>25</v>
      </c>
      <c r="F1150" t="s">
        <v>12</v>
      </c>
      <c r="G1150">
        <v>1</v>
      </c>
      <c r="H1150">
        <v>224</v>
      </c>
      <c r="I1150" t="s">
        <v>32</v>
      </c>
      <c r="J1150" t="str">
        <f>_xlfn.XLOOKUP(branches[[#This Row],[Филиал]], tbl_Filialy[Филиал], tbl_Filialy[Менеджер])</f>
        <v>Павел Ткаченко</v>
      </c>
    </row>
    <row r="1151" spans="1:10" x14ac:dyDescent="0.3">
      <c r="A1151" t="str">
        <f>_xlfn.XLOOKUP(branches[[#This Row],[Филиал]], tbl_Filialy[Филиал], tbl_Filialy[Город])</f>
        <v>Краснодар</v>
      </c>
      <c r="B1151" s="1" t="s">
        <v>31</v>
      </c>
      <c r="C1151" s="2">
        <v>45878</v>
      </c>
      <c r="D1151" s="2" t="str">
        <f>CHOOSE(MONTH(branches[[#This Row],[Дата]]),"Январь","Февраль","Март","Апрель","Май","Июнь","Июль","Август","Сентябрь","Октябрь","Ноябрь","Декабрь")&amp;" "&amp;YEAR(branches[[#This Row],[Дата]])</f>
        <v>Август 2025</v>
      </c>
      <c r="E1151" t="s">
        <v>27</v>
      </c>
      <c r="F1151" t="s">
        <v>12</v>
      </c>
      <c r="G1151">
        <v>3</v>
      </c>
      <c r="H1151">
        <v>639</v>
      </c>
      <c r="I1151" t="s">
        <v>34</v>
      </c>
      <c r="J1151" t="str">
        <f>_xlfn.XLOOKUP(branches[[#This Row],[Филиал]], tbl_Filialy[Филиал], tbl_Filialy[Менеджер])</f>
        <v>Павел Ткаченко</v>
      </c>
    </row>
    <row r="1152" spans="1:10" x14ac:dyDescent="0.3">
      <c r="A1152" t="str">
        <f>_xlfn.XLOOKUP(branches[[#This Row],[Филиал]], tbl_Filialy[Филиал], tbl_Filialy[Город])</f>
        <v>Краснодар</v>
      </c>
      <c r="B1152" s="1" t="s">
        <v>31</v>
      </c>
      <c r="C1152" s="2">
        <v>45905</v>
      </c>
      <c r="D1152" s="2" t="str">
        <f>CHOOSE(MONTH(branches[[#This Row],[Дата]]),"Январь","Февраль","Март","Апрель","Май","Июнь","Июль","Август","Сентябрь","Октябрь","Ноябрь","Декабрь")&amp;" "&amp;YEAR(branches[[#This Row],[Дата]])</f>
        <v>Сентябрь 2025</v>
      </c>
      <c r="E1152" t="s">
        <v>20</v>
      </c>
      <c r="F1152" t="s">
        <v>12</v>
      </c>
      <c r="G1152">
        <v>1</v>
      </c>
      <c r="H1152">
        <v>302</v>
      </c>
      <c r="I1152" t="s">
        <v>13</v>
      </c>
      <c r="J1152" t="str">
        <f>_xlfn.XLOOKUP(branches[[#This Row],[Филиал]], tbl_Filialy[Филиал], tbl_Filialy[Менеджер])</f>
        <v>Павел Ткаченко</v>
      </c>
    </row>
    <row r="1153" spans="1:10" x14ac:dyDescent="0.3">
      <c r="A1153" t="str">
        <f>_xlfn.XLOOKUP(branches[[#This Row],[Филиал]], tbl_Filialy[Филиал], tbl_Filialy[Город])</f>
        <v>Краснодар</v>
      </c>
      <c r="B1153" s="1" t="s">
        <v>31</v>
      </c>
      <c r="C1153" s="2">
        <v>45958</v>
      </c>
      <c r="D1153" s="2" t="str">
        <f>CHOOSE(MONTH(branches[[#This Row],[Дата]]),"Январь","Февраль","Март","Апрель","Май","Июнь","Июль","Август","Сентябрь","Октябрь","Ноябрь","Декабрь")&amp;" "&amp;YEAR(branches[[#This Row],[Дата]])</f>
        <v>Октябрь 2025</v>
      </c>
      <c r="E1153" t="s">
        <v>27</v>
      </c>
      <c r="F1153" t="s">
        <v>12</v>
      </c>
      <c r="G1153">
        <v>2</v>
      </c>
      <c r="H1153">
        <v>422</v>
      </c>
      <c r="I1153" t="s">
        <v>13</v>
      </c>
      <c r="J1153" t="str">
        <f>_xlfn.XLOOKUP(branches[[#This Row],[Филиал]], tbl_Filialy[Филиал], tbl_Filialy[Менеджер])</f>
        <v>Павел Ткаченко</v>
      </c>
    </row>
    <row r="1154" spans="1:10" x14ac:dyDescent="0.3">
      <c r="A1154" t="str">
        <f>_xlfn.XLOOKUP(branches[[#This Row],[Филиал]], tbl_Filialy[Филиал], tbl_Filialy[Город])</f>
        <v>Краснодар</v>
      </c>
      <c r="B1154" s="1" t="s">
        <v>31</v>
      </c>
      <c r="C1154" s="2">
        <v>45693</v>
      </c>
      <c r="D1154" s="2" t="str">
        <f>CHOOSE(MONTH(branches[[#This Row],[Дата]]),"Январь","Февраль","Март","Апрель","Май","Июнь","Июль","Август","Сентябрь","Октябрь","Ноябрь","Декабрь")&amp;" "&amp;YEAR(branches[[#This Row],[Дата]])</f>
        <v>Февраль 2025</v>
      </c>
      <c r="E1154" t="s">
        <v>16</v>
      </c>
      <c r="F1154" t="s">
        <v>17</v>
      </c>
      <c r="G1154">
        <v>3</v>
      </c>
      <c r="H1154">
        <v>1014</v>
      </c>
      <c r="I1154" t="s">
        <v>35</v>
      </c>
      <c r="J1154" t="str">
        <f>_xlfn.XLOOKUP(branches[[#This Row],[Филиал]], tbl_Filialy[Филиал], tbl_Filialy[Менеджер])</f>
        <v>Павел Ткаченко</v>
      </c>
    </row>
    <row r="1155" spans="1:10" x14ac:dyDescent="0.3">
      <c r="A1155" t="str">
        <f>_xlfn.XLOOKUP(branches[[#This Row],[Филиал]], tbl_Filialy[Филиал], tbl_Filialy[Город])</f>
        <v>Краснодар</v>
      </c>
      <c r="B1155" s="1" t="s">
        <v>31</v>
      </c>
      <c r="C1155" s="2">
        <v>45999</v>
      </c>
      <c r="D1155" s="2" t="str">
        <f>CHOOSE(MONTH(branches[[#This Row],[Дата]]),"Январь","Февраль","Март","Апрель","Май","Июнь","Июль","Август","Сентябрь","Октябрь","Ноябрь","Декабрь")&amp;" "&amp;YEAR(branches[[#This Row],[Дата]])</f>
        <v>Декабрь 2025</v>
      </c>
      <c r="E1155" t="s">
        <v>16</v>
      </c>
      <c r="F1155" t="s">
        <v>17</v>
      </c>
      <c r="G1155">
        <v>1</v>
      </c>
      <c r="H1155">
        <v>323</v>
      </c>
      <c r="I1155" t="s">
        <v>33</v>
      </c>
      <c r="J1155" t="str">
        <f>_xlfn.XLOOKUP(branches[[#This Row],[Филиал]], tbl_Filialy[Филиал], tbl_Filialy[Менеджер])</f>
        <v>Павел Ткаченко</v>
      </c>
    </row>
    <row r="1156" spans="1:10" x14ac:dyDescent="0.3">
      <c r="A1156" t="str">
        <f>_xlfn.XLOOKUP(branches[[#This Row],[Филиал]], tbl_Filialy[Филиал], tbl_Filialy[Город])</f>
        <v>Краснодар</v>
      </c>
      <c r="B1156" s="1" t="s">
        <v>31</v>
      </c>
      <c r="C1156" s="2">
        <v>45709</v>
      </c>
      <c r="D1156" s="2" t="str">
        <f>CHOOSE(MONTH(branches[[#This Row],[Дата]]),"Январь","Февраль","Март","Апрель","Май","Июнь","Июль","Август","Сентябрь","Октябрь","Ноябрь","Декабрь")&amp;" "&amp;YEAR(branches[[#This Row],[Дата]])</f>
        <v>Февраль 2025</v>
      </c>
      <c r="E1156" t="s">
        <v>24</v>
      </c>
      <c r="F1156" t="s">
        <v>17</v>
      </c>
      <c r="G1156">
        <v>2</v>
      </c>
      <c r="H1156">
        <v>670</v>
      </c>
      <c r="I1156" t="s">
        <v>19</v>
      </c>
      <c r="J1156" t="str">
        <f>_xlfn.XLOOKUP(branches[[#This Row],[Филиал]], tbl_Filialy[Филиал], tbl_Filialy[Менеджер])</f>
        <v>Павел Ткаченко</v>
      </c>
    </row>
    <row r="1157" spans="1:10" x14ac:dyDescent="0.3">
      <c r="A1157" t="str">
        <f>_xlfn.XLOOKUP(branches[[#This Row],[Филиал]], tbl_Filialy[Филиал], tbl_Filialy[Город])</f>
        <v>Краснодар</v>
      </c>
      <c r="B1157" s="1" t="s">
        <v>31</v>
      </c>
      <c r="C1157" s="2">
        <v>45999</v>
      </c>
      <c r="D1157" s="2" t="str">
        <f>CHOOSE(MONTH(branches[[#This Row],[Дата]]),"Январь","Февраль","Март","Апрель","Май","Июнь","Июль","Август","Сентябрь","Октябрь","Ноябрь","Декабрь")&amp;" "&amp;YEAR(branches[[#This Row],[Дата]])</f>
        <v>Декабрь 2025</v>
      </c>
      <c r="E1157" t="s">
        <v>25</v>
      </c>
      <c r="F1157" t="s">
        <v>12</v>
      </c>
      <c r="G1157">
        <v>1</v>
      </c>
      <c r="H1157">
        <v>208</v>
      </c>
      <c r="I1157" t="s">
        <v>35</v>
      </c>
      <c r="J1157" t="str">
        <f>_xlfn.XLOOKUP(branches[[#This Row],[Филиал]], tbl_Filialy[Филиал], tbl_Filialy[Менеджер])</f>
        <v>Павел Ткаченко</v>
      </c>
    </row>
    <row r="1158" spans="1:10" x14ac:dyDescent="0.3">
      <c r="A1158" t="str">
        <f>_xlfn.XLOOKUP(branches[[#This Row],[Филиал]], tbl_Filialy[Филиал], tbl_Filialy[Город])</f>
        <v>Краснодар</v>
      </c>
      <c r="B1158" s="1" t="s">
        <v>31</v>
      </c>
      <c r="C1158" s="2">
        <v>45664</v>
      </c>
      <c r="D1158" s="2" t="str">
        <f>CHOOSE(MONTH(branches[[#This Row],[Дата]]),"Январь","Февраль","Март","Апрель","Май","Июнь","Июль","Август","Сентябрь","Октябрь","Ноябрь","Декабрь")&amp;" "&amp;YEAR(branches[[#This Row],[Дата]])</f>
        <v>Январь 2025</v>
      </c>
      <c r="E1158" t="s">
        <v>20</v>
      </c>
      <c r="F1158" t="s">
        <v>12</v>
      </c>
      <c r="G1158">
        <v>2</v>
      </c>
      <c r="H1158">
        <v>552</v>
      </c>
      <c r="I1158" t="s">
        <v>32</v>
      </c>
      <c r="J1158" t="str">
        <f>_xlfn.XLOOKUP(branches[[#This Row],[Филиал]], tbl_Filialy[Филиал], tbl_Filialy[Менеджер])</f>
        <v>Павел Ткаченко</v>
      </c>
    </row>
    <row r="1159" spans="1:10" x14ac:dyDescent="0.3">
      <c r="A1159" t="str">
        <f>_xlfn.XLOOKUP(branches[[#This Row],[Филиал]], tbl_Filialy[Филиал], tbl_Filialy[Город])</f>
        <v>Краснодар</v>
      </c>
      <c r="B1159" s="1" t="s">
        <v>31</v>
      </c>
      <c r="C1159" s="2">
        <v>45978</v>
      </c>
      <c r="D1159" s="2" t="str">
        <f>CHOOSE(MONTH(branches[[#This Row],[Дата]]),"Январь","Февраль","Март","Апрель","Май","Июнь","Июль","Август","Сентябрь","Октябрь","Ноябрь","Декабрь")&amp;" "&amp;YEAR(branches[[#This Row],[Дата]])</f>
        <v>Ноябрь 2025</v>
      </c>
      <c r="E1159" t="s">
        <v>28</v>
      </c>
      <c r="F1159" t="s">
        <v>12</v>
      </c>
      <c r="G1159">
        <v>2</v>
      </c>
      <c r="H1159">
        <v>496</v>
      </c>
      <c r="I1159" t="s">
        <v>33</v>
      </c>
      <c r="J1159" t="str">
        <f>_xlfn.XLOOKUP(branches[[#This Row],[Филиал]], tbl_Filialy[Филиал], tbl_Filialy[Менеджер])</f>
        <v>Павел Ткаченко</v>
      </c>
    </row>
    <row r="1160" spans="1:10" x14ac:dyDescent="0.3">
      <c r="A1160" t="str">
        <f>_xlfn.XLOOKUP(branches[[#This Row],[Филиал]], tbl_Filialy[Филиал], tbl_Filialy[Город])</f>
        <v>Краснодар</v>
      </c>
      <c r="B1160" s="1" t="s">
        <v>31</v>
      </c>
      <c r="C1160" s="2">
        <v>45913</v>
      </c>
      <c r="D1160" s="2" t="str">
        <f>CHOOSE(MONTH(branches[[#This Row],[Дата]]),"Январь","Февраль","Март","Апрель","Май","Июнь","Июль","Август","Сентябрь","Октябрь","Ноябрь","Декабрь")&amp;" "&amp;YEAR(branches[[#This Row],[Дата]])</f>
        <v>Сентябрь 2025</v>
      </c>
      <c r="E1160" t="s">
        <v>20</v>
      </c>
      <c r="F1160" t="s">
        <v>12</v>
      </c>
      <c r="G1160">
        <v>1</v>
      </c>
      <c r="H1160">
        <v>297</v>
      </c>
      <c r="I1160" t="s">
        <v>35</v>
      </c>
      <c r="J1160" t="str">
        <f>_xlfn.XLOOKUP(branches[[#This Row],[Филиал]], tbl_Filialy[Филиал], tbl_Filialy[Менеджер])</f>
        <v>Павел Ткаченко</v>
      </c>
    </row>
    <row r="1161" spans="1:10" x14ac:dyDescent="0.3">
      <c r="A1161" t="str">
        <f>_xlfn.XLOOKUP(branches[[#This Row],[Филиал]], tbl_Filialy[Филиал], tbl_Filialy[Город])</f>
        <v>Краснодар</v>
      </c>
      <c r="B1161" s="1" t="s">
        <v>31</v>
      </c>
      <c r="C1161" s="2">
        <v>45739</v>
      </c>
      <c r="D1161" s="2" t="str">
        <f>CHOOSE(MONTH(branches[[#This Row],[Дата]]),"Январь","Февраль","Март","Апрель","Май","Июнь","Июль","Август","Сентябрь","Октябрь","Ноябрь","Декабрь")&amp;" "&amp;YEAR(branches[[#This Row],[Дата]])</f>
        <v>Март 2025</v>
      </c>
      <c r="E1161" t="s">
        <v>25</v>
      </c>
      <c r="F1161" t="s">
        <v>12</v>
      </c>
      <c r="G1161">
        <v>3</v>
      </c>
      <c r="H1161">
        <v>696</v>
      </c>
      <c r="I1161" t="s">
        <v>34</v>
      </c>
      <c r="J1161" t="str">
        <f>_xlfn.XLOOKUP(branches[[#This Row],[Филиал]], tbl_Filialy[Филиал], tbl_Filialy[Менеджер])</f>
        <v>Павел Ткаченко</v>
      </c>
    </row>
    <row r="1162" spans="1:10" x14ac:dyDescent="0.3">
      <c r="A1162" t="str">
        <f>_xlfn.XLOOKUP(branches[[#This Row],[Филиал]], tbl_Filialy[Филиал], tbl_Filialy[Город])</f>
        <v>Краснодар</v>
      </c>
      <c r="B1162" s="1" t="s">
        <v>31</v>
      </c>
      <c r="C1162" s="2">
        <v>45910</v>
      </c>
      <c r="D1162" s="2" t="str">
        <f>CHOOSE(MONTH(branches[[#This Row],[Дата]]),"Январь","Февраль","Март","Апрель","Май","Июнь","Июль","Август","Сентябрь","Октябрь","Ноябрь","Декабрь")&amp;" "&amp;YEAR(branches[[#This Row],[Дата]])</f>
        <v>Сентябрь 2025</v>
      </c>
      <c r="E1162" t="s">
        <v>24</v>
      </c>
      <c r="F1162" t="s">
        <v>17</v>
      </c>
      <c r="G1162">
        <v>2</v>
      </c>
      <c r="H1162">
        <v>804</v>
      </c>
      <c r="I1162" t="s">
        <v>13</v>
      </c>
      <c r="J1162" t="str">
        <f>_xlfn.XLOOKUP(branches[[#This Row],[Филиал]], tbl_Filialy[Филиал], tbl_Filialy[Менеджер])</f>
        <v>Павел Ткаченко</v>
      </c>
    </row>
    <row r="1163" spans="1:10" x14ac:dyDescent="0.3">
      <c r="A1163" t="str">
        <f>_xlfn.XLOOKUP(branches[[#This Row],[Филиал]], tbl_Filialy[Филиал], tbl_Filialy[Город])</f>
        <v>Краснодар</v>
      </c>
      <c r="B1163" s="1" t="s">
        <v>31</v>
      </c>
      <c r="C1163" s="2">
        <v>46016</v>
      </c>
      <c r="D1163" s="2" t="str">
        <f>CHOOSE(MONTH(branches[[#This Row],[Дата]]),"Январь","Февраль","Март","Апрель","Май","Июнь","Июль","Август","Сентябрь","Октябрь","Ноябрь","Декабрь")&amp;" "&amp;YEAR(branches[[#This Row],[Дата]])</f>
        <v>Декабрь 2025</v>
      </c>
      <c r="E1163" t="s">
        <v>16</v>
      </c>
      <c r="F1163" t="s">
        <v>17</v>
      </c>
      <c r="G1163">
        <v>3</v>
      </c>
      <c r="H1163">
        <v>894</v>
      </c>
      <c r="I1163" t="s">
        <v>13</v>
      </c>
      <c r="J1163" t="str">
        <f>_xlfn.XLOOKUP(branches[[#This Row],[Филиал]], tbl_Filialy[Филиал], tbl_Filialy[Менеджер])</f>
        <v>Павел Ткаченко</v>
      </c>
    </row>
    <row r="1164" spans="1:10" x14ac:dyDescent="0.3">
      <c r="A1164" t="str">
        <f>_xlfn.XLOOKUP(branches[[#This Row],[Филиал]], tbl_Filialy[Филиал], tbl_Filialy[Город])</f>
        <v>Краснодар</v>
      </c>
      <c r="B1164" s="1" t="s">
        <v>31</v>
      </c>
      <c r="C1164" s="2">
        <v>45667</v>
      </c>
      <c r="D1164" s="2" t="str">
        <f>CHOOSE(MONTH(branches[[#This Row],[Дата]]),"Январь","Февраль","Март","Апрель","Май","Июнь","Июль","Август","Сентябрь","Октябрь","Ноябрь","Декабрь")&amp;" "&amp;YEAR(branches[[#This Row],[Дата]])</f>
        <v>Январь 2025</v>
      </c>
      <c r="E1164" t="s">
        <v>18</v>
      </c>
      <c r="F1164" t="s">
        <v>12</v>
      </c>
      <c r="G1164">
        <v>2</v>
      </c>
      <c r="H1164">
        <v>242</v>
      </c>
      <c r="I1164" t="s">
        <v>19</v>
      </c>
      <c r="J1164" t="str">
        <f>_xlfn.XLOOKUP(branches[[#This Row],[Филиал]], tbl_Filialy[Филиал], tbl_Filialy[Менеджер])</f>
        <v>Павел Ткаченко</v>
      </c>
    </row>
    <row r="1165" spans="1:10" x14ac:dyDescent="0.3">
      <c r="A1165" t="str">
        <f>_xlfn.XLOOKUP(branches[[#This Row],[Филиал]], tbl_Filialy[Филиал], tbl_Filialy[Город])</f>
        <v>Краснодар</v>
      </c>
      <c r="B1165" s="1" t="s">
        <v>31</v>
      </c>
      <c r="C1165" s="2">
        <v>45920</v>
      </c>
      <c r="D1165" s="2" t="str">
        <f>CHOOSE(MONTH(branches[[#This Row],[Дата]]),"Январь","Февраль","Март","Апрель","Май","Июнь","Июль","Август","Сентябрь","Октябрь","Ноябрь","Декабрь")&amp;" "&amp;YEAR(branches[[#This Row],[Дата]])</f>
        <v>Сентябрь 2025</v>
      </c>
      <c r="E1165" t="s">
        <v>28</v>
      </c>
      <c r="F1165" t="s">
        <v>12</v>
      </c>
      <c r="G1165">
        <v>2</v>
      </c>
      <c r="H1165">
        <v>460</v>
      </c>
      <c r="I1165" t="s">
        <v>13</v>
      </c>
      <c r="J1165" t="str">
        <f>_xlfn.XLOOKUP(branches[[#This Row],[Филиал]], tbl_Filialy[Филиал], tbl_Filialy[Менеджер])</f>
        <v>Павел Ткаченко</v>
      </c>
    </row>
    <row r="1166" spans="1:10" x14ac:dyDescent="0.3">
      <c r="A1166" t="str">
        <f>_xlfn.XLOOKUP(branches[[#This Row],[Филиал]], tbl_Filialy[Филиал], tbl_Filialy[Город])</f>
        <v>Краснодар</v>
      </c>
      <c r="B1166" s="1" t="s">
        <v>31</v>
      </c>
      <c r="C1166" s="2">
        <v>45720</v>
      </c>
      <c r="D1166" s="2" t="str">
        <f>CHOOSE(MONTH(branches[[#This Row],[Дата]]),"Январь","Февраль","Март","Апрель","Май","Июнь","Июль","Август","Сентябрь","Октябрь","Ноябрь","Декабрь")&amp;" "&amp;YEAR(branches[[#This Row],[Дата]])</f>
        <v>Март 2025</v>
      </c>
      <c r="E1166" t="s">
        <v>22</v>
      </c>
      <c r="F1166" t="s">
        <v>9</v>
      </c>
      <c r="G1166">
        <v>2</v>
      </c>
      <c r="H1166">
        <v>346</v>
      </c>
      <c r="I1166" t="s">
        <v>13</v>
      </c>
      <c r="J1166" t="str">
        <f>_xlfn.XLOOKUP(branches[[#This Row],[Филиал]], tbl_Filialy[Филиал], tbl_Filialy[Менеджер])</f>
        <v>Павел Ткаченко</v>
      </c>
    </row>
    <row r="1167" spans="1:10" x14ac:dyDescent="0.3">
      <c r="A1167" t="str">
        <f>_xlfn.XLOOKUP(branches[[#This Row],[Филиал]], tbl_Filialy[Филиал], tbl_Filialy[Город])</f>
        <v>Краснодар</v>
      </c>
      <c r="B1167" s="1" t="s">
        <v>31</v>
      </c>
      <c r="C1167" s="2">
        <v>45710</v>
      </c>
      <c r="D1167" s="2" t="str">
        <f>CHOOSE(MONTH(branches[[#This Row],[Дата]]),"Январь","Февраль","Март","Апрель","Май","Июнь","Июль","Август","Сентябрь","Октябрь","Ноябрь","Декабрь")&amp;" "&amp;YEAR(branches[[#This Row],[Дата]])</f>
        <v>Февраль 2025</v>
      </c>
      <c r="E1167" t="s">
        <v>18</v>
      </c>
      <c r="F1167" t="s">
        <v>12</v>
      </c>
      <c r="G1167">
        <v>1</v>
      </c>
      <c r="H1167">
        <v>145</v>
      </c>
      <c r="I1167" t="s">
        <v>33</v>
      </c>
      <c r="J1167" t="str">
        <f>_xlfn.XLOOKUP(branches[[#This Row],[Филиал]], tbl_Filialy[Филиал], tbl_Filialy[Менеджер])</f>
        <v>Павел Ткаченко</v>
      </c>
    </row>
    <row r="1168" spans="1:10" x14ac:dyDescent="0.3">
      <c r="A1168" t="str">
        <f>_xlfn.XLOOKUP(branches[[#This Row],[Филиал]], tbl_Filialy[Филиал], tbl_Filialy[Город])</f>
        <v>Краснодар</v>
      </c>
      <c r="B1168" s="1" t="s">
        <v>31</v>
      </c>
      <c r="C1168" s="2">
        <v>45703</v>
      </c>
      <c r="D1168" s="2" t="str">
        <f>CHOOSE(MONTH(branches[[#This Row],[Дата]]),"Январь","Февраль","Март","Апрель","Май","Июнь","Июль","Август","Сентябрь","Октябрь","Ноябрь","Декабрь")&amp;" "&amp;YEAR(branches[[#This Row],[Дата]])</f>
        <v>Февраль 2025</v>
      </c>
      <c r="E1168" t="s">
        <v>28</v>
      </c>
      <c r="F1168" t="s">
        <v>12</v>
      </c>
      <c r="G1168">
        <v>2</v>
      </c>
      <c r="H1168">
        <v>422</v>
      </c>
      <c r="I1168" t="s">
        <v>32</v>
      </c>
      <c r="J1168" t="str">
        <f>_xlfn.XLOOKUP(branches[[#This Row],[Филиал]], tbl_Filialy[Филиал], tbl_Filialy[Менеджер])</f>
        <v>Павел Ткаченко</v>
      </c>
    </row>
    <row r="1169" spans="1:10" x14ac:dyDescent="0.3">
      <c r="A1169" t="str">
        <f>_xlfn.XLOOKUP(branches[[#This Row],[Филиал]], tbl_Filialy[Филиал], tbl_Filialy[Город])</f>
        <v>Краснодар</v>
      </c>
      <c r="B1169" s="1" t="s">
        <v>31</v>
      </c>
      <c r="C1169" s="2">
        <v>45892</v>
      </c>
      <c r="D1169" s="2" t="str">
        <f>CHOOSE(MONTH(branches[[#This Row],[Дата]]),"Январь","Февраль","Март","Апрель","Май","Июнь","Июль","Август","Сентябрь","Октябрь","Ноябрь","Декабрь")&amp;" "&amp;YEAR(branches[[#This Row],[Дата]])</f>
        <v>Август 2025</v>
      </c>
      <c r="E1169" t="s">
        <v>14</v>
      </c>
      <c r="F1169" t="s">
        <v>12</v>
      </c>
      <c r="G1169">
        <v>1</v>
      </c>
      <c r="H1169">
        <v>241</v>
      </c>
      <c r="I1169" t="s">
        <v>19</v>
      </c>
      <c r="J1169" t="str">
        <f>_xlfn.XLOOKUP(branches[[#This Row],[Филиал]], tbl_Filialy[Филиал], tbl_Filialy[Менеджер])</f>
        <v>Павел Ткаченко</v>
      </c>
    </row>
    <row r="1170" spans="1:10" x14ac:dyDescent="0.3">
      <c r="A1170" t="str">
        <f>_xlfn.XLOOKUP(branches[[#This Row],[Филиал]], tbl_Filialy[Филиал], tbl_Filialy[Город])</f>
        <v>Краснодар</v>
      </c>
      <c r="B1170" s="1" t="s">
        <v>31</v>
      </c>
      <c r="C1170" s="2">
        <v>45940</v>
      </c>
      <c r="D1170" s="2" t="str">
        <f>CHOOSE(MONTH(branches[[#This Row],[Дата]]),"Январь","Февраль","Март","Апрель","Май","Июнь","Июль","Август","Сентябрь","Октябрь","Ноябрь","Декабрь")&amp;" "&amp;YEAR(branches[[#This Row],[Дата]])</f>
        <v>Октябрь 2025</v>
      </c>
      <c r="E1170" t="s">
        <v>16</v>
      </c>
      <c r="F1170" t="s">
        <v>17</v>
      </c>
      <c r="G1170">
        <v>1</v>
      </c>
      <c r="H1170">
        <v>326</v>
      </c>
      <c r="I1170" t="s">
        <v>13</v>
      </c>
      <c r="J1170" t="str">
        <f>_xlfn.XLOOKUP(branches[[#This Row],[Филиал]], tbl_Filialy[Филиал], tbl_Filialy[Менеджер])</f>
        <v>Павел Ткаченко</v>
      </c>
    </row>
    <row r="1171" spans="1:10" x14ac:dyDescent="0.3">
      <c r="A1171" t="str">
        <f>_xlfn.XLOOKUP(branches[[#This Row],[Филиал]], tbl_Filialy[Филиал], tbl_Filialy[Город])</f>
        <v>Краснодар</v>
      </c>
      <c r="B1171" s="1" t="s">
        <v>31</v>
      </c>
      <c r="C1171" s="2">
        <v>45831</v>
      </c>
      <c r="D1171" s="2" t="str">
        <f>CHOOSE(MONTH(branches[[#This Row],[Дата]]),"Январь","Февраль","Март","Апрель","Май","Июнь","Июль","Август","Сентябрь","Октябрь","Ноябрь","Декабрь")&amp;" "&amp;YEAR(branches[[#This Row],[Дата]])</f>
        <v>Июнь 2025</v>
      </c>
      <c r="E1171" t="s">
        <v>22</v>
      </c>
      <c r="F1171" t="s">
        <v>9</v>
      </c>
      <c r="G1171">
        <v>1</v>
      </c>
      <c r="H1171">
        <v>166</v>
      </c>
      <c r="I1171" t="s">
        <v>34</v>
      </c>
      <c r="J1171" t="str">
        <f>_xlfn.XLOOKUP(branches[[#This Row],[Филиал]], tbl_Filialy[Филиал], tbl_Filialy[Менеджер])</f>
        <v>Павел Ткаченко</v>
      </c>
    </row>
    <row r="1172" spans="1:10" x14ac:dyDescent="0.3">
      <c r="A1172" t="str">
        <f>_xlfn.XLOOKUP(branches[[#This Row],[Филиал]], tbl_Filialy[Филиал], tbl_Filialy[Город])</f>
        <v>Краснодар</v>
      </c>
      <c r="B1172" s="1" t="s">
        <v>31</v>
      </c>
      <c r="C1172" s="2">
        <v>45681</v>
      </c>
      <c r="D1172" s="2" t="str">
        <f>CHOOSE(MONTH(branches[[#This Row],[Дата]]),"Январь","Февраль","Март","Апрель","Май","Июнь","Июль","Август","Сентябрь","Октябрь","Ноябрь","Декабрь")&amp;" "&amp;YEAR(branches[[#This Row],[Дата]])</f>
        <v>Январь 2025</v>
      </c>
      <c r="E1172" t="s">
        <v>18</v>
      </c>
      <c r="F1172" t="s">
        <v>12</v>
      </c>
      <c r="G1172">
        <v>1</v>
      </c>
      <c r="H1172">
        <v>160</v>
      </c>
      <c r="I1172" t="s">
        <v>35</v>
      </c>
      <c r="J1172" t="str">
        <f>_xlfn.XLOOKUP(branches[[#This Row],[Филиал]], tbl_Filialy[Филиал], tbl_Filialy[Менеджер])</f>
        <v>Павел Ткаченко</v>
      </c>
    </row>
    <row r="1173" spans="1:10" x14ac:dyDescent="0.3">
      <c r="A1173" t="str">
        <f>_xlfn.XLOOKUP(branches[[#This Row],[Филиал]], tbl_Filialy[Филиал], tbl_Filialy[Город])</f>
        <v>Краснодар</v>
      </c>
      <c r="B1173" s="1" t="s">
        <v>31</v>
      </c>
      <c r="C1173" s="2">
        <v>45683</v>
      </c>
      <c r="D1173" s="2" t="str">
        <f>CHOOSE(MONTH(branches[[#This Row],[Дата]]),"Январь","Февраль","Март","Апрель","Май","Июнь","Июль","Август","Сентябрь","Октябрь","Ноябрь","Декабрь")&amp;" "&amp;YEAR(branches[[#This Row],[Дата]])</f>
        <v>Январь 2025</v>
      </c>
      <c r="E1173" t="s">
        <v>24</v>
      </c>
      <c r="F1173" t="s">
        <v>17</v>
      </c>
      <c r="G1173">
        <v>1</v>
      </c>
      <c r="H1173">
        <v>402</v>
      </c>
      <c r="I1173" t="s">
        <v>34</v>
      </c>
      <c r="J1173" t="str">
        <f>_xlfn.XLOOKUP(branches[[#This Row],[Филиал]], tbl_Filialy[Филиал], tbl_Filialy[Менеджер])</f>
        <v>Павел Ткаченко</v>
      </c>
    </row>
    <row r="1174" spans="1:10" x14ac:dyDescent="0.3">
      <c r="A1174" t="str">
        <f>_xlfn.XLOOKUP(branches[[#This Row],[Филиал]], tbl_Filialy[Филиал], tbl_Filialy[Город])</f>
        <v>Краснодар</v>
      </c>
      <c r="B1174" s="1" t="s">
        <v>31</v>
      </c>
      <c r="C1174" s="2">
        <v>45700</v>
      </c>
      <c r="D1174" s="2" t="str">
        <f>CHOOSE(MONTH(branches[[#This Row],[Дата]]),"Январь","Февраль","Март","Апрель","Май","Июнь","Июль","Август","Сентябрь","Октябрь","Ноябрь","Декабрь")&amp;" "&amp;YEAR(branches[[#This Row],[Дата]])</f>
        <v>Февраль 2025</v>
      </c>
      <c r="E1174" t="s">
        <v>16</v>
      </c>
      <c r="F1174" t="s">
        <v>17</v>
      </c>
      <c r="G1174">
        <v>2</v>
      </c>
      <c r="H1174">
        <v>664</v>
      </c>
      <c r="I1174" t="s">
        <v>33</v>
      </c>
      <c r="J1174" t="str">
        <f>_xlfn.XLOOKUP(branches[[#This Row],[Филиал]], tbl_Filialy[Филиал], tbl_Filialy[Менеджер])</f>
        <v>Павел Ткаченко</v>
      </c>
    </row>
    <row r="1175" spans="1:10" x14ac:dyDescent="0.3">
      <c r="A1175" t="str">
        <f>_xlfn.XLOOKUP(branches[[#This Row],[Филиал]], tbl_Filialy[Филиал], tbl_Filialy[Город])</f>
        <v>Краснодар</v>
      </c>
      <c r="B1175" s="1" t="s">
        <v>31</v>
      </c>
      <c r="C1175" s="2">
        <v>45901</v>
      </c>
      <c r="D1175" s="2" t="str">
        <f>CHOOSE(MONTH(branches[[#This Row],[Дата]]),"Январь","Февраль","Март","Апрель","Май","Июнь","Июль","Август","Сентябрь","Октябрь","Ноябрь","Декабрь")&amp;" "&amp;YEAR(branches[[#This Row],[Дата]])</f>
        <v>Сентябрь 2025</v>
      </c>
      <c r="E1175" t="s">
        <v>16</v>
      </c>
      <c r="F1175" t="s">
        <v>17</v>
      </c>
      <c r="G1175">
        <v>2</v>
      </c>
      <c r="H1175">
        <v>694</v>
      </c>
      <c r="I1175" t="s">
        <v>13</v>
      </c>
      <c r="J1175" t="str">
        <f>_xlfn.XLOOKUP(branches[[#This Row],[Филиал]], tbl_Filialy[Филиал], tbl_Filialy[Менеджер])</f>
        <v>Павел Ткаченко</v>
      </c>
    </row>
    <row r="1176" spans="1:10" x14ac:dyDescent="0.3">
      <c r="A1176" t="str">
        <f>_xlfn.XLOOKUP(branches[[#This Row],[Филиал]], tbl_Filialy[Филиал], tbl_Filialy[Город])</f>
        <v>Краснодар</v>
      </c>
      <c r="B1176" s="1" t="s">
        <v>31</v>
      </c>
      <c r="C1176" s="2">
        <v>45981</v>
      </c>
      <c r="D1176" s="2" t="str">
        <f>CHOOSE(MONTH(branches[[#This Row],[Дата]]),"Январь","Февраль","Март","Апрель","Май","Июнь","Июль","Август","Сентябрь","Октябрь","Ноябрь","Декабрь")&amp;" "&amp;YEAR(branches[[#This Row],[Дата]])</f>
        <v>Ноябрь 2025</v>
      </c>
      <c r="E1176" t="s">
        <v>11</v>
      </c>
      <c r="F1176" t="s">
        <v>12</v>
      </c>
      <c r="G1176">
        <v>3</v>
      </c>
      <c r="H1176">
        <v>510</v>
      </c>
      <c r="I1176" t="s">
        <v>35</v>
      </c>
      <c r="J1176" t="str">
        <f>_xlfn.XLOOKUP(branches[[#This Row],[Филиал]], tbl_Filialy[Филиал], tbl_Filialy[Менеджер])</f>
        <v>Павел Ткаченко</v>
      </c>
    </row>
    <row r="1177" spans="1:10" x14ac:dyDescent="0.3">
      <c r="A1177" t="str">
        <f>_xlfn.XLOOKUP(branches[[#This Row],[Филиал]], tbl_Filialy[Филиал], tbl_Filialy[Город])</f>
        <v>Краснодар</v>
      </c>
      <c r="B1177" s="1" t="s">
        <v>31</v>
      </c>
      <c r="C1177" s="2">
        <v>45717</v>
      </c>
      <c r="D1177" s="2" t="str">
        <f>CHOOSE(MONTH(branches[[#This Row],[Дата]]),"Январь","Февраль","Март","Апрель","Май","Июнь","Июль","Август","Сентябрь","Октябрь","Ноябрь","Декабрь")&amp;" "&amp;YEAR(branches[[#This Row],[Дата]])</f>
        <v>Март 2025</v>
      </c>
      <c r="E1177" t="s">
        <v>22</v>
      </c>
      <c r="F1177" t="s">
        <v>9</v>
      </c>
      <c r="G1177">
        <v>2</v>
      </c>
      <c r="H1177">
        <v>350</v>
      </c>
      <c r="I1177" t="s">
        <v>33</v>
      </c>
      <c r="J1177" t="str">
        <f>_xlfn.XLOOKUP(branches[[#This Row],[Филиал]], tbl_Filialy[Филиал], tbl_Filialy[Менеджер])</f>
        <v>Павел Ткаченко</v>
      </c>
    </row>
    <row r="1178" spans="1:10" x14ac:dyDescent="0.3">
      <c r="A1178" t="str">
        <f>_xlfn.XLOOKUP(branches[[#This Row],[Филиал]], tbl_Filialy[Филиал], tbl_Filialy[Город])</f>
        <v>Краснодар</v>
      </c>
      <c r="B1178" s="1" t="s">
        <v>31</v>
      </c>
      <c r="C1178" s="2">
        <v>46008</v>
      </c>
      <c r="D1178" s="2" t="str">
        <f>CHOOSE(MONTH(branches[[#This Row],[Дата]]),"Январь","Февраль","Март","Апрель","Май","Июнь","Июль","Август","Сентябрь","Октябрь","Ноябрь","Декабрь")&amp;" "&amp;YEAR(branches[[#This Row],[Дата]])</f>
        <v>Декабрь 2025</v>
      </c>
      <c r="E1178" t="s">
        <v>20</v>
      </c>
      <c r="F1178" t="s">
        <v>12</v>
      </c>
      <c r="G1178">
        <v>1</v>
      </c>
      <c r="H1178">
        <v>300</v>
      </c>
      <c r="I1178" t="s">
        <v>34</v>
      </c>
      <c r="J1178" t="str">
        <f>_xlfn.XLOOKUP(branches[[#This Row],[Филиал]], tbl_Filialy[Филиал], tbl_Filialy[Менеджер])</f>
        <v>Павел Ткаченко</v>
      </c>
    </row>
    <row r="1179" spans="1:10" x14ac:dyDescent="0.3">
      <c r="A1179" t="str">
        <f>_xlfn.XLOOKUP(branches[[#This Row],[Филиал]], tbl_Filialy[Филиал], tbl_Filialy[Город])</f>
        <v>Краснодар</v>
      </c>
      <c r="B1179" s="1" t="s">
        <v>31</v>
      </c>
      <c r="C1179" s="2">
        <v>45765</v>
      </c>
      <c r="D1179" s="2" t="str">
        <f>CHOOSE(MONTH(branches[[#This Row],[Дата]]),"Январь","Февраль","Март","Апрель","Май","Июнь","Июль","Август","Сентябрь","Октябрь","Ноябрь","Декабрь")&amp;" "&amp;YEAR(branches[[#This Row],[Дата]])</f>
        <v>Апрель 2025</v>
      </c>
      <c r="E1179" t="s">
        <v>26</v>
      </c>
      <c r="F1179" t="s">
        <v>9</v>
      </c>
      <c r="G1179">
        <v>2</v>
      </c>
      <c r="H1179">
        <v>372</v>
      </c>
      <c r="I1179" t="s">
        <v>32</v>
      </c>
      <c r="J1179" t="str">
        <f>_xlfn.XLOOKUP(branches[[#This Row],[Филиал]], tbl_Filialy[Филиал], tbl_Filialy[Менеджер])</f>
        <v>Павел Ткаченко</v>
      </c>
    </row>
    <row r="1180" spans="1:10" x14ac:dyDescent="0.3">
      <c r="A1180" t="str">
        <f>_xlfn.XLOOKUP(branches[[#This Row],[Филиал]], tbl_Filialy[Филиал], tbl_Filialy[Город])</f>
        <v>Краснодар</v>
      </c>
      <c r="B1180" s="1" t="s">
        <v>31</v>
      </c>
      <c r="C1180" s="2">
        <v>45980</v>
      </c>
      <c r="D1180" s="2" t="str">
        <f>CHOOSE(MONTH(branches[[#This Row],[Дата]]),"Январь","Февраль","Март","Апрель","Май","Июнь","Июль","Август","Сентябрь","Октябрь","Ноябрь","Декабрь")&amp;" "&amp;YEAR(branches[[#This Row],[Дата]])</f>
        <v>Ноябрь 2025</v>
      </c>
      <c r="E1180" t="s">
        <v>8</v>
      </c>
      <c r="F1180" t="s">
        <v>9</v>
      </c>
      <c r="G1180">
        <v>3</v>
      </c>
      <c r="H1180">
        <v>807</v>
      </c>
      <c r="I1180" t="s">
        <v>32</v>
      </c>
      <c r="J1180" t="str">
        <f>_xlfn.XLOOKUP(branches[[#This Row],[Филиал]], tbl_Filialy[Филиал], tbl_Filialy[Менеджер])</f>
        <v>Павел Ткаченко</v>
      </c>
    </row>
    <row r="1181" spans="1:10" x14ac:dyDescent="0.3">
      <c r="A1181" t="str">
        <f>_xlfn.XLOOKUP(branches[[#This Row],[Филиал]], tbl_Filialy[Филиал], tbl_Filialy[Город])</f>
        <v>Краснодар</v>
      </c>
      <c r="B1181" s="1" t="s">
        <v>31</v>
      </c>
      <c r="C1181" s="2">
        <v>45722</v>
      </c>
      <c r="D1181" s="2" t="str">
        <f>CHOOSE(MONTH(branches[[#This Row],[Дата]]),"Январь","Февраль","Март","Апрель","Май","Июнь","Июль","Август","Сентябрь","Октябрь","Ноябрь","Декабрь")&amp;" "&amp;YEAR(branches[[#This Row],[Дата]])</f>
        <v>Март 2025</v>
      </c>
      <c r="E1181" t="s">
        <v>24</v>
      </c>
      <c r="F1181" t="s">
        <v>17</v>
      </c>
      <c r="G1181">
        <v>2</v>
      </c>
      <c r="H1181">
        <v>794</v>
      </c>
      <c r="I1181" t="s">
        <v>33</v>
      </c>
      <c r="J1181" t="str">
        <f>_xlfn.XLOOKUP(branches[[#This Row],[Филиал]], tbl_Filialy[Филиал], tbl_Filialy[Менеджер])</f>
        <v>Павел Ткаченко</v>
      </c>
    </row>
    <row r="1182" spans="1:10" x14ac:dyDescent="0.3">
      <c r="A1182" t="str">
        <f>_xlfn.XLOOKUP(branches[[#This Row],[Филиал]], tbl_Filialy[Филиал], tbl_Filialy[Город])</f>
        <v>Краснодар</v>
      </c>
      <c r="B1182" s="1" t="s">
        <v>31</v>
      </c>
      <c r="C1182" s="2">
        <v>45749</v>
      </c>
      <c r="D1182" s="2" t="str">
        <f>CHOOSE(MONTH(branches[[#This Row],[Дата]]),"Январь","Февраль","Март","Апрель","Май","Июнь","Июль","Август","Сентябрь","Октябрь","Ноябрь","Декабрь")&amp;" "&amp;YEAR(branches[[#This Row],[Дата]])</f>
        <v>Апрель 2025</v>
      </c>
      <c r="E1182" t="s">
        <v>27</v>
      </c>
      <c r="F1182" t="s">
        <v>12</v>
      </c>
      <c r="G1182">
        <v>3</v>
      </c>
      <c r="H1182">
        <v>648</v>
      </c>
      <c r="I1182" t="s">
        <v>19</v>
      </c>
      <c r="J1182" t="str">
        <f>_xlfn.XLOOKUP(branches[[#This Row],[Филиал]], tbl_Filialy[Филиал], tbl_Filialy[Менеджер])</f>
        <v>Павел Ткаченко</v>
      </c>
    </row>
    <row r="1183" spans="1:10" x14ac:dyDescent="0.3">
      <c r="A1183" t="str">
        <f>_xlfn.XLOOKUP(branches[[#This Row],[Филиал]], tbl_Filialy[Филиал], tbl_Filialy[Город])</f>
        <v>Краснодар</v>
      </c>
      <c r="B1183" s="1" t="s">
        <v>31</v>
      </c>
      <c r="C1183" s="2">
        <v>45733</v>
      </c>
      <c r="D1183" s="2" t="str">
        <f>CHOOSE(MONTH(branches[[#This Row],[Дата]]),"Январь","Февраль","Март","Апрель","Май","Июнь","Июль","Август","Сентябрь","Октябрь","Ноябрь","Декабрь")&amp;" "&amp;YEAR(branches[[#This Row],[Дата]])</f>
        <v>Март 2025</v>
      </c>
      <c r="E1183" t="s">
        <v>18</v>
      </c>
      <c r="F1183" t="s">
        <v>12</v>
      </c>
      <c r="G1183">
        <v>2</v>
      </c>
      <c r="H1183">
        <v>314</v>
      </c>
      <c r="I1183" t="s">
        <v>13</v>
      </c>
      <c r="J1183" t="str">
        <f>_xlfn.XLOOKUP(branches[[#This Row],[Филиал]], tbl_Filialy[Филиал], tbl_Filialy[Менеджер])</f>
        <v>Павел Ткаченко</v>
      </c>
    </row>
    <row r="1184" spans="1:10" x14ac:dyDescent="0.3">
      <c r="A1184" t="str">
        <f>_xlfn.XLOOKUP(branches[[#This Row],[Филиал]], tbl_Filialy[Филиал], tbl_Filialy[Город])</f>
        <v>Краснодар</v>
      </c>
      <c r="B1184" s="1" t="s">
        <v>31</v>
      </c>
      <c r="C1184" s="2">
        <v>45951</v>
      </c>
      <c r="D1184" s="2" t="str">
        <f>CHOOSE(MONTH(branches[[#This Row],[Дата]]),"Январь","Февраль","Март","Апрель","Май","Июнь","Июль","Август","Сентябрь","Октябрь","Ноябрь","Декабрь")&amp;" "&amp;YEAR(branches[[#This Row],[Дата]])</f>
        <v>Октябрь 2025</v>
      </c>
      <c r="E1184" t="s">
        <v>18</v>
      </c>
      <c r="F1184" t="s">
        <v>12</v>
      </c>
      <c r="G1184">
        <v>2</v>
      </c>
      <c r="H1184">
        <v>284</v>
      </c>
      <c r="I1184" t="s">
        <v>32</v>
      </c>
      <c r="J1184" t="str">
        <f>_xlfn.XLOOKUP(branches[[#This Row],[Филиал]], tbl_Filialy[Филиал], tbl_Filialy[Менеджер])</f>
        <v>Павел Ткаченко</v>
      </c>
    </row>
    <row r="1185" spans="1:10" x14ac:dyDescent="0.3">
      <c r="A1185" t="str">
        <f>_xlfn.XLOOKUP(branches[[#This Row],[Филиал]], tbl_Filialy[Филиал], tbl_Filialy[Город])</f>
        <v>Краснодар</v>
      </c>
      <c r="B1185" s="1" t="s">
        <v>31</v>
      </c>
      <c r="C1185" s="2">
        <v>45939</v>
      </c>
      <c r="D1185" s="2" t="str">
        <f>CHOOSE(MONTH(branches[[#This Row],[Дата]]),"Январь","Февраль","Март","Апрель","Май","Июнь","Июль","Август","Сентябрь","Октябрь","Ноябрь","Декабрь")&amp;" "&amp;YEAR(branches[[#This Row],[Дата]])</f>
        <v>Октябрь 2025</v>
      </c>
      <c r="E1185" t="s">
        <v>11</v>
      </c>
      <c r="F1185" t="s">
        <v>12</v>
      </c>
      <c r="G1185">
        <v>1</v>
      </c>
      <c r="H1185">
        <v>148</v>
      </c>
      <c r="I1185" t="s">
        <v>19</v>
      </c>
      <c r="J1185" t="str">
        <f>_xlfn.XLOOKUP(branches[[#This Row],[Филиал]], tbl_Filialy[Филиал], tbl_Filialy[Менеджер])</f>
        <v>Павел Ткаченко</v>
      </c>
    </row>
    <row r="1186" spans="1:10" x14ac:dyDescent="0.3">
      <c r="A1186" t="str">
        <f>_xlfn.XLOOKUP(branches[[#This Row],[Филиал]], tbl_Filialy[Филиал], tbl_Filialy[Город])</f>
        <v>Краснодар</v>
      </c>
      <c r="B1186" s="1" t="s">
        <v>31</v>
      </c>
      <c r="C1186" s="2">
        <v>45767</v>
      </c>
      <c r="D1186" s="2" t="str">
        <f>CHOOSE(MONTH(branches[[#This Row],[Дата]]),"Январь","Февраль","Март","Апрель","Май","Июнь","Июль","Август","Сентябрь","Октябрь","Ноябрь","Декабрь")&amp;" "&amp;YEAR(branches[[#This Row],[Дата]])</f>
        <v>Апрель 2025</v>
      </c>
      <c r="E1186" t="s">
        <v>24</v>
      </c>
      <c r="F1186" t="s">
        <v>17</v>
      </c>
      <c r="G1186">
        <v>1</v>
      </c>
      <c r="H1186">
        <v>346</v>
      </c>
      <c r="I1186" t="s">
        <v>35</v>
      </c>
      <c r="J1186" t="str">
        <f>_xlfn.XLOOKUP(branches[[#This Row],[Филиал]], tbl_Filialy[Филиал], tbl_Filialy[Менеджер])</f>
        <v>Павел Ткаченко</v>
      </c>
    </row>
    <row r="1187" spans="1:10" x14ac:dyDescent="0.3">
      <c r="A1187" t="str">
        <f>_xlfn.XLOOKUP(branches[[#This Row],[Филиал]], tbl_Filialy[Филиал], tbl_Filialy[Город])</f>
        <v>Краснодар</v>
      </c>
      <c r="B1187" s="1" t="s">
        <v>31</v>
      </c>
      <c r="C1187" s="2">
        <v>45761</v>
      </c>
      <c r="D1187" s="2" t="str">
        <f>CHOOSE(MONTH(branches[[#This Row],[Дата]]),"Январь","Февраль","Март","Апрель","Май","Июнь","Июль","Август","Сентябрь","Октябрь","Ноябрь","Декабрь")&amp;" "&amp;YEAR(branches[[#This Row],[Дата]])</f>
        <v>Апрель 2025</v>
      </c>
      <c r="E1187" t="s">
        <v>18</v>
      </c>
      <c r="F1187" t="s">
        <v>12</v>
      </c>
      <c r="G1187">
        <v>1</v>
      </c>
      <c r="H1187">
        <v>123</v>
      </c>
      <c r="I1187" t="s">
        <v>35</v>
      </c>
      <c r="J1187" t="str">
        <f>_xlfn.XLOOKUP(branches[[#This Row],[Филиал]], tbl_Filialy[Филиал], tbl_Filialy[Менеджер])</f>
        <v>Павел Ткаченко</v>
      </c>
    </row>
    <row r="1188" spans="1:10" x14ac:dyDescent="0.3">
      <c r="A1188" t="str">
        <f>_xlfn.XLOOKUP(branches[[#This Row],[Филиал]], tbl_Filialy[Филиал], tbl_Filialy[Город])</f>
        <v>Краснодар</v>
      </c>
      <c r="B1188" s="1" t="s">
        <v>31</v>
      </c>
      <c r="C1188" s="2">
        <v>45944</v>
      </c>
      <c r="D1188" s="2" t="str">
        <f>CHOOSE(MONTH(branches[[#This Row],[Дата]]),"Январь","Февраль","Март","Апрель","Май","Июнь","Июль","Август","Сентябрь","Октябрь","Ноябрь","Декабрь")&amp;" "&amp;YEAR(branches[[#This Row],[Дата]])</f>
        <v>Октябрь 2025</v>
      </c>
      <c r="E1188" t="s">
        <v>26</v>
      </c>
      <c r="F1188" t="s">
        <v>9</v>
      </c>
      <c r="G1188">
        <v>2</v>
      </c>
      <c r="H1188">
        <v>378</v>
      </c>
      <c r="I1188" t="s">
        <v>35</v>
      </c>
      <c r="J1188" t="str">
        <f>_xlfn.XLOOKUP(branches[[#This Row],[Филиал]], tbl_Filialy[Филиал], tbl_Filialy[Менеджер])</f>
        <v>Павел Ткаченко</v>
      </c>
    </row>
    <row r="1189" spans="1:10" x14ac:dyDescent="0.3">
      <c r="A1189" t="str">
        <f>_xlfn.XLOOKUP(branches[[#This Row],[Филиал]], tbl_Filialy[Филиал], tbl_Filialy[Город])</f>
        <v>Краснодар</v>
      </c>
      <c r="B1189" s="1" t="s">
        <v>31</v>
      </c>
      <c r="C1189" s="2">
        <v>45665</v>
      </c>
      <c r="D1189" s="2" t="str">
        <f>CHOOSE(MONTH(branches[[#This Row],[Дата]]),"Январь","Февраль","Март","Апрель","Май","Июнь","Июль","Август","Сентябрь","Октябрь","Ноябрь","Декабрь")&amp;" "&amp;YEAR(branches[[#This Row],[Дата]])</f>
        <v>Январь 2025</v>
      </c>
      <c r="E1189" t="s">
        <v>22</v>
      </c>
      <c r="F1189" t="s">
        <v>9</v>
      </c>
      <c r="G1189">
        <v>1</v>
      </c>
      <c r="H1189">
        <v>162</v>
      </c>
      <c r="I1189" t="s">
        <v>13</v>
      </c>
      <c r="J1189" t="str">
        <f>_xlfn.XLOOKUP(branches[[#This Row],[Филиал]], tbl_Filialy[Филиал], tbl_Filialy[Менеджер])</f>
        <v>Павел Ткаченко</v>
      </c>
    </row>
    <row r="1190" spans="1:10" x14ac:dyDescent="0.3">
      <c r="A1190" t="str">
        <f>_xlfn.XLOOKUP(branches[[#This Row],[Филиал]], tbl_Filialy[Филиал], tbl_Filialy[Город])</f>
        <v>Краснодар</v>
      </c>
      <c r="B1190" s="1" t="s">
        <v>31</v>
      </c>
      <c r="C1190" s="2">
        <v>45722</v>
      </c>
      <c r="D1190" s="2" t="str">
        <f>CHOOSE(MONTH(branches[[#This Row],[Дата]]),"Январь","Февраль","Март","Апрель","Май","Июнь","Июль","Август","Сентябрь","Октябрь","Ноябрь","Декабрь")&amp;" "&amp;YEAR(branches[[#This Row],[Дата]])</f>
        <v>Март 2025</v>
      </c>
      <c r="E1190" t="s">
        <v>11</v>
      </c>
      <c r="F1190" t="s">
        <v>12</v>
      </c>
      <c r="G1190">
        <v>1</v>
      </c>
      <c r="H1190">
        <v>181</v>
      </c>
      <c r="I1190" t="s">
        <v>35</v>
      </c>
      <c r="J1190" t="str">
        <f>_xlfn.XLOOKUP(branches[[#This Row],[Филиал]], tbl_Filialy[Филиал], tbl_Filialy[Менеджер])</f>
        <v>Павел Ткаченко</v>
      </c>
    </row>
    <row r="1191" spans="1:10" x14ac:dyDescent="0.3">
      <c r="A1191" t="str">
        <f>_xlfn.XLOOKUP(branches[[#This Row],[Филиал]], tbl_Filialy[Филиал], tbl_Filialy[Город])</f>
        <v>Краснодар</v>
      </c>
      <c r="B1191" s="1" t="s">
        <v>31</v>
      </c>
      <c r="C1191" s="2">
        <v>45756</v>
      </c>
      <c r="D1191" s="2" t="str">
        <f>CHOOSE(MONTH(branches[[#This Row],[Дата]]),"Январь","Февраль","Март","Апрель","Май","Июнь","Июль","Август","Сентябрь","Октябрь","Ноябрь","Декабрь")&amp;" "&amp;YEAR(branches[[#This Row],[Дата]])</f>
        <v>Апрель 2025</v>
      </c>
      <c r="E1191" t="s">
        <v>28</v>
      </c>
      <c r="F1191" t="s">
        <v>12</v>
      </c>
      <c r="G1191">
        <v>1</v>
      </c>
      <c r="H1191">
        <v>251</v>
      </c>
      <c r="I1191" t="s">
        <v>33</v>
      </c>
      <c r="J1191" t="str">
        <f>_xlfn.XLOOKUP(branches[[#This Row],[Филиал]], tbl_Filialy[Филиал], tbl_Filialy[Менеджер])</f>
        <v>Павел Ткаченко</v>
      </c>
    </row>
    <row r="1192" spans="1:10" x14ac:dyDescent="0.3">
      <c r="A1192" t="str">
        <f>_xlfn.XLOOKUP(branches[[#This Row],[Филиал]], tbl_Filialy[Филиал], tbl_Filialy[Город])</f>
        <v>Краснодар</v>
      </c>
      <c r="B1192" s="1" t="s">
        <v>31</v>
      </c>
      <c r="C1192" s="2">
        <v>45948</v>
      </c>
      <c r="D1192" s="2" t="str">
        <f>CHOOSE(MONTH(branches[[#This Row],[Дата]]),"Январь","Февраль","Март","Апрель","Май","Июнь","Июль","Август","Сентябрь","Октябрь","Ноябрь","Декабрь")&amp;" "&amp;YEAR(branches[[#This Row],[Дата]])</f>
        <v>Октябрь 2025</v>
      </c>
      <c r="E1192" t="s">
        <v>14</v>
      </c>
      <c r="F1192" t="s">
        <v>12</v>
      </c>
      <c r="G1192">
        <v>1</v>
      </c>
      <c r="H1192">
        <v>251</v>
      </c>
      <c r="I1192" t="s">
        <v>13</v>
      </c>
      <c r="J1192" t="str">
        <f>_xlfn.XLOOKUP(branches[[#This Row],[Филиал]], tbl_Filialy[Филиал], tbl_Filialy[Менеджер])</f>
        <v>Павел Ткаченко</v>
      </c>
    </row>
    <row r="1193" spans="1:10" x14ac:dyDescent="0.3">
      <c r="A1193" t="str">
        <f>_xlfn.XLOOKUP(branches[[#This Row],[Филиал]], tbl_Filialy[Филиал], tbl_Filialy[Город])</f>
        <v>Краснодар</v>
      </c>
      <c r="B1193" s="1" t="s">
        <v>31</v>
      </c>
      <c r="C1193" s="2">
        <v>45735</v>
      </c>
      <c r="D1193" s="2" t="str">
        <f>CHOOSE(MONTH(branches[[#This Row],[Дата]]),"Январь","Февраль","Март","Апрель","Май","Июнь","Июль","Август","Сентябрь","Октябрь","Ноябрь","Декабрь")&amp;" "&amp;YEAR(branches[[#This Row],[Дата]])</f>
        <v>Март 2025</v>
      </c>
      <c r="E1193" t="s">
        <v>20</v>
      </c>
      <c r="F1193" t="s">
        <v>12</v>
      </c>
      <c r="G1193">
        <v>1</v>
      </c>
      <c r="H1193">
        <v>275</v>
      </c>
      <c r="I1193" t="s">
        <v>13</v>
      </c>
      <c r="J1193" t="str">
        <f>_xlfn.XLOOKUP(branches[[#This Row],[Филиал]], tbl_Filialy[Филиал], tbl_Filialy[Менеджер])</f>
        <v>Павел Ткаченко</v>
      </c>
    </row>
    <row r="1194" spans="1:10" x14ac:dyDescent="0.3">
      <c r="A1194" t="str">
        <f>_xlfn.XLOOKUP(branches[[#This Row],[Филиал]], tbl_Filialy[Филиал], tbl_Filialy[Город])</f>
        <v>Краснодар</v>
      </c>
      <c r="B1194" s="1" t="s">
        <v>31</v>
      </c>
      <c r="C1194" s="2">
        <v>45804</v>
      </c>
      <c r="D1194" s="2" t="str">
        <f>CHOOSE(MONTH(branches[[#This Row],[Дата]]),"Январь","Февраль","Март","Апрель","Май","Июнь","Июль","Август","Сентябрь","Октябрь","Ноябрь","Декабрь")&amp;" "&amp;YEAR(branches[[#This Row],[Дата]])</f>
        <v>Май 2025</v>
      </c>
      <c r="E1194" t="s">
        <v>26</v>
      </c>
      <c r="F1194" t="s">
        <v>9</v>
      </c>
      <c r="G1194">
        <v>1</v>
      </c>
      <c r="H1194">
        <v>207</v>
      </c>
      <c r="I1194" t="s">
        <v>34</v>
      </c>
      <c r="J1194" t="str">
        <f>_xlfn.XLOOKUP(branches[[#This Row],[Филиал]], tbl_Filialy[Филиал], tbl_Filialy[Менеджер])</f>
        <v>Павел Ткаченко</v>
      </c>
    </row>
    <row r="1195" spans="1:10" x14ac:dyDescent="0.3">
      <c r="A1195" t="str">
        <f>_xlfn.XLOOKUP(branches[[#This Row],[Филиал]], tbl_Filialy[Филиал], tbl_Filialy[Город])</f>
        <v>Краснодар</v>
      </c>
      <c r="B1195" s="1" t="s">
        <v>31</v>
      </c>
      <c r="C1195" s="2">
        <v>45857</v>
      </c>
      <c r="D1195" s="2" t="str">
        <f>CHOOSE(MONTH(branches[[#This Row],[Дата]]),"Январь","Февраль","Март","Апрель","Май","Июнь","Июль","Август","Сентябрь","Октябрь","Ноябрь","Декабрь")&amp;" "&amp;YEAR(branches[[#This Row],[Дата]])</f>
        <v>Июль 2025</v>
      </c>
      <c r="E1195" t="s">
        <v>25</v>
      </c>
      <c r="F1195" t="s">
        <v>12</v>
      </c>
      <c r="G1195">
        <v>2</v>
      </c>
      <c r="H1195">
        <v>466</v>
      </c>
      <c r="I1195" t="s">
        <v>13</v>
      </c>
      <c r="J1195" t="str">
        <f>_xlfn.XLOOKUP(branches[[#This Row],[Филиал]], tbl_Filialy[Филиал], tbl_Filialy[Менеджер])</f>
        <v>Павел Ткаченко</v>
      </c>
    </row>
    <row r="1196" spans="1:10" x14ac:dyDescent="0.3">
      <c r="A1196" t="str">
        <f>_xlfn.XLOOKUP(branches[[#This Row],[Филиал]], tbl_Filialy[Филиал], tbl_Filialy[Город])</f>
        <v>Краснодар</v>
      </c>
      <c r="B1196" s="1" t="s">
        <v>31</v>
      </c>
      <c r="C1196" s="2">
        <v>45660</v>
      </c>
      <c r="D1196" s="2" t="str">
        <f>CHOOSE(MONTH(branches[[#This Row],[Дата]]),"Январь","Февраль","Март","Апрель","Май","Июнь","Июль","Август","Сентябрь","Октябрь","Ноябрь","Декабрь")&amp;" "&amp;YEAR(branches[[#This Row],[Дата]])</f>
        <v>Январь 2025</v>
      </c>
      <c r="E1196" t="s">
        <v>20</v>
      </c>
      <c r="F1196" t="s">
        <v>12</v>
      </c>
      <c r="G1196">
        <v>2</v>
      </c>
      <c r="H1196">
        <v>610</v>
      </c>
      <c r="I1196" t="s">
        <v>19</v>
      </c>
      <c r="J1196" t="str">
        <f>_xlfn.XLOOKUP(branches[[#This Row],[Филиал]], tbl_Filialy[Филиал], tbl_Filialy[Менеджер])</f>
        <v>Павел Ткаченко</v>
      </c>
    </row>
    <row r="1197" spans="1:10" x14ac:dyDescent="0.3">
      <c r="A1197" t="str">
        <f>_xlfn.XLOOKUP(branches[[#This Row],[Филиал]], tbl_Filialy[Филиал], tbl_Filialy[Город])</f>
        <v>Краснодар</v>
      </c>
      <c r="B1197" s="1" t="s">
        <v>31</v>
      </c>
      <c r="C1197" s="2">
        <v>45664</v>
      </c>
      <c r="D1197" s="2" t="str">
        <f>CHOOSE(MONTH(branches[[#This Row],[Дата]]),"Январь","Февраль","Март","Апрель","Май","Июнь","Июль","Август","Сентябрь","Октябрь","Ноябрь","Декабрь")&amp;" "&amp;YEAR(branches[[#This Row],[Дата]])</f>
        <v>Январь 2025</v>
      </c>
      <c r="E1197" t="s">
        <v>26</v>
      </c>
      <c r="F1197" t="s">
        <v>9</v>
      </c>
      <c r="G1197">
        <v>1</v>
      </c>
      <c r="H1197">
        <v>229</v>
      </c>
      <c r="I1197" t="s">
        <v>13</v>
      </c>
      <c r="J1197" t="str">
        <f>_xlfn.XLOOKUP(branches[[#This Row],[Филиал]], tbl_Filialy[Филиал], tbl_Filialy[Менеджер])</f>
        <v>Павел Ткаченко</v>
      </c>
    </row>
    <row r="1198" spans="1:10" x14ac:dyDescent="0.3">
      <c r="A1198" t="str">
        <f>_xlfn.XLOOKUP(branches[[#This Row],[Филиал]], tbl_Filialy[Филиал], tbl_Filialy[Город])</f>
        <v>Краснодар</v>
      </c>
      <c r="B1198" s="1" t="s">
        <v>31</v>
      </c>
      <c r="C1198" s="2">
        <v>45664</v>
      </c>
      <c r="D1198" s="2" t="str">
        <f>CHOOSE(MONTH(branches[[#This Row],[Дата]]),"Январь","Февраль","Март","Апрель","Май","Июнь","Июль","Август","Сентябрь","Октябрь","Ноябрь","Декабрь")&amp;" "&amp;YEAR(branches[[#This Row],[Дата]])</f>
        <v>Январь 2025</v>
      </c>
      <c r="E1198" t="s">
        <v>18</v>
      </c>
      <c r="F1198" t="s">
        <v>12</v>
      </c>
      <c r="G1198">
        <v>2</v>
      </c>
      <c r="H1198">
        <v>244</v>
      </c>
      <c r="I1198" t="s">
        <v>13</v>
      </c>
      <c r="J1198" t="str">
        <f>_xlfn.XLOOKUP(branches[[#This Row],[Филиал]], tbl_Filialy[Филиал], tbl_Filialy[Менеджер])</f>
        <v>Павел Ткаченко</v>
      </c>
    </row>
    <row r="1199" spans="1:10" x14ac:dyDescent="0.3">
      <c r="A1199" t="str">
        <f>_xlfn.XLOOKUP(branches[[#This Row],[Филиал]], tbl_Filialy[Филиал], tbl_Filialy[Город])</f>
        <v>Краснодар</v>
      </c>
      <c r="B1199" s="1" t="s">
        <v>31</v>
      </c>
      <c r="C1199" s="2">
        <v>45773</v>
      </c>
      <c r="D1199" s="2" t="str">
        <f>CHOOSE(MONTH(branches[[#This Row],[Дата]]),"Январь","Февраль","Март","Апрель","Май","Июнь","Июль","Август","Сентябрь","Октябрь","Ноябрь","Декабрь")&amp;" "&amp;YEAR(branches[[#This Row],[Дата]])</f>
        <v>Апрель 2025</v>
      </c>
      <c r="E1199" t="s">
        <v>16</v>
      </c>
      <c r="F1199" t="s">
        <v>17</v>
      </c>
      <c r="G1199">
        <v>2</v>
      </c>
      <c r="H1199">
        <v>670</v>
      </c>
      <c r="I1199" t="s">
        <v>34</v>
      </c>
      <c r="J1199" t="str">
        <f>_xlfn.XLOOKUP(branches[[#This Row],[Филиал]], tbl_Filialy[Филиал], tbl_Filialy[Менеджер])</f>
        <v>Павел Ткаченко</v>
      </c>
    </row>
    <row r="1200" spans="1:10" x14ac:dyDescent="0.3">
      <c r="A1200" t="str">
        <f>_xlfn.XLOOKUP(branches[[#This Row],[Филиал]], tbl_Filialy[Филиал], tbl_Filialy[Город])</f>
        <v>Краснодар</v>
      </c>
      <c r="B1200" s="1" t="s">
        <v>31</v>
      </c>
      <c r="C1200" s="2">
        <v>45677</v>
      </c>
      <c r="D1200" s="2" t="str">
        <f>CHOOSE(MONTH(branches[[#This Row],[Дата]]),"Январь","Февраль","Март","Апрель","Май","Июнь","Июль","Август","Сентябрь","Октябрь","Ноябрь","Декабрь")&amp;" "&amp;YEAR(branches[[#This Row],[Дата]])</f>
        <v>Январь 2025</v>
      </c>
      <c r="E1200" t="s">
        <v>22</v>
      </c>
      <c r="F1200" t="s">
        <v>9</v>
      </c>
      <c r="G1200">
        <v>2</v>
      </c>
      <c r="H1200">
        <v>390</v>
      </c>
      <c r="I1200" t="s">
        <v>32</v>
      </c>
      <c r="J1200" t="str">
        <f>_xlfn.XLOOKUP(branches[[#This Row],[Филиал]], tbl_Filialy[Филиал], tbl_Filialy[Менеджер])</f>
        <v>Павел Ткаченко</v>
      </c>
    </row>
    <row r="1201" spans="1:10" x14ac:dyDescent="0.3">
      <c r="A1201" t="str">
        <f>_xlfn.XLOOKUP(branches[[#This Row],[Филиал]], tbl_Filialy[Филиал], tbl_Filialy[Город])</f>
        <v>Краснодар</v>
      </c>
      <c r="B1201" s="1" t="s">
        <v>31</v>
      </c>
      <c r="C1201" s="2">
        <v>45691</v>
      </c>
      <c r="D1201" s="2" t="str">
        <f>CHOOSE(MONTH(branches[[#This Row],[Дата]]),"Январь","Февраль","Март","Апрель","Май","Июнь","Июль","Август","Сентябрь","Октябрь","Ноябрь","Декабрь")&amp;" "&amp;YEAR(branches[[#This Row],[Дата]])</f>
        <v>Февраль 2025</v>
      </c>
      <c r="E1201" t="s">
        <v>14</v>
      </c>
      <c r="F1201" t="s">
        <v>12</v>
      </c>
      <c r="G1201">
        <v>2</v>
      </c>
      <c r="H1201">
        <v>470</v>
      </c>
      <c r="I1201" t="s">
        <v>13</v>
      </c>
      <c r="J1201" t="str">
        <f>_xlfn.XLOOKUP(branches[[#This Row],[Филиал]], tbl_Filialy[Филиал], tbl_Filialy[Менеджер])</f>
        <v>Павел Ткаченко</v>
      </c>
    </row>
    <row r="1202" spans="1:10" x14ac:dyDescent="0.3">
      <c r="A1202" t="str">
        <f>_xlfn.XLOOKUP(branches[[#This Row],[Филиал]], tbl_Filialy[Филиал], tbl_Filialy[Город])</f>
        <v>Краснодар</v>
      </c>
      <c r="B1202" s="1" t="s">
        <v>31</v>
      </c>
      <c r="C1202" s="2">
        <v>45784</v>
      </c>
      <c r="D1202" s="2" t="str">
        <f>CHOOSE(MONTH(branches[[#This Row],[Дата]]),"Январь","Февраль","Март","Апрель","Май","Июнь","Июль","Август","Сентябрь","Октябрь","Ноябрь","Декабрь")&amp;" "&amp;YEAR(branches[[#This Row],[Дата]])</f>
        <v>Май 2025</v>
      </c>
      <c r="E1202" t="s">
        <v>18</v>
      </c>
      <c r="F1202" t="s">
        <v>12</v>
      </c>
      <c r="G1202">
        <v>2</v>
      </c>
      <c r="H1202">
        <v>312</v>
      </c>
      <c r="I1202" t="s">
        <v>33</v>
      </c>
      <c r="J1202" t="str">
        <f>_xlfn.XLOOKUP(branches[[#This Row],[Филиал]], tbl_Filialy[Филиал], tbl_Filialy[Менеджер])</f>
        <v>Павел Ткаченко</v>
      </c>
    </row>
    <row r="1203" spans="1:10" x14ac:dyDescent="0.3">
      <c r="A1203" t="str">
        <f>_xlfn.XLOOKUP(branches[[#This Row],[Филиал]], tbl_Filialy[Филиал], tbl_Filialy[Город])</f>
        <v>Краснодар</v>
      </c>
      <c r="B1203" s="1" t="s">
        <v>31</v>
      </c>
      <c r="C1203" s="2">
        <v>45841</v>
      </c>
      <c r="D1203" s="2" t="str">
        <f>CHOOSE(MONTH(branches[[#This Row],[Дата]]),"Январь","Февраль","Март","Апрель","Май","Июнь","Июль","Август","Сентябрь","Октябрь","Ноябрь","Декабрь")&amp;" "&amp;YEAR(branches[[#This Row],[Дата]])</f>
        <v>Июль 2025</v>
      </c>
      <c r="E1203" t="s">
        <v>28</v>
      </c>
      <c r="F1203" t="s">
        <v>12</v>
      </c>
      <c r="G1203">
        <v>1</v>
      </c>
      <c r="H1203">
        <v>250</v>
      </c>
      <c r="I1203" t="s">
        <v>32</v>
      </c>
      <c r="J1203" t="str">
        <f>_xlfn.XLOOKUP(branches[[#This Row],[Филиал]], tbl_Filialy[Филиал], tbl_Filialy[Менеджер])</f>
        <v>Павел Ткаченко</v>
      </c>
    </row>
    <row r="1204" spans="1:10" x14ac:dyDescent="0.3">
      <c r="A1204" t="str">
        <f>_xlfn.XLOOKUP(branches[[#This Row],[Филиал]], tbl_Filialy[Филиал], tbl_Filialy[Город])</f>
        <v>Краснодар</v>
      </c>
      <c r="B1204" s="1" t="s">
        <v>31</v>
      </c>
      <c r="C1204" s="2">
        <v>46016</v>
      </c>
      <c r="D1204" s="2" t="str">
        <f>CHOOSE(MONTH(branches[[#This Row],[Дата]]),"Январь","Февраль","Март","Апрель","Май","Июнь","Июль","Август","Сентябрь","Октябрь","Ноябрь","Декабрь")&amp;" "&amp;YEAR(branches[[#This Row],[Дата]])</f>
        <v>Декабрь 2025</v>
      </c>
      <c r="E1204" t="s">
        <v>11</v>
      </c>
      <c r="F1204" t="s">
        <v>12</v>
      </c>
      <c r="G1204">
        <v>3</v>
      </c>
      <c r="H1204">
        <v>510</v>
      </c>
      <c r="I1204" t="s">
        <v>33</v>
      </c>
      <c r="J1204" t="str">
        <f>_xlfn.XLOOKUP(branches[[#This Row],[Филиал]], tbl_Filialy[Филиал], tbl_Filialy[Менеджер])</f>
        <v>Павел Ткаченко</v>
      </c>
    </row>
    <row r="1205" spans="1:10" x14ac:dyDescent="0.3">
      <c r="A1205" t="str">
        <f>_xlfn.XLOOKUP(branches[[#This Row],[Филиал]], tbl_Filialy[Филиал], tbl_Filialy[Город])</f>
        <v>Краснодар</v>
      </c>
      <c r="B1205" s="1" t="s">
        <v>31</v>
      </c>
      <c r="C1205" s="2">
        <v>45718</v>
      </c>
      <c r="D1205" s="2" t="str">
        <f>CHOOSE(MONTH(branches[[#This Row],[Дата]]),"Январь","Февраль","Март","Апрель","Май","Июнь","Июль","Август","Сентябрь","Октябрь","Ноябрь","Декабрь")&amp;" "&amp;YEAR(branches[[#This Row],[Дата]])</f>
        <v>Март 2025</v>
      </c>
      <c r="E1205" t="s">
        <v>8</v>
      </c>
      <c r="F1205" t="s">
        <v>9</v>
      </c>
      <c r="G1205">
        <v>3</v>
      </c>
      <c r="H1205">
        <v>798</v>
      </c>
      <c r="I1205" t="s">
        <v>32</v>
      </c>
      <c r="J1205" t="str">
        <f>_xlfn.XLOOKUP(branches[[#This Row],[Филиал]], tbl_Filialy[Филиал], tbl_Filialy[Менеджер])</f>
        <v>Павел Ткаченко</v>
      </c>
    </row>
    <row r="1206" spans="1:10" x14ac:dyDescent="0.3">
      <c r="A1206" t="str">
        <f>_xlfn.XLOOKUP(branches[[#This Row],[Филиал]], tbl_Filialy[Филиал], tbl_Filialy[Город])</f>
        <v>Краснодар</v>
      </c>
      <c r="B1206" s="1" t="s">
        <v>31</v>
      </c>
      <c r="C1206" s="2">
        <v>45905</v>
      </c>
      <c r="D1206" s="2" t="str">
        <f>CHOOSE(MONTH(branches[[#This Row],[Дата]]),"Январь","Февраль","Март","Апрель","Май","Июнь","Июль","Август","Сентябрь","Октябрь","Ноябрь","Декабрь")&amp;" "&amp;YEAR(branches[[#This Row],[Дата]])</f>
        <v>Сентябрь 2025</v>
      </c>
      <c r="E1206" t="s">
        <v>8</v>
      </c>
      <c r="F1206" t="s">
        <v>9</v>
      </c>
      <c r="G1206">
        <v>2</v>
      </c>
      <c r="H1206">
        <v>522</v>
      </c>
      <c r="I1206" t="s">
        <v>19</v>
      </c>
      <c r="J1206" t="str">
        <f>_xlfn.XLOOKUP(branches[[#This Row],[Филиал]], tbl_Filialy[Филиал], tbl_Filialy[Менеджер])</f>
        <v>Павел Ткаченко</v>
      </c>
    </row>
    <row r="1207" spans="1:10" x14ac:dyDescent="0.3">
      <c r="A1207" t="str">
        <f>_xlfn.XLOOKUP(branches[[#This Row],[Филиал]], tbl_Filialy[Филиал], tbl_Filialy[Город])</f>
        <v>Краснодар</v>
      </c>
      <c r="B1207" s="1" t="s">
        <v>31</v>
      </c>
      <c r="C1207" s="2">
        <v>45794</v>
      </c>
      <c r="D1207" s="2" t="str">
        <f>CHOOSE(MONTH(branches[[#This Row],[Дата]]),"Январь","Февраль","Март","Апрель","Май","Июнь","Июль","Август","Сентябрь","Октябрь","Ноябрь","Декабрь")&amp;" "&amp;YEAR(branches[[#This Row],[Дата]])</f>
        <v>Май 2025</v>
      </c>
      <c r="E1207" t="s">
        <v>8</v>
      </c>
      <c r="F1207" t="s">
        <v>9</v>
      </c>
      <c r="G1207">
        <v>2</v>
      </c>
      <c r="H1207">
        <v>522</v>
      </c>
      <c r="I1207" t="s">
        <v>32</v>
      </c>
      <c r="J1207" t="str">
        <f>_xlfn.XLOOKUP(branches[[#This Row],[Филиал]], tbl_Filialy[Филиал], tbl_Filialy[Менеджер])</f>
        <v>Павел Ткаченко</v>
      </c>
    </row>
    <row r="1208" spans="1:10" x14ac:dyDescent="0.3">
      <c r="A1208" t="str">
        <f>_xlfn.XLOOKUP(branches[[#This Row],[Филиал]], tbl_Filialy[Филиал], tbl_Filialy[Город])</f>
        <v>Краснодар</v>
      </c>
      <c r="B1208" s="1" t="s">
        <v>31</v>
      </c>
      <c r="C1208" s="2">
        <v>45783</v>
      </c>
      <c r="D1208" s="2" t="str">
        <f>CHOOSE(MONTH(branches[[#This Row],[Дата]]),"Январь","Февраль","Март","Апрель","Май","Июнь","Июль","Август","Сентябрь","Октябрь","Ноябрь","Декабрь")&amp;" "&amp;YEAR(branches[[#This Row],[Дата]])</f>
        <v>Май 2025</v>
      </c>
      <c r="E1208" t="s">
        <v>28</v>
      </c>
      <c r="F1208" t="s">
        <v>12</v>
      </c>
      <c r="G1208">
        <v>1</v>
      </c>
      <c r="H1208">
        <v>229</v>
      </c>
      <c r="I1208" t="s">
        <v>35</v>
      </c>
      <c r="J1208" t="str">
        <f>_xlfn.XLOOKUP(branches[[#This Row],[Филиал]], tbl_Filialy[Филиал], tbl_Filialy[Менеджер])</f>
        <v>Павел Ткаченко</v>
      </c>
    </row>
    <row r="1209" spans="1:10" x14ac:dyDescent="0.3">
      <c r="A1209" t="str">
        <f>_xlfn.XLOOKUP(branches[[#This Row],[Филиал]], tbl_Filialy[Филиал], tbl_Filialy[Город])</f>
        <v>Краснодар</v>
      </c>
      <c r="B1209" s="1" t="s">
        <v>31</v>
      </c>
      <c r="C1209" s="2">
        <v>46007</v>
      </c>
      <c r="D1209" s="2" t="str">
        <f>CHOOSE(MONTH(branches[[#This Row],[Дата]]),"Январь","Февраль","Март","Апрель","Май","Июнь","Июль","Август","Сентябрь","Октябрь","Ноябрь","Декабрь")&amp;" "&amp;YEAR(branches[[#This Row],[Дата]])</f>
        <v>Декабрь 2025</v>
      </c>
      <c r="E1209" t="s">
        <v>25</v>
      </c>
      <c r="F1209" t="s">
        <v>12</v>
      </c>
      <c r="G1209">
        <v>2</v>
      </c>
      <c r="H1209">
        <v>402</v>
      </c>
      <c r="I1209" t="s">
        <v>35</v>
      </c>
      <c r="J1209" t="str">
        <f>_xlfn.XLOOKUP(branches[[#This Row],[Филиал]], tbl_Filialy[Филиал], tbl_Filialy[Менеджер])</f>
        <v>Павел Ткаченко</v>
      </c>
    </row>
    <row r="1210" spans="1:10" x14ac:dyDescent="0.3">
      <c r="A1210" t="str">
        <f>_xlfn.XLOOKUP(branches[[#This Row],[Филиал]], tbl_Filialy[Филиал], tbl_Filialy[Город])</f>
        <v>Краснодар</v>
      </c>
      <c r="B1210" s="1" t="s">
        <v>31</v>
      </c>
      <c r="C1210" s="2">
        <v>45814</v>
      </c>
      <c r="D1210" s="2" t="str">
        <f>CHOOSE(MONTH(branches[[#This Row],[Дата]]),"Январь","Февраль","Март","Апрель","Май","Июнь","Июль","Август","Сентябрь","Октябрь","Ноябрь","Декабрь")&amp;" "&amp;YEAR(branches[[#This Row],[Дата]])</f>
        <v>Июнь 2025</v>
      </c>
      <c r="E1210" t="s">
        <v>25</v>
      </c>
      <c r="F1210" t="s">
        <v>12</v>
      </c>
      <c r="G1210">
        <v>1</v>
      </c>
      <c r="H1210">
        <v>237</v>
      </c>
      <c r="I1210" t="s">
        <v>35</v>
      </c>
      <c r="J1210" t="str">
        <f>_xlfn.XLOOKUP(branches[[#This Row],[Филиал]], tbl_Filialy[Филиал], tbl_Filialy[Менеджер])</f>
        <v>Павел Ткаченко</v>
      </c>
    </row>
    <row r="1211" spans="1:10" x14ac:dyDescent="0.3">
      <c r="A1211" t="str">
        <f>_xlfn.XLOOKUP(branches[[#This Row],[Филиал]], tbl_Filialy[Филиал], tbl_Filialy[Город])</f>
        <v>Краснодар</v>
      </c>
      <c r="B1211" s="1" t="s">
        <v>31</v>
      </c>
      <c r="C1211" s="2">
        <v>45722</v>
      </c>
      <c r="D1211" s="2" t="str">
        <f>CHOOSE(MONTH(branches[[#This Row],[Дата]]),"Январь","Февраль","Март","Апрель","Май","Июнь","Июль","Август","Сентябрь","Октябрь","Ноябрь","Декабрь")&amp;" "&amp;YEAR(branches[[#This Row],[Дата]])</f>
        <v>Март 2025</v>
      </c>
      <c r="E1211" t="s">
        <v>25</v>
      </c>
      <c r="F1211" t="s">
        <v>12</v>
      </c>
      <c r="G1211">
        <v>1</v>
      </c>
      <c r="H1211">
        <v>214</v>
      </c>
      <c r="I1211" t="s">
        <v>13</v>
      </c>
      <c r="J1211" t="str">
        <f>_xlfn.XLOOKUP(branches[[#This Row],[Филиал]], tbl_Filialy[Филиал], tbl_Filialy[Менеджер])</f>
        <v>Павел Ткаченко</v>
      </c>
    </row>
    <row r="1212" spans="1:10" x14ac:dyDescent="0.3">
      <c r="A1212" t="str">
        <f>_xlfn.XLOOKUP(branches[[#This Row],[Филиал]], tbl_Filialy[Филиал], tbl_Filialy[Город])</f>
        <v>Краснодар</v>
      </c>
      <c r="B1212" s="1" t="s">
        <v>31</v>
      </c>
      <c r="C1212" s="2">
        <v>45690</v>
      </c>
      <c r="D1212" s="2" t="str">
        <f>CHOOSE(MONTH(branches[[#This Row],[Дата]]),"Январь","Февраль","Март","Апрель","Май","Июнь","Июль","Август","Сентябрь","Октябрь","Ноябрь","Декабрь")&amp;" "&amp;YEAR(branches[[#This Row],[Дата]])</f>
        <v>Февраль 2025</v>
      </c>
      <c r="E1212" t="s">
        <v>22</v>
      </c>
      <c r="F1212" t="s">
        <v>9</v>
      </c>
      <c r="G1212">
        <v>2</v>
      </c>
      <c r="H1212">
        <v>340</v>
      </c>
      <c r="I1212" t="s">
        <v>32</v>
      </c>
      <c r="J1212" t="str">
        <f>_xlfn.XLOOKUP(branches[[#This Row],[Филиал]], tbl_Filialy[Филиал], tbl_Filialy[Менеджер])</f>
        <v>Павел Ткаченко</v>
      </c>
    </row>
    <row r="1213" spans="1:10" x14ac:dyDescent="0.3">
      <c r="A1213" t="str">
        <f>_xlfn.XLOOKUP(branches[[#This Row],[Филиал]], tbl_Filialy[Филиал], tbl_Filialy[Город])</f>
        <v>Краснодар</v>
      </c>
      <c r="B1213" s="1" t="s">
        <v>31</v>
      </c>
      <c r="C1213" s="2">
        <v>46005</v>
      </c>
      <c r="D1213" s="2" t="str">
        <f>CHOOSE(MONTH(branches[[#This Row],[Дата]]),"Январь","Февраль","Март","Апрель","Май","Июнь","Июль","Август","Сентябрь","Октябрь","Ноябрь","Декабрь")&amp;" "&amp;YEAR(branches[[#This Row],[Дата]])</f>
        <v>Декабрь 2025</v>
      </c>
      <c r="E1213" t="s">
        <v>28</v>
      </c>
      <c r="F1213" t="s">
        <v>12</v>
      </c>
      <c r="G1213">
        <v>3</v>
      </c>
      <c r="H1213">
        <v>624</v>
      </c>
      <c r="I1213" t="s">
        <v>19</v>
      </c>
      <c r="J1213" t="str">
        <f>_xlfn.XLOOKUP(branches[[#This Row],[Филиал]], tbl_Filialy[Филиал], tbl_Filialy[Менеджер])</f>
        <v>Павел Ткаченко</v>
      </c>
    </row>
    <row r="1214" spans="1:10" x14ac:dyDescent="0.3">
      <c r="A1214" t="str">
        <f>_xlfn.XLOOKUP(branches[[#This Row],[Филиал]], tbl_Filialy[Филиал], tbl_Filialy[Город])</f>
        <v>Краснодар</v>
      </c>
      <c r="B1214" s="1" t="s">
        <v>31</v>
      </c>
      <c r="C1214" s="2">
        <v>45954</v>
      </c>
      <c r="D1214" s="2" t="str">
        <f>CHOOSE(MONTH(branches[[#This Row],[Дата]]),"Январь","Февраль","Март","Апрель","Май","Июнь","Июль","Август","Сентябрь","Октябрь","Ноябрь","Декабрь")&amp;" "&amp;YEAR(branches[[#This Row],[Дата]])</f>
        <v>Октябрь 2025</v>
      </c>
      <c r="E1214" t="s">
        <v>11</v>
      </c>
      <c r="F1214" t="s">
        <v>12</v>
      </c>
      <c r="G1214">
        <v>1</v>
      </c>
      <c r="H1214">
        <v>159</v>
      </c>
      <c r="I1214" t="s">
        <v>19</v>
      </c>
      <c r="J1214" t="str">
        <f>_xlfn.XLOOKUP(branches[[#This Row],[Филиал]], tbl_Filialy[Филиал], tbl_Filialy[Менеджер])</f>
        <v>Павел Ткаченко</v>
      </c>
    </row>
    <row r="1215" spans="1:10" x14ac:dyDescent="0.3">
      <c r="A1215" t="str">
        <f>_xlfn.XLOOKUP(branches[[#This Row],[Филиал]], tbl_Filialy[Филиал], tbl_Filialy[Город])</f>
        <v>Краснодар</v>
      </c>
      <c r="B1215" s="1" t="s">
        <v>31</v>
      </c>
      <c r="C1215" s="2">
        <v>45764</v>
      </c>
      <c r="D1215" s="2" t="str">
        <f>CHOOSE(MONTH(branches[[#This Row],[Дата]]),"Январь","Февраль","Март","Апрель","Май","Июнь","Июль","Август","Сентябрь","Октябрь","Ноябрь","Декабрь")&amp;" "&amp;YEAR(branches[[#This Row],[Дата]])</f>
        <v>Апрель 2025</v>
      </c>
      <c r="E1215" t="s">
        <v>20</v>
      </c>
      <c r="F1215" t="s">
        <v>12</v>
      </c>
      <c r="G1215">
        <v>1</v>
      </c>
      <c r="H1215">
        <v>308</v>
      </c>
      <c r="I1215" t="s">
        <v>34</v>
      </c>
      <c r="J1215" t="str">
        <f>_xlfn.XLOOKUP(branches[[#This Row],[Филиал]], tbl_Filialy[Филиал], tbl_Filialy[Менеджер])</f>
        <v>Павел Ткаченко</v>
      </c>
    </row>
    <row r="1216" spans="1:10" x14ac:dyDescent="0.3">
      <c r="A1216" t="str">
        <f>_xlfn.XLOOKUP(branches[[#This Row],[Филиал]], tbl_Filialy[Филиал], tbl_Filialy[Город])</f>
        <v>Краснодар</v>
      </c>
      <c r="B1216" s="1" t="s">
        <v>31</v>
      </c>
      <c r="C1216" s="2">
        <v>45717</v>
      </c>
      <c r="D1216" s="2" t="str">
        <f>CHOOSE(MONTH(branches[[#This Row],[Дата]]),"Январь","Февраль","Март","Апрель","Май","Июнь","Июль","Август","Сентябрь","Октябрь","Ноябрь","Декабрь")&amp;" "&amp;YEAR(branches[[#This Row],[Дата]])</f>
        <v>Март 2025</v>
      </c>
      <c r="E1216" t="s">
        <v>27</v>
      </c>
      <c r="F1216" t="s">
        <v>12</v>
      </c>
      <c r="G1216">
        <v>2</v>
      </c>
      <c r="H1216">
        <v>460</v>
      </c>
      <c r="I1216" t="s">
        <v>19</v>
      </c>
      <c r="J1216" t="str">
        <f>_xlfn.XLOOKUP(branches[[#This Row],[Филиал]], tbl_Filialy[Филиал], tbl_Filialy[Менеджер])</f>
        <v>Павел Ткаченко</v>
      </c>
    </row>
    <row r="1217" spans="1:10" x14ac:dyDescent="0.3">
      <c r="A1217" t="str">
        <f>_xlfn.XLOOKUP(branches[[#This Row],[Филиал]], tbl_Filialy[Филиал], tbl_Filialy[Город])</f>
        <v>Краснодар</v>
      </c>
      <c r="B1217" s="1" t="s">
        <v>31</v>
      </c>
      <c r="C1217" s="2">
        <v>45863</v>
      </c>
      <c r="D1217" s="2" t="str">
        <f>CHOOSE(MONTH(branches[[#This Row],[Дата]]),"Январь","Февраль","Март","Апрель","Май","Июнь","Июль","Август","Сентябрь","Октябрь","Ноябрь","Декабрь")&amp;" "&amp;YEAR(branches[[#This Row],[Дата]])</f>
        <v>Июль 2025</v>
      </c>
      <c r="E1217" t="s">
        <v>8</v>
      </c>
      <c r="F1217" t="s">
        <v>9</v>
      </c>
      <c r="G1217">
        <v>3</v>
      </c>
      <c r="H1217">
        <v>810</v>
      </c>
      <c r="I1217" t="s">
        <v>35</v>
      </c>
      <c r="J1217" t="str">
        <f>_xlfn.XLOOKUP(branches[[#This Row],[Филиал]], tbl_Filialy[Филиал], tbl_Filialy[Менеджер])</f>
        <v>Павел Ткаченко</v>
      </c>
    </row>
    <row r="1218" spans="1:10" x14ac:dyDescent="0.3">
      <c r="A1218" t="str">
        <f>_xlfn.XLOOKUP(branches[[#This Row],[Филиал]], tbl_Filialy[Филиал], tbl_Filialy[Город])</f>
        <v>Краснодар</v>
      </c>
      <c r="B1218" s="1" t="s">
        <v>31</v>
      </c>
      <c r="C1218" s="2">
        <v>45684</v>
      </c>
      <c r="D1218" s="2" t="str">
        <f>CHOOSE(MONTH(branches[[#This Row],[Дата]]),"Январь","Февраль","Март","Апрель","Май","Июнь","Июль","Август","Сентябрь","Октябрь","Ноябрь","Декабрь")&amp;" "&amp;YEAR(branches[[#This Row],[Дата]])</f>
        <v>Январь 2025</v>
      </c>
      <c r="E1218" t="s">
        <v>20</v>
      </c>
      <c r="F1218" t="s">
        <v>12</v>
      </c>
      <c r="G1218">
        <v>1</v>
      </c>
      <c r="H1218">
        <v>285</v>
      </c>
      <c r="I1218" t="s">
        <v>35</v>
      </c>
      <c r="J1218" t="str">
        <f>_xlfn.XLOOKUP(branches[[#This Row],[Филиал]], tbl_Filialy[Филиал], tbl_Filialy[Менеджер])</f>
        <v>Павел Ткаченко</v>
      </c>
    </row>
    <row r="1219" spans="1:10" x14ac:dyDescent="0.3">
      <c r="A1219" t="str">
        <f>_xlfn.XLOOKUP(branches[[#This Row],[Филиал]], tbl_Filialy[Филиал], tbl_Filialy[Город])</f>
        <v>Краснодар</v>
      </c>
      <c r="B1219" s="1" t="s">
        <v>31</v>
      </c>
      <c r="C1219" s="2">
        <v>45729</v>
      </c>
      <c r="D1219" s="2" t="str">
        <f>CHOOSE(MONTH(branches[[#This Row],[Дата]]),"Январь","Февраль","Март","Апрель","Май","Июнь","Июль","Август","Сентябрь","Октябрь","Ноябрь","Декабрь")&amp;" "&amp;YEAR(branches[[#This Row],[Дата]])</f>
        <v>Март 2025</v>
      </c>
      <c r="E1219" t="s">
        <v>11</v>
      </c>
      <c r="F1219" t="s">
        <v>12</v>
      </c>
      <c r="G1219">
        <v>3</v>
      </c>
      <c r="H1219">
        <v>567</v>
      </c>
      <c r="I1219" t="s">
        <v>19</v>
      </c>
      <c r="J1219" t="str">
        <f>_xlfn.XLOOKUP(branches[[#This Row],[Филиал]], tbl_Filialy[Филиал], tbl_Filialy[Менеджер])</f>
        <v>Павел Ткаченко</v>
      </c>
    </row>
    <row r="1220" spans="1:10" x14ac:dyDescent="0.3">
      <c r="A1220" t="str">
        <f>_xlfn.XLOOKUP(branches[[#This Row],[Филиал]], tbl_Filialy[Филиал], tbl_Filialy[Город])</f>
        <v>Краснодар</v>
      </c>
      <c r="B1220" s="1" t="s">
        <v>31</v>
      </c>
      <c r="C1220" s="2">
        <v>45692</v>
      </c>
      <c r="D1220" s="2" t="str">
        <f>CHOOSE(MONTH(branches[[#This Row],[Дата]]),"Январь","Февраль","Март","Апрель","Май","Июнь","Июль","Август","Сентябрь","Октябрь","Ноябрь","Декабрь")&amp;" "&amp;YEAR(branches[[#This Row],[Дата]])</f>
        <v>Февраль 2025</v>
      </c>
      <c r="E1220" t="s">
        <v>18</v>
      </c>
      <c r="F1220" t="s">
        <v>12</v>
      </c>
      <c r="G1220">
        <v>2</v>
      </c>
      <c r="H1220">
        <v>292</v>
      </c>
      <c r="I1220" t="s">
        <v>19</v>
      </c>
      <c r="J1220" t="str">
        <f>_xlfn.XLOOKUP(branches[[#This Row],[Филиал]], tbl_Filialy[Филиал], tbl_Filialy[Менеджер])</f>
        <v>Павел Ткаченко</v>
      </c>
    </row>
    <row r="1221" spans="1:10" x14ac:dyDescent="0.3">
      <c r="A1221" t="str">
        <f>_xlfn.XLOOKUP(branches[[#This Row],[Филиал]], tbl_Filialy[Филиал], tbl_Filialy[Город])</f>
        <v>Краснодар</v>
      </c>
      <c r="B1221" s="1" t="s">
        <v>31</v>
      </c>
      <c r="C1221" s="2">
        <v>45660</v>
      </c>
      <c r="D1221" s="2" t="str">
        <f>CHOOSE(MONTH(branches[[#This Row],[Дата]]),"Январь","Февраль","Март","Апрель","Май","Июнь","Июль","Август","Сентябрь","Октябрь","Ноябрь","Декабрь")&amp;" "&amp;YEAR(branches[[#This Row],[Дата]])</f>
        <v>Январь 2025</v>
      </c>
      <c r="E1221" t="s">
        <v>27</v>
      </c>
      <c r="F1221" t="s">
        <v>12</v>
      </c>
      <c r="G1221">
        <v>1</v>
      </c>
      <c r="H1221">
        <v>224</v>
      </c>
      <c r="I1221" t="s">
        <v>34</v>
      </c>
      <c r="J1221" t="str">
        <f>_xlfn.XLOOKUP(branches[[#This Row],[Филиал]], tbl_Filialy[Филиал], tbl_Filialy[Менеджер])</f>
        <v>Павел Ткаченко</v>
      </c>
    </row>
    <row r="1222" spans="1:10" x14ac:dyDescent="0.3">
      <c r="A1222" t="str">
        <f>_xlfn.XLOOKUP(branches[[#This Row],[Филиал]], tbl_Filialy[Филиал], tbl_Filialy[Город])</f>
        <v>Краснодар</v>
      </c>
      <c r="B1222" s="1" t="s">
        <v>31</v>
      </c>
      <c r="C1222" s="2">
        <v>45962</v>
      </c>
      <c r="D1222" s="2" t="str">
        <f>CHOOSE(MONTH(branches[[#This Row],[Дата]]),"Январь","Февраль","Март","Апрель","Май","Июнь","Июль","Август","Сентябрь","Октябрь","Ноябрь","Декабрь")&amp;" "&amp;YEAR(branches[[#This Row],[Дата]])</f>
        <v>Ноябрь 2025</v>
      </c>
      <c r="E1222" t="s">
        <v>25</v>
      </c>
      <c r="F1222" t="s">
        <v>12</v>
      </c>
      <c r="G1222">
        <v>1</v>
      </c>
      <c r="H1222">
        <v>205</v>
      </c>
      <c r="I1222" t="s">
        <v>13</v>
      </c>
      <c r="J1222" t="str">
        <f>_xlfn.XLOOKUP(branches[[#This Row],[Филиал]], tbl_Filialy[Филиал], tbl_Filialy[Менеджер])</f>
        <v>Павел Ткаченко</v>
      </c>
    </row>
    <row r="1223" spans="1:10" x14ac:dyDescent="0.3">
      <c r="A1223" t="str">
        <f>_xlfn.XLOOKUP(branches[[#This Row],[Филиал]], tbl_Filialy[Филиал], tbl_Filialy[Город])</f>
        <v>Краснодар</v>
      </c>
      <c r="B1223" s="1" t="s">
        <v>31</v>
      </c>
      <c r="C1223" s="2">
        <v>45717</v>
      </c>
      <c r="D1223" s="2" t="str">
        <f>CHOOSE(MONTH(branches[[#This Row],[Дата]]),"Январь","Февраль","Март","Апрель","Май","Июнь","Июль","Август","Сентябрь","Октябрь","Ноябрь","Декабрь")&amp;" "&amp;YEAR(branches[[#This Row],[Дата]])</f>
        <v>Март 2025</v>
      </c>
      <c r="E1223" t="s">
        <v>24</v>
      </c>
      <c r="F1223" t="s">
        <v>17</v>
      </c>
      <c r="G1223">
        <v>2</v>
      </c>
      <c r="H1223">
        <v>814</v>
      </c>
      <c r="I1223" t="s">
        <v>33</v>
      </c>
      <c r="J1223" t="str">
        <f>_xlfn.XLOOKUP(branches[[#This Row],[Филиал]], tbl_Filialy[Филиал], tbl_Filialy[Менеджер])</f>
        <v>Павел Ткаченко</v>
      </c>
    </row>
    <row r="1224" spans="1:10" x14ac:dyDescent="0.3">
      <c r="A1224" t="str">
        <f>_xlfn.XLOOKUP(branches[[#This Row],[Филиал]], tbl_Filialy[Филиал], tbl_Filialy[Город])</f>
        <v>Краснодар</v>
      </c>
      <c r="B1224" s="1" t="s">
        <v>31</v>
      </c>
      <c r="C1224" s="2">
        <v>45803</v>
      </c>
      <c r="D1224" s="2" t="str">
        <f>CHOOSE(MONTH(branches[[#This Row],[Дата]]),"Январь","Февраль","Март","Апрель","Май","Июнь","Июль","Август","Сентябрь","Октябрь","Ноябрь","Декабрь")&amp;" "&amp;YEAR(branches[[#This Row],[Дата]])</f>
        <v>Май 2025</v>
      </c>
      <c r="E1224" t="s">
        <v>22</v>
      </c>
      <c r="F1224" t="s">
        <v>9</v>
      </c>
      <c r="G1224">
        <v>2</v>
      </c>
      <c r="H1224">
        <v>362</v>
      </c>
      <c r="I1224" t="s">
        <v>34</v>
      </c>
      <c r="J1224" t="str">
        <f>_xlfn.XLOOKUP(branches[[#This Row],[Филиал]], tbl_Filialy[Филиал], tbl_Filialy[Менеджер])</f>
        <v>Павел Ткаченко</v>
      </c>
    </row>
    <row r="1225" spans="1:10" x14ac:dyDescent="0.3">
      <c r="A1225" t="str">
        <f>_xlfn.XLOOKUP(branches[[#This Row],[Филиал]], tbl_Filialy[Филиал], tbl_Filialy[Город])</f>
        <v>Краснодар</v>
      </c>
      <c r="B1225" s="1" t="s">
        <v>31</v>
      </c>
      <c r="C1225" s="2">
        <v>45861</v>
      </c>
      <c r="D1225" s="2" t="str">
        <f>CHOOSE(MONTH(branches[[#This Row],[Дата]]),"Январь","Февраль","Март","Апрель","Май","Июнь","Июль","Август","Сентябрь","Октябрь","Ноябрь","Декабрь")&amp;" "&amp;YEAR(branches[[#This Row],[Дата]])</f>
        <v>Июль 2025</v>
      </c>
      <c r="E1225" t="s">
        <v>27</v>
      </c>
      <c r="F1225" t="s">
        <v>12</v>
      </c>
      <c r="G1225">
        <v>3</v>
      </c>
      <c r="H1225">
        <v>609</v>
      </c>
      <c r="I1225" t="s">
        <v>32</v>
      </c>
      <c r="J1225" t="str">
        <f>_xlfn.XLOOKUP(branches[[#This Row],[Филиал]], tbl_Filialy[Филиал], tbl_Filialy[Менеджер])</f>
        <v>Павел Ткаченко</v>
      </c>
    </row>
    <row r="1226" spans="1:10" x14ac:dyDescent="0.3">
      <c r="A1226" t="str">
        <f>_xlfn.XLOOKUP(branches[[#This Row],[Филиал]], tbl_Filialy[Филиал], tbl_Filialy[Город])</f>
        <v>Краснодар</v>
      </c>
      <c r="B1226" s="1" t="s">
        <v>31</v>
      </c>
      <c r="C1226" s="2">
        <v>45791</v>
      </c>
      <c r="D1226" s="2" t="str">
        <f>CHOOSE(MONTH(branches[[#This Row],[Дата]]),"Январь","Февраль","Март","Апрель","Май","Июнь","Июль","Август","Сентябрь","Октябрь","Ноябрь","Декабрь")&amp;" "&amp;YEAR(branches[[#This Row],[Дата]])</f>
        <v>Май 2025</v>
      </c>
      <c r="E1226" t="s">
        <v>8</v>
      </c>
      <c r="F1226" t="s">
        <v>9</v>
      </c>
      <c r="G1226">
        <v>2</v>
      </c>
      <c r="H1226">
        <v>560</v>
      </c>
      <c r="I1226" t="s">
        <v>13</v>
      </c>
      <c r="J1226" t="str">
        <f>_xlfn.XLOOKUP(branches[[#This Row],[Филиал]], tbl_Filialy[Филиал], tbl_Filialy[Менеджер])</f>
        <v>Павел Ткаченко</v>
      </c>
    </row>
    <row r="1227" spans="1:10" x14ac:dyDescent="0.3">
      <c r="A1227" t="str">
        <f>_xlfn.XLOOKUP(branches[[#This Row],[Филиал]], tbl_Filialy[Филиал], tbl_Filialy[Город])</f>
        <v>Краснодар</v>
      </c>
      <c r="B1227" s="1" t="s">
        <v>31</v>
      </c>
      <c r="C1227" s="2">
        <v>45896</v>
      </c>
      <c r="D1227" s="2" t="str">
        <f>CHOOSE(MONTH(branches[[#This Row],[Дата]]),"Январь","Февраль","Март","Апрель","Май","Июнь","Июль","Август","Сентябрь","Октябрь","Ноябрь","Декабрь")&amp;" "&amp;YEAR(branches[[#This Row],[Дата]])</f>
        <v>Август 2025</v>
      </c>
      <c r="E1227" t="s">
        <v>18</v>
      </c>
      <c r="F1227" t="s">
        <v>12</v>
      </c>
      <c r="G1227">
        <v>1</v>
      </c>
      <c r="H1227">
        <v>154</v>
      </c>
      <c r="I1227" t="s">
        <v>33</v>
      </c>
      <c r="J1227" t="str">
        <f>_xlfn.XLOOKUP(branches[[#This Row],[Филиал]], tbl_Filialy[Филиал], tbl_Filialy[Менеджер])</f>
        <v>Павел Ткаченко</v>
      </c>
    </row>
    <row r="1228" spans="1:10" x14ac:dyDescent="0.3">
      <c r="A1228" t="str">
        <f>_xlfn.XLOOKUP(branches[[#This Row],[Филиал]], tbl_Filialy[Филиал], tbl_Filialy[Город])</f>
        <v>Краснодар</v>
      </c>
      <c r="B1228" s="1" t="s">
        <v>31</v>
      </c>
      <c r="C1228" s="2">
        <v>45846</v>
      </c>
      <c r="D1228" s="2" t="str">
        <f>CHOOSE(MONTH(branches[[#This Row],[Дата]]),"Январь","Февраль","Март","Апрель","Май","Июнь","Июль","Август","Сентябрь","Октябрь","Ноябрь","Декабрь")&amp;" "&amp;YEAR(branches[[#This Row],[Дата]])</f>
        <v>Июль 2025</v>
      </c>
      <c r="E1228" t="s">
        <v>11</v>
      </c>
      <c r="F1228" t="s">
        <v>12</v>
      </c>
      <c r="G1228">
        <v>1</v>
      </c>
      <c r="H1228">
        <v>153</v>
      </c>
      <c r="I1228" t="s">
        <v>34</v>
      </c>
      <c r="J1228" t="str">
        <f>_xlfn.XLOOKUP(branches[[#This Row],[Филиал]], tbl_Filialy[Филиал], tbl_Filialy[Менеджер])</f>
        <v>Павел Ткаченко</v>
      </c>
    </row>
    <row r="1229" spans="1:10" x14ac:dyDescent="0.3">
      <c r="A1229" t="str">
        <f>_xlfn.XLOOKUP(branches[[#This Row],[Филиал]], tbl_Filialy[Филиал], tbl_Filialy[Город])</f>
        <v>Краснодар</v>
      </c>
      <c r="B1229" s="1" t="s">
        <v>31</v>
      </c>
      <c r="C1229" s="2">
        <v>45772</v>
      </c>
      <c r="D1229" s="2" t="str">
        <f>CHOOSE(MONTH(branches[[#This Row],[Дата]]),"Январь","Февраль","Март","Апрель","Май","Июнь","Июль","Август","Сентябрь","Октябрь","Ноябрь","Декабрь")&amp;" "&amp;YEAR(branches[[#This Row],[Дата]])</f>
        <v>Апрель 2025</v>
      </c>
      <c r="E1229" t="s">
        <v>8</v>
      </c>
      <c r="F1229" t="s">
        <v>9</v>
      </c>
      <c r="G1229">
        <v>2</v>
      </c>
      <c r="H1229">
        <v>480</v>
      </c>
      <c r="I1229" t="s">
        <v>13</v>
      </c>
      <c r="J1229" t="str">
        <f>_xlfn.XLOOKUP(branches[[#This Row],[Филиал]], tbl_Filialy[Филиал], tbl_Filialy[Менеджер])</f>
        <v>Павел Ткаченко</v>
      </c>
    </row>
    <row r="1230" spans="1:10" x14ac:dyDescent="0.3">
      <c r="A1230" t="str">
        <f>_xlfn.XLOOKUP(branches[[#This Row],[Филиал]], tbl_Filialy[Филиал], tbl_Filialy[Город])</f>
        <v>Краснодар</v>
      </c>
      <c r="B1230" s="1" t="s">
        <v>31</v>
      </c>
      <c r="C1230" s="2">
        <v>46016</v>
      </c>
      <c r="D1230" s="2" t="str">
        <f>CHOOSE(MONTH(branches[[#This Row],[Дата]]),"Январь","Февраль","Март","Апрель","Май","Июнь","Июль","Август","Сентябрь","Октябрь","Ноябрь","Декабрь")&amp;" "&amp;YEAR(branches[[#This Row],[Дата]])</f>
        <v>Декабрь 2025</v>
      </c>
      <c r="E1230" t="s">
        <v>26</v>
      </c>
      <c r="F1230" t="s">
        <v>9</v>
      </c>
      <c r="G1230">
        <v>1</v>
      </c>
      <c r="H1230">
        <v>210</v>
      </c>
      <c r="I1230" t="s">
        <v>34</v>
      </c>
      <c r="J1230" t="str">
        <f>_xlfn.XLOOKUP(branches[[#This Row],[Филиал]], tbl_Filialy[Филиал], tbl_Filialy[Менеджер])</f>
        <v>Павел Ткаченко</v>
      </c>
    </row>
    <row r="1231" spans="1:10" x14ac:dyDescent="0.3">
      <c r="A1231" t="str">
        <f>_xlfn.XLOOKUP(branches[[#This Row],[Филиал]], tbl_Filialy[Филиал], tbl_Filialy[Город])</f>
        <v>Краснодар</v>
      </c>
      <c r="B1231" s="1" t="s">
        <v>31</v>
      </c>
      <c r="C1231" s="2">
        <v>45672</v>
      </c>
      <c r="D1231" s="2" t="str">
        <f>CHOOSE(MONTH(branches[[#This Row],[Дата]]),"Январь","Февраль","Март","Апрель","Май","Июнь","Июль","Август","Сентябрь","Октябрь","Ноябрь","Декабрь")&amp;" "&amp;YEAR(branches[[#This Row],[Дата]])</f>
        <v>Январь 2025</v>
      </c>
      <c r="E1231" t="s">
        <v>28</v>
      </c>
      <c r="F1231" t="s">
        <v>12</v>
      </c>
      <c r="G1231">
        <v>2</v>
      </c>
      <c r="H1231">
        <v>462</v>
      </c>
      <c r="I1231" t="s">
        <v>34</v>
      </c>
      <c r="J1231" t="str">
        <f>_xlfn.XLOOKUP(branches[[#This Row],[Филиал]], tbl_Filialy[Филиал], tbl_Filialy[Менеджер])</f>
        <v>Павел Ткаченко</v>
      </c>
    </row>
    <row r="1232" spans="1:10" x14ac:dyDescent="0.3">
      <c r="A1232" t="str">
        <f>_xlfn.XLOOKUP(branches[[#This Row],[Филиал]], tbl_Filialy[Филиал], tbl_Filialy[Город])</f>
        <v>Краснодар</v>
      </c>
      <c r="B1232" s="1" t="s">
        <v>31</v>
      </c>
      <c r="C1232" s="2">
        <v>45785</v>
      </c>
      <c r="D1232" s="2" t="str">
        <f>CHOOSE(MONTH(branches[[#This Row],[Дата]]),"Январь","Февраль","Март","Апрель","Май","Июнь","Июль","Август","Сентябрь","Октябрь","Ноябрь","Декабрь")&amp;" "&amp;YEAR(branches[[#This Row],[Дата]])</f>
        <v>Май 2025</v>
      </c>
      <c r="E1232" t="s">
        <v>18</v>
      </c>
      <c r="F1232" t="s">
        <v>12</v>
      </c>
      <c r="G1232">
        <v>1</v>
      </c>
      <c r="H1232">
        <v>121</v>
      </c>
      <c r="I1232" t="s">
        <v>33</v>
      </c>
      <c r="J1232" t="str">
        <f>_xlfn.XLOOKUP(branches[[#This Row],[Филиал]], tbl_Filialy[Филиал], tbl_Filialy[Менеджер])</f>
        <v>Павел Ткаченко</v>
      </c>
    </row>
    <row r="1233" spans="1:10" x14ac:dyDescent="0.3">
      <c r="A1233" t="str">
        <f>_xlfn.XLOOKUP(branches[[#This Row],[Филиал]], tbl_Filialy[Филиал], tbl_Filialy[Город])</f>
        <v>Краснодар</v>
      </c>
      <c r="B1233" s="1" t="s">
        <v>31</v>
      </c>
      <c r="C1233" s="2">
        <v>45954</v>
      </c>
      <c r="D1233" s="2" t="str">
        <f>CHOOSE(MONTH(branches[[#This Row],[Дата]]),"Январь","Февраль","Март","Апрель","Май","Июнь","Июль","Август","Сентябрь","Октябрь","Ноябрь","Декабрь")&amp;" "&amp;YEAR(branches[[#This Row],[Дата]])</f>
        <v>Октябрь 2025</v>
      </c>
      <c r="E1233" t="s">
        <v>20</v>
      </c>
      <c r="F1233" t="s">
        <v>12</v>
      </c>
      <c r="G1233">
        <v>1</v>
      </c>
      <c r="H1233">
        <v>272</v>
      </c>
      <c r="I1233" t="s">
        <v>19</v>
      </c>
      <c r="J1233" t="str">
        <f>_xlfn.XLOOKUP(branches[[#This Row],[Филиал]], tbl_Filialy[Филиал], tbl_Filialy[Менеджер])</f>
        <v>Павел Ткаченко</v>
      </c>
    </row>
    <row r="1234" spans="1:10" x14ac:dyDescent="0.3">
      <c r="A1234" t="str">
        <f>_xlfn.XLOOKUP(branches[[#This Row],[Филиал]], tbl_Filialy[Филиал], tbl_Filialy[Город])</f>
        <v>Краснодар</v>
      </c>
      <c r="B1234" s="1" t="s">
        <v>31</v>
      </c>
      <c r="C1234" s="2">
        <v>45715</v>
      </c>
      <c r="D1234" s="2" t="str">
        <f>CHOOSE(MONTH(branches[[#This Row],[Дата]]),"Январь","Февраль","Март","Апрель","Май","Июнь","Июль","Август","Сентябрь","Октябрь","Ноябрь","Декабрь")&amp;" "&amp;YEAR(branches[[#This Row],[Дата]])</f>
        <v>Февраль 2025</v>
      </c>
      <c r="E1234" t="s">
        <v>28</v>
      </c>
      <c r="F1234" t="s">
        <v>12</v>
      </c>
      <c r="G1234">
        <v>1</v>
      </c>
      <c r="H1234">
        <v>246</v>
      </c>
      <c r="I1234" t="s">
        <v>32</v>
      </c>
      <c r="J1234" t="str">
        <f>_xlfn.XLOOKUP(branches[[#This Row],[Филиал]], tbl_Filialy[Филиал], tbl_Filialy[Менеджер])</f>
        <v>Павел Ткаченко</v>
      </c>
    </row>
    <row r="1235" spans="1:10" x14ac:dyDescent="0.3">
      <c r="A1235" t="str">
        <f>_xlfn.XLOOKUP(branches[[#This Row],[Филиал]], tbl_Filialy[Филиал], tbl_Filialy[Город])</f>
        <v>Краснодар</v>
      </c>
      <c r="B1235" s="1" t="s">
        <v>31</v>
      </c>
      <c r="C1235" s="2">
        <v>45974</v>
      </c>
      <c r="D1235" s="2" t="str">
        <f>CHOOSE(MONTH(branches[[#This Row],[Дата]]),"Январь","Февраль","Март","Апрель","Май","Июнь","Июль","Август","Сентябрь","Октябрь","Ноябрь","Декабрь")&amp;" "&amp;YEAR(branches[[#This Row],[Дата]])</f>
        <v>Ноябрь 2025</v>
      </c>
      <c r="E1235" t="s">
        <v>16</v>
      </c>
      <c r="F1235" t="s">
        <v>17</v>
      </c>
      <c r="G1235">
        <v>1</v>
      </c>
      <c r="H1235">
        <v>340</v>
      </c>
      <c r="I1235" t="s">
        <v>32</v>
      </c>
      <c r="J1235" t="str">
        <f>_xlfn.XLOOKUP(branches[[#This Row],[Филиал]], tbl_Filialy[Филиал], tbl_Filialy[Менеджер])</f>
        <v>Павел Ткаченко</v>
      </c>
    </row>
    <row r="1236" spans="1:10" x14ac:dyDescent="0.3">
      <c r="A1236" t="str">
        <f>_xlfn.XLOOKUP(branches[[#This Row],[Филиал]], tbl_Filialy[Филиал], tbl_Filialy[Город])</f>
        <v>Краснодар</v>
      </c>
      <c r="B1236" s="1" t="s">
        <v>31</v>
      </c>
      <c r="C1236" s="2">
        <v>45814</v>
      </c>
      <c r="D1236" s="2" t="str">
        <f>CHOOSE(MONTH(branches[[#This Row],[Дата]]),"Январь","Февраль","Март","Апрель","Май","Июнь","Июль","Август","Сентябрь","Октябрь","Ноябрь","Декабрь")&amp;" "&amp;YEAR(branches[[#This Row],[Дата]])</f>
        <v>Июнь 2025</v>
      </c>
      <c r="E1236" t="s">
        <v>27</v>
      </c>
      <c r="F1236" t="s">
        <v>12</v>
      </c>
      <c r="G1236">
        <v>1</v>
      </c>
      <c r="H1236">
        <v>210</v>
      </c>
      <c r="I1236" t="s">
        <v>19</v>
      </c>
      <c r="J1236" t="str">
        <f>_xlfn.XLOOKUP(branches[[#This Row],[Филиал]], tbl_Filialy[Филиал], tbl_Filialy[Менеджер])</f>
        <v>Павел Ткаченко</v>
      </c>
    </row>
    <row r="1237" spans="1:10" x14ac:dyDescent="0.3">
      <c r="A1237" t="str">
        <f>_xlfn.XLOOKUP(branches[[#This Row],[Филиал]], tbl_Filialy[Филиал], tbl_Filialy[Город])</f>
        <v>Краснодар</v>
      </c>
      <c r="B1237" s="1" t="s">
        <v>31</v>
      </c>
      <c r="C1237" s="2">
        <v>45658</v>
      </c>
      <c r="D1237" s="2" t="str">
        <f>CHOOSE(MONTH(branches[[#This Row],[Дата]]),"Январь","Февраль","Март","Апрель","Май","Июнь","Июль","Август","Сентябрь","Октябрь","Ноябрь","Декабрь")&amp;" "&amp;YEAR(branches[[#This Row],[Дата]])</f>
        <v>Январь 2025</v>
      </c>
      <c r="E1237" t="s">
        <v>18</v>
      </c>
      <c r="F1237" t="s">
        <v>12</v>
      </c>
      <c r="G1237">
        <v>1</v>
      </c>
      <c r="H1237">
        <v>160</v>
      </c>
      <c r="I1237" t="s">
        <v>32</v>
      </c>
      <c r="J1237" t="str">
        <f>_xlfn.XLOOKUP(branches[[#This Row],[Филиал]], tbl_Filialy[Филиал], tbl_Filialy[Менеджер])</f>
        <v>Павел Ткаченко</v>
      </c>
    </row>
    <row r="1238" spans="1:10" x14ac:dyDescent="0.3">
      <c r="A1238" t="str">
        <f>_xlfn.XLOOKUP(branches[[#This Row],[Филиал]], tbl_Filialy[Филиал], tbl_Filialy[Город])</f>
        <v>Краснодар</v>
      </c>
      <c r="B1238" s="1" t="s">
        <v>31</v>
      </c>
      <c r="C1238" s="2">
        <v>45756</v>
      </c>
      <c r="D1238" s="2" t="str">
        <f>CHOOSE(MONTH(branches[[#This Row],[Дата]]),"Январь","Февраль","Март","Апрель","Май","Июнь","Июль","Август","Сентябрь","Октябрь","Ноябрь","Декабрь")&amp;" "&amp;YEAR(branches[[#This Row],[Дата]])</f>
        <v>Апрель 2025</v>
      </c>
      <c r="E1238" t="s">
        <v>14</v>
      </c>
      <c r="F1238" t="s">
        <v>12</v>
      </c>
      <c r="G1238">
        <v>1</v>
      </c>
      <c r="H1238">
        <v>288</v>
      </c>
      <c r="I1238" t="s">
        <v>33</v>
      </c>
      <c r="J1238" t="str">
        <f>_xlfn.XLOOKUP(branches[[#This Row],[Филиал]], tbl_Filialy[Филиал], tbl_Filialy[Менеджер])</f>
        <v>Павел Ткаченко</v>
      </c>
    </row>
    <row r="1239" spans="1:10" x14ac:dyDescent="0.3">
      <c r="A1239" t="str">
        <f>_xlfn.XLOOKUP(branches[[#This Row],[Филиал]], tbl_Filialy[Филиал], tbl_Filialy[Город])</f>
        <v>Краснодар</v>
      </c>
      <c r="B1239" s="1" t="s">
        <v>31</v>
      </c>
      <c r="C1239" s="2">
        <v>45980</v>
      </c>
      <c r="D1239" s="2" t="str">
        <f>CHOOSE(MONTH(branches[[#This Row],[Дата]]),"Январь","Февраль","Март","Апрель","Май","Июнь","Июль","Август","Сентябрь","Октябрь","Ноябрь","Декабрь")&amp;" "&amp;YEAR(branches[[#This Row],[Дата]])</f>
        <v>Ноябрь 2025</v>
      </c>
      <c r="E1239" t="s">
        <v>24</v>
      </c>
      <c r="F1239" t="s">
        <v>17</v>
      </c>
      <c r="G1239">
        <v>1</v>
      </c>
      <c r="H1239">
        <v>401</v>
      </c>
      <c r="I1239" t="s">
        <v>35</v>
      </c>
      <c r="J1239" t="str">
        <f>_xlfn.XLOOKUP(branches[[#This Row],[Филиал]], tbl_Filialy[Филиал], tbl_Filialy[Менеджер])</f>
        <v>Павел Ткаченко</v>
      </c>
    </row>
    <row r="1240" spans="1:10" x14ac:dyDescent="0.3">
      <c r="A1240" t="str">
        <f>_xlfn.XLOOKUP(branches[[#This Row],[Филиал]], tbl_Filialy[Филиал], tbl_Filialy[Город])</f>
        <v>Краснодар</v>
      </c>
      <c r="B1240" s="1" t="s">
        <v>31</v>
      </c>
      <c r="C1240" s="2">
        <v>45749</v>
      </c>
      <c r="D1240" s="2" t="str">
        <f>CHOOSE(MONTH(branches[[#This Row],[Дата]]),"Январь","Февраль","Март","Апрель","Май","Июнь","Июль","Август","Сентябрь","Октябрь","Ноябрь","Декабрь")&amp;" "&amp;YEAR(branches[[#This Row],[Дата]])</f>
        <v>Апрель 2025</v>
      </c>
      <c r="E1240" t="s">
        <v>18</v>
      </c>
      <c r="F1240" t="s">
        <v>12</v>
      </c>
      <c r="G1240">
        <v>1</v>
      </c>
      <c r="H1240">
        <v>159</v>
      </c>
      <c r="I1240" t="s">
        <v>34</v>
      </c>
      <c r="J1240" t="str">
        <f>_xlfn.XLOOKUP(branches[[#This Row],[Филиал]], tbl_Filialy[Филиал], tbl_Filialy[Менеджер])</f>
        <v>Павел Ткаченко</v>
      </c>
    </row>
    <row r="1241" spans="1:10" x14ac:dyDescent="0.3">
      <c r="A1241" t="str">
        <f>_xlfn.XLOOKUP(branches[[#This Row],[Филиал]], tbl_Filialy[Филиал], tbl_Filialy[Город])</f>
        <v>Краснодар</v>
      </c>
      <c r="B1241" s="1" t="s">
        <v>31</v>
      </c>
      <c r="C1241" s="2">
        <v>45674</v>
      </c>
      <c r="D1241" s="2" t="str">
        <f>CHOOSE(MONTH(branches[[#This Row],[Дата]]),"Январь","Февраль","Март","Апрель","Май","Июнь","Июль","Август","Сентябрь","Октябрь","Ноябрь","Декабрь")&amp;" "&amp;YEAR(branches[[#This Row],[Дата]])</f>
        <v>Январь 2025</v>
      </c>
      <c r="E1241" t="s">
        <v>20</v>
      </c>
      <c r="F1241" t="s">
        <v>12</v>
      </c>
      <c r="G1241">
        <v>2</v>
      </c>
      <c r="H1241">
        <v>500</v>
      </c>
      <c r="I1241" t="s">
        <v>19</v>
      </c>
      <c r="J1241" t="str">
        <f>_xlfn.XLOOKUP(branches[[#This Row],[Филиал]], tbl_Filialy[Филиал], tbl_Filialy[Менеджер])</f>
        <v>Павел Ткаченко</v>
      </c>
    </row>
    <row r="1242" spans="1:10" x14ac:dyDescent="0.3">
      <c r="A1242" t="str">
        <f>_xlfn.XLOOKUP(branches[[#This Row],[Филиал]], tbl_Filialy[Филиал], tbl_Filialy[Город])</f>
        <v>Краснодар</v>
      </c>
      <c r="B1242" s="1" t="s">
        <v>31</v>
      </c>
      <c r="C1242" s="2">
        <v>45824</v>
      </c>
      <c r="D1242" s="2" t="str">
        <f>CHOOSE(MONTH(branches[[#This Row],[Дата]]),"Январь","Февраль","Март","Апрель","Май","Июнь","Июль","Август","Сентябрь","Октябрь","Ноябрь","Декабрь")&amp;" "&amp;YEAR(branches[[#This Row],[Дата]])</f>
        <v>Июнь 2025</v>
      </c>
      <c r="E1242" t="s">
        <v>11</v>
      </c>
      <c r="F1242" t="s">
        <v>12</v>
      </c>
      <c r="G1242">
        <v>2</v>
      </c>
      <c r="H1242">
        <v>344</v>
      </c>
      <c r="I1242" t="s">
        <v>19</v>
      </c>
      <c r="J1242" t="str">
        <f>_xlfn.XLOOKUP(branches[[#This Row],[Филиал]], tbl_Filialy[Филиал], tbl_Filialy[Менеджер])</f>
        <v>Павел Ткаченко</v>
      </c>
    </row>
    <row r="1243" spans="1:10" x14ac:dyDescent="0.3">
      <c r="A1243" t="str">
        <f>_xlfn.XLOOKUP(branches[[#This Row],[Филиал]], tbl_Filialy[Филиал], tbl_Filialy[Город])</f>
        <v>Краснодар</v>
      </c>
      <c r="B1243" s="1" t="s">
        <v>31</v>
      </c>
      <c r="C1243" s="2">
        <v>45953</v>
      </c>
      <c r="D1243" s="2" t="str">
        <f>CHOOSE(MONTH(branches[[#This Row],[Дата]]),"Январь","Февраль","Март","Апрель","Май","Июнь","Июль","Август","Сентябрь","Октябрь","Ноябрь","Декабрь")&amp;" "&amp;YEAR(branches[[#This Row],[Дата]])</f>
        <v>Октябрь 2025</v>
      </c>
      <c r="E1243" t="s">
        <v>27</v>
      </c>
      <c r="F1243" t="s">
        <v>12</v>
      </c>
      <c r="G1243">
        <v>1</v>
      </c>
      <c r="H1243">
        <v>227</v>
      </c>
      <c r="I1243" t="s">
        <v>34</v>
      </c>
      <c r="J1243" t="str">
        <f>_xlfn.XLOOKUP(branches[[#This Row],[Филиал]], tbl_Filialy[Филиал], tbl_Filialy[Менеджер])</f>
        <v>Павел Ткаченко</v>
      </c>
    </row>
    <row r="1244" spans="1:10" x14ac:dyDescent="0.3">
      <c r="A1244" t="str">
        <f>_xlfn.XLOOKUP(branches[[#This Row],[Филиал]], tbl_Filialy[Филиал], tbl_Filialy[Город])</f>
        <v>Краснодар</v>
      </c>
      <c r="B1244" s="1" t="s">
        <v>31</v>
      </c>
      <c r="C1244" s="2">
        <v>45734</v>
      </c>
      <c r="D1244" s="2" t="str">
        <f>CHOOSE(MONTH(branches[[#This Row],[Дата]]),"Январь","Февраль","Март","Апрель","Май","Июнь","Июль","Август","Сентябрь","Октябрь","Ноябрь","Декабрь")&amp;" "&amp;YEAR(branches[[#This Row],[Дата]])</f>
        <v>Март 2025</v>
      </c>
      <c r="E1244" t="s">
        <v>8</v>
      </c>
      <c r="F1244" t="s">
        <v>9</v>
      </c>
      <c r="G1244">
        <v>3</v>
      </c>
      <c r="H1244">
        <v>780</v>
      </c>
      <c r="I1244" t="s">
        <v>19</v>
      </c>
      <c r="J1244" t="str">
        <f>_xlfn.XLOOKUP(branches[[#This Row],[Филиал]], tbl_Filialy[Филиал], tbl_Filialy[Менеджер])</f>
        <v>Павел Ткаченко</v>
      </c>
    </row>
    <row r="1245" spans="1:10" x14ac:dyDescent="0.3">
      <c r="A1245" t="str">
        <f>_xlfn.XLOOKUP(branches[[#This Row],[Филиал]], tbl_Filialy[Филиал], tbl_Filialy[Город])</f>
        <v>Краснодар</v>
      </c>
      <c r="B1245" s="1" t="s">
        <v>31</v>
      </c>
      <c r="C1245" s="2">
        <v>45680</v>
      </c>
      <c r="D1245" s="2" t="str">
        <f>CHOOSE(MONTH(branches[[#This Row],[Дата]]),"Январь","Февраль","Март","Апрель","Май","Июнь","Июль","Август","Сентябрь","Октябрь","Ноябрь","Декабрь")&amp;" "&amp;YEAR(branches[[#This Row],[Дата]])</f>
        <v>Январь 2025</v>
      </c>
      <c r="E1245" t="s">
        <v>8</v>
      </c>
      <c r="F1245" t="s">
        <v>9</v>
      </c>
      <c r="G1245">
        <v>1</v>
      </c>
      <c r="H1245">
        <v>280</v>
      </c>
      <c r="I1245" t="s">
        <v>13</v>
      </c>
      <c r="J1245" t="str">
        <f>_xlfn.XLOOKUP(branches[[#This Row],[Филиал]], tbl_Filialy[Филиал], tbl_Filialy[Менеджер])</f>
        <v>Павел Ткаченко</v>
      </c>
    </row>
    <row r="1246" spans="1:10" x14ac:dyDescent="0.3">
      <c r="A1246" t="str">
        <f>_xlfn.XLOOKUP(branches[[#This Row],[Филиал]], tbl_Filialy[Филиал], tbl_Filialy[Город])</f>
        <v>Краснодар</v>
      </c>
      <c r="B1246" s="1" t="s">
        <v>31</v>
      </c>
      <c r="C1246" s="2">
        <v>45886</v>
      </c>
      <c r="D1246" s="2" t="str">
        <f>CHOOSE(MONTH(branches[[#This Row],[Дата]]),"Январь","Февраль","Март","Апрель","Май","Июнь","Июль","Август","Сентябрь","Октябрь","Ноябрь","Декабрь")&amp;" "&amp;YEAR(branches[[#This Row],[Дата]])</f>
        <v>Август 2025</v>
      </c>
      <c r="E1246" t="s">
        <v>11</v>
      </c>
      <c r="F1246" t="s">
        <v>12</v>
      </c>
      <c r="G1246">
        <v>1</v>
      </c>
      <c r="H1246">
        <v>183</v>
      </c>
      <c r="I1246" t="s">
        <v>34</v>
      </c>
      <c r="J1246" t="str">
        <f>_xlfn.XLOOKUP(branches[[#This Row],[Филиал]], tbl_Filialy[Филиал], tbl_Filialy[Менеджер])</f>
        <v>Павел Ткаченко</v>
      </c>
    </row>
    <row r="1247" spans="1:10" x14ac:dyDescent="0.3">
      <c r="A1247" t="str">
        <f>_xlfn.XLOOKUP(branches[[#This Row],[Филиал]], tbl_Filialy[Филиал], tbl_Filialy[Город])</f>
        <v>Краснодар</v>
      </c>
      <c r="B1247" s="1" t="s">
        <v>31</v>
      </c>
      <c r="C1247" s="2">
        <v>45824</v>
      </c>
      <c r="D1247" s="2" t="str">
        <f>CHOOSE(MONTH(branches[[#This Row],[Дата]]),"Январь","Февраль","Март","Апрель","Май","Июнь","Июль","Август","Сентябрь","Октябрь","Ноябрь","Декабрь")&amp;" "&amp;YEAR(branches[[#This Row],[Дата]])</f>
        <v>Июнь 2025</v>
      </c>
      <c r="E1247" t="s">
        <v>25</v>
      </c>
      <c r="F1247" t="s">
        <v>12</v>
      </c>
      <c r="G1247">
        <v>1</v>
      </c>
      <c r="H1247">
        <v>221</v>
      </c>
      <c r="I1247" t="s">
        <v>19</v>
      </c>
      <c r="J1247" t="str">
        <f>_xlfn.XLOOKUP(branches[[#This Row],[Филиал]], tbl_Filialy[Филиал], tbl_Filialy[Менеджер])</f>
        <v>Павел Ткаченко</v>
      </c>
    </row>
    <row r="1248" spans="1:10" x14ac:dyDescent="0.3">
      <c r="A1248" t="str">
        <f>_xlfn.XLOOKUP(branches[[#This Row],[Филиал]], tbl_Filialy[Филиал], tbl_Filialy[Город])</f>
        <v>Краснодар</v>
      </c>
      <c r="B1248" s="1" t="s">
        <v>31</v>
      </c>
      <c r="C1248" s="2">
        <v>45952</v>
      </c>
      <c r="D1248" s="2" t="str">
        <f>CHOOSE(MONTH(branches[[#This Row],[Дата]]),"Январь","Февраль","Март","Апрель","Май","Июнь","Июль","Август","Сентябрь","Октябрь","Ноябрь","Декабрь")&amp;" "&amp;YEAR(branches[[#This Row],[Дата]])</f>
        <v>Октябрь 2025</v>
      </c>
      <c r="E1248" t="s">
        <v>16</v>
      </c>
      <c r="F1248" t="s">
        <v>17</v>
      </c>
      <c r="G1248">
        <v>2</v>
      </c>
      <c r="H1248">
        <v>564</v>
      </c>
      <c r="I1248" t="s">
        <v>32</v>
      </c>
      <c r="J1248" t="str">
        <f>_xlfn.XLOOKUP(branches[[#This Row],[Филиал]], tbl_Filialy[Филиал], tbl_Filialy[Менеджер])</f>
        <v>Павел Ткаченко</v>
      </c>
    </row>
    <row r="1249" spans="1:10" x14ac:dyDescent="0.3">
      <c r="A1249" t="str">
        <f>_xlfn.XLOOKUP(branches[[#This Row],[Филиал]], tbl_Filialy[Филиал], tbl_Filialy[Город])</f>
        <v>Краснодар</v>
      </c>
      <c r="B1249" s="1" t="s">
        <v>31</v>
      </c>
      <c r="C1249" s="2">
        <v>45775</v>
      </c>
      <c r="D1249" s="2" t="str">
        <f>CHOOSE(MONTH(branches[[#This Row],[Дата]]),"Январь","Февраль","Март","Апрель","Май","Июнь","Июль","Август","Сентябрь","Октябрь","Ноябрь","Декабрь")&amp;" "&amp;YEAR(branches[[#This Row],[Дата]])</f>
        <v>Апрель 2025</v>
      </c>
      <c r="E1249" t="s">
        <v>25</v>
      </c>
      <c r="F1249" t="s">
        <v>12</v>
      </c>
      <c r="G1249">
        <v>2</v>
      </c>
      <c r="H1249">
        <v>466</v>
      </c>
      <c r="I1249" t="s">
        <v>33</v>
      </c>
      <c r="J1249" t="str">
        <f>_xlfn.XLOOKUP(branches[[#This Row],[Филиал]], tbl_Filialy[Филиал], tbl_Filialy[Менеджер])</f>
        <v>Павел Ткаченко</v>
      </c>
    </row>
    <row r="1250" spans="1:10" x14ac:dyDescent="0.3">
      <c r="A1250" t="str">
        <f>_xlfn.XLOOKUP(branches[[#This Row],[Филиал]], tbl_Filialy[Филиал], tbl_Filialy[Город])</f>
        <v>Краснодар</v>
      </c>
      <c r="B1250" s="1" t="s">
        <v>31</v>
      </c>
      <c r="C1250" s="2">
        <v>46015</v>
      </c>
      <c r="D1250" s="2" t="str">
        <f>CHOOSE(MONTH(branches[[#This Row],[Дата]]),"Январь","Февраль","Март","Апрель","Май","Июнь","Июль","Август","Сентябрь","Октябрь","Ноябрь","Декабрь")&amp;" "&amp;YEAR(branches[[#This Row],[Дата]])</f>
        <v>Декабрь 2025</v>
      </c>
      <c r="E1250" t="s">
        <v>14</v>
      </c>
      <c r="F1250" t="s">
        <v>12</v>
      </c>
      <c r="G1250">
        <v>2</v>
      </c>
      <c r="H1250">
        <v>580</v>
      </c>
      <c r="I1250" t="s">
        <v>13</v>
      </c>
      <c r="J1250" t="str">
        <f>_xlfn.XLOOKUP(branches[[#This Row],[Филиал]], tbl_Filialy[Филиал], tbl_Filialy[Менеджер])</f>
        <v>Павел Ткаченко</v>
      </c>
    </row>
    <row r="1251" spans="1:10" x14ac:dyDescent="0.3">
      <c r="A1251" t="str">
        <f>_xlfn.XLOOKUP(branches[[#This Row],[Филиал]], tbl_Filialy[Филиал], tbl_Filialy[Город])</f>
        <v>Краснодар</v>
      </c>
      <c r="B1251" s="1" t="s">
        <v>31</v>
      </c>
      <c r="C1251" s="2">
        <v>45931</v>
      </c>
      <c r="D1251" s="2" t="str">
        <f>CHOOSE(MONTH(branches[[#This Row],[Дата]]),"Январь","Февраль","Март","Апрель","Май","Июнь","Июль","Август","Сентябрь","Октябрь","Ноябрь","Декабрь")&amp;" "&amp;YEAR(branches[[#This Row],[Дата]])</f>
        <v>Октябрь 2025</v>
      </c>
      <c r="E1251" t="s">
        <v>26</v>
      </c>
      <c r="F1251" t="s">
        <v>9</v>
      </c>
      <c r="G1251">
        <v>1</v>
      </c>
      <c r="H1251">
        <v>235</v>
      </c>
      <c r="I1251" t="s">
        <v>34</v>
      </c>
      <c r="J1251" t="str">
        <f>_xlfn.XLOOKUP(branches[[#This Row],[Филиал]], tbl_Filialy[Филиал], tbl_Filialy[Менеджер])</f>
        <v>Павел Ткаченко</v>
      </c>
    </row>
    <row r="1252" spans="1:10" x14ac:dyDescent="0.3">
      <c r="A1252" t="str">
        <f>_xlfn.XLOOKUP(branches[[#This Row],[Филиал]], tbl_Filialy[Филиал], tbl_Filialy[Город])</f>
        <v>Краснодар</v>
      </c>
      <c r="B1252" s="1" t="s">
        <v>31</v>
      </c>
      <c r="C1252" s="2">
        <v>45939</v>
      </c>
      <c r="D1252" s="2" t="str">
        <f>CHOOSE(MONTH(branches[[#This Row],[Дата]]),"Январь","Февраль","Март","Апрель","Май","Июнь","Июль","Август","Сентябрь","Октябрь","Ноябрь","Декабрь")&amp;" "&amp;YEAR(branches[[#This Row],[Дата]])</f>
        <v>Октябрь 2025</v>
      </c>
      <c r="E1252" t="s">
        <v>20</v>
      </c>
      <c r="F1252" t="s">
        <v>12</v>
      </c>
      <c r="G1252">
        <v>3</v>
      </c>
      <c r="H1252">
        <v>933</v>
      </c>
      <c r="I1252" t="s">
        <v>34</v>
      </c>
      <c r="J1252" t="str">
        <f>_xlfn.XLOOKUP(branches[[#This Row],[Филиал]], tbl_Filialy[Филиал], tbl_Filialy[Менеджер])</f>
        <v>Павел Ткаченко</v>
      </c>
    </row>
    <row r="1253" spans="1:10" x14ac:dyDescent="0.3">
      <c r="A1253" t="str">
        <f>_xlfn.XLOOKUP(branches[[#This Row],[Филиал]], tbl_Filialy[Филиал], tbl_Filialy[Город])</f>
        <v>Краснодар</v>
      </c>
      <c r="B1253" s="1" t="s">
        <v>31</v>
      </c>
      <c r="C1253" s="2">
        <v>45978</v>
      </c>
      <c r="D1253" s="2" t="str">
        <f>CHOOSE(MONTH(branches[[#This Row],[Дата]]),"Январь","Февраль","Март","Апрель","Май","Июнь","Июль","Август","Сентябрь","Октябрь","Ноябрь","Декабрь")&amp;" "&amp;YEAR(branches[[#This Row],[Дата]])</f>
        <v>Ноябрь 2025</v>
      </c>
      <c r="E1253" t="s">
        <v>25</v>
      </c>
      <c r="F1253" t="s">
        <v>12</v>
      </c>
      <c r="G1253">
        <v>1</v>
      </c>
      <c r="H1253">
        <v>224</v>
      </c>
      <c r="I1253" t="s">
        <v>33</v>
      </c>
      <c r="J1253" t="str">
        <f>_xlfn.XLOOKUP(branches[[#This Row],[Филиал]], tbl_Filialy[Филиал], tbl_Filialy[Менеджер])</f>
        <v>Павел Ткаченко</v>
      </c>
    </row>
    <row r="1254" spans="1:10" x14ac:dyDescent="0.3">
      <c r="A1254" t="str">
        <f>_xlfn.XLOOKUP(branches[[#This Row],[Филиал]], tbl_Filialy[Филиал], tbl_Filialy[Город])</f>
        <v>Краснодар</v>
      </c>
      <c r="B1254" s="1" t="s">
        <v>31</v>
      </c>
      <c r="C1254" s="2">
        <v>45787</v>
      </c>
      <c r="D1254" s="2" t="str">
        <f>CHOOSE(MONTH(branches[[#This Row],[Дата]]),"Январь","Февраль","Март","Апрель","Май","Июнь","Июль","Август","Сентябрь","Октябрь","Ноябрь","Декабрь")&amp;" "&amp;YEAR(branches[[#This Row],[Дата]])</f>
        <v>Май 2025</v>
      </c>
      <c r="E1254" t="s">
        <v>20</v>
      </c>
      <c r="F1254" t="s">
        <v>12</v>
      </c>
      <c r="G1254">
        <v>2</v>
      </c>
      <c r="H1254">
        <v>572</v>
      </c>
      <c r="I1254" t="s">
        <v>32</v>
      </c>
      <c r="J1254" t="str">
        <f>_xlfn.XLOOKUP(branches[[#This Row],[Филиал]], tbl_Filialy[Филиал], tbl_Filialy[Менеджер])</f>
        <v>Павел Ткаченко</v>
      </c>
    </row>
    <row r="1255" spans="1:10" x14ac:dyDescent="0.3">
      <c r="A1255" t="str">
        <f>_xlfn.XLOOKUP(branches[[#This Row],[Филиал]], tbl_Filialy[Филиал], tbl_Filialy[Город])</f>
        <v>Краснодар</v>
      </c>
      <c r="B1255" s="1" t="s">
        <v>31</v>
      </c>
      <c r="C1255" s="2">
        <v>45683</v>
      </c>
      <c r="D1255" s="2" t="str">
        <f>CHOOSE(MONTH(branches[[#This Row],[Дата]]),"Январь","Февраль","Март","Апрель","Май","Июнь","Июль","Август","Сентябрь","Октябрь","Ноябрь","Декабрь")&amp;" "&amp;YEAR(branches[[#This Row],[Дата]])</f>
        <v>Январь 2025</v>
      </c>
      <c r="E1255" t="s">
        <v>20</v>
      </c>
      <c r="F1255" t="s">
        <v>12</v>
      </c>
      <c r="G1255">
        <v>3</v>
      </c>
      <c r="H1255">
        <v>915</v>
      </c>
      <c r="I1255" t="s">
        <v>32</v>
      </c>
      <c r="J1255" t="str">
        <f>_xlfn.XLOOKUP(branches[[#This Row],[Филиал]], tbl_Filialy[Филиал], tbl_Filialy[Менеджер])</f>
        <v>Павел Ткаченко</v>
      </c>
    </row>
    <row r="1256" spans="1:10" x14ac:dyDescent="0.3">
      <c r="A1256" t="str">
        <f>_xlfn.XLOOKUP(branches[[#This Row],[Филиал]], tbl_Filialy[Филиал], tbl_Filialy[Город])</f>
        <v>Краснодар</v>
      </c>
      <c r="B1256" s="1" t="s">
        <v>31</v>
      </c>
      <c r="C1256" s="2">
        <v>45803</v>
      </c>
      <c r="D1256" s="2" t="str">
        <f>CHOOSE(MONTH(branches[[#This Row],[Дата]]),"Январь","Февраль","Март","Апрель","Май","Июнь","Июль","Август","Сентябрь","Октябрь","Ноябрь","Декабрь")&amp;" "&amp;YEAR(branches[[#This Row],[Дата]])</f>
        <v>Май 2025</v>
      </c>
      <c r="E1256" t="s">
        <v>28</v>
      </c>
      <c r="F1256" t="s">
        <v>12</v>
      </c>
      <c r="G1256">
        <v>1</v>
      </c>
      <c r="H1256">
        <v>252</v>
      </c>
      <c r="I1256" t="s">
        <v>13</v>
      </c>
      <c r="J1256" t="str">
        <f>_xlfn.XLOOKUP(branches[[#This Row],[Филиал]], tbl_Filialy[Филиал], tbl_Filialy[Менеджер])</f>
        <v>Павел Ткаченко</v>
      </c>
    </row>
    <row r="1257" spans="1:10" x14ac:dyDescent="0.3">
      <c r="A1257" t="str">
        <f>_xlfn.XLOOKUP(branches[[#This Row],[Филиал]], tbl_Filialy[Филиал], tbl_Filialy[Город])</f>
        <v>Краснодар</v>
      </c>
      <c r="B1257" s="1" t="s">
        <v>31</v>
      </c>
      <c r="C1257" s="2">
        <v>45932</v>
      </c>
      <c r="D1257" s="2" t="str">
        <f>CHOOSE(MONTH(branches[[#This Row],[Дата]]),"Январь","Февраль","Март","Апрель","Май","Июнь","Июль","Август","Сентябрь","Октябрь","Ноябрь","Декабрь")&amp;" "&amp;YEAR(branches[[#This Row],[Дата]])</f>
        <v>Октябрь 2025</v>
      </c>
      <c r="E1257" t="s">
        <v>8</v>
      </c>
      <c r="F1257" t="s">
        <v>9</v>
      </c>
      <c r="G1257">
        <v>3</v>
      </c>
      <c r="H1257">
        <v>729</v>
      </c>
      <c r="I1257" t="s">
        <v>35</v>
      </c>
      <c r="J1257" t="str">
        <f>_xlfn.XLOOKUP(branches[[#This Row],[Филиал]], tbl_Filialy[Филиал], tbl_Filialy[Менеджер])</f>
        <v>Павел Ткаченко</v>
      </c>
    </row>
    <row r="1258" spans="1:10" x14ac:dyDescent="0.3">
      <c r="A1258" t="str">
        <f>_xlfn.XLOOKUP(branches[[#This Row],[Филиал]], tbl_Filialy[Филиал], tbl_Filialy[Город])</f>
        <v>Краснодар</v>
      </c>
      <c r="B1258" s="1" t="s">
        <v>31</v>
      </c>
      <c r="C1258" s="2">
        <v>45700</v>
      </c>
      <c r="D1258" s="2" t="str">
        <f>CHOOSE(MONTH(branches[[#This Row],[Дата]]),"Январь","Февраль","Март","Апрель","Май","Июнь","Июль","Август","Сентябрь","Октябрь","Ноябрь","Декабрь")&amp;" "&amp;YEAR(branches[[#This Row],[Дата]])</f>
        <v>Февраль 2025</v>
      </c>
      <c r="E1258" t="s">
        <v>27</v>
      </c>
      <c r="F1258" t="s">
        <v>12</v>
      </c>
      <c r="G1258">
        <v>2</v>
      </c>
      <c r="H1258">
        <v>400</v>
      </c>
      <c r="I1258" t="s">
        <v>19</v>
      </c>
      <c r="J1258" t="str">
        <f>_xlfn.XLOOKUP(branches[[#This Row],[Филиал]], tbl_Filialy[Филиал], tbl_Filialy[Менеджер])</f>
        <v>Павел Ткаченко</v>
      </c>
    </row>
    <row r="1259" spans="1:10" x14ac:dyDescent="0.3">
      <c r="A1259" t="str">
        <f>_xlfn.XLOOKUP(branches[[#This Row],[Филиал]], tbl_Filialy[Филиал], tbl_Filialy[Город])</f>
        <v>Краснодар</v>
      </c>
      <c r="B1259" s="1" t="s">
        <v>31</v>
      </c>
      <c r="C1259" s="2">
        <v>45690</v>
      </c>
      <c r="D1259" s="2" t="str">
        <f>CHOOSE(MONTH(branches[[#This Row],[Дата]]),"Январь","Февраль","Март","Апрель","Май","Июнь","Июль","Август","Сентябрь","Октябрь","Ноябрь","Декабрь")&amp;" "&amp;YEAR(branches[[#This Row],[Дата]])</f>
        <v>Февраль 2025</v>
      </c>
      <c r="E1259" t="s">
        <v>11</v>
      </c>
      <c r="F1259" t="s">
        <v>12</v>
      </c>
      <c r="G1259">
        <v>1</v>
      </c>
      <c r="H1259">
        <v>181</v>
      </c>
      <c r="I1259" t="s">
        <v>35</v>
      </c>
      <c r="J1259" t="str">
        <f>_xlfn.XLOOKUP(branches[[#This Row],[Филиал]], tbl_Filialy[Филиал], tbl_Filialy[Менеджер])</f>
        <v>Павел Ткаченко</v>
      </c>
    </row>
    <row r="1260" spans="1:10" x14ac:dyDescent="0.3">
      <c r="A1260" t="str">
        <f>_xlfn.XLOOKUP(branches[[#This Row],[Филиал]], tbl_Filialy[Филиал], tbl_Filialy[Город])</f>
        <v>Краснодар</v>
      </c>
      <c r="B1260" s="1" t="s">
        <v>31</v>
      </c>
      <c r="C1260" s="2">
        <v>45721</v>
      </c>
      <c r="D1260" s="2" t="str">
        <f>CHOOSE(MONTH(branches[[#This Row],[Дата]]),"Январь","Февраль","Март","Апрель","Май","Июнь","Июль","Август","Сентябрь","Октябрь","Ноябрь","Декабрь")&amp;" "&amp;YEAR(branches[[#This Row],[Дата]])</f>
        <v>Март 2025</v>
      </c>
      <c r="E1260" t="s">
        <v>16</v>
      </c>
      <c r="F1260" t="s">
        <v>17</v>
      </c>
      <c r="G1260">
        <v>1</v>
      </c>
      <c r="H1260">
        <v>345</v>
      </c>
      <c r="I1260" t="s">
        <v>19</v>
      </c>
      <c r="J1260" t="str">
        <f>_xlfn.XLOOKUP(branches[[#This Row],[Филиал]], tbl_Filialy[Филиал], tbl_Filialy[Менеджер])</f>
        <v>Павел Ткаченко</v>
      </c>
    </row>
    <row r="1261" spans="1:10" x14ac:dyDescent="0.3">
      <c r="A1261" t="str">
        <f>_xlfn.XLOOKUP(branches[[#This Row],[Филиал]], tbl_Filialy[Филиал], tbl_Filialy[Город])</f>
        <v>Краснодар</v>
      </c>
      <c r="B1261" s="1" t="s">
        <v>31</v>
      </c>
      <c r="C1261" s="2">
        <v>45723</v>
      </c>
      <c r="D1261" s="2" t="str">
        <f>CHOOSE(MONTH(branches[[#This Row],[Дата]]),"Январь","Февраль","Март","Апрель","Май","Июнь","Июль","Август","Сентябрь","Октябрь","Ноябрь","Декабрь")&amp;" "&amp;YEAR(branches[[#This Row],[Дата]])</f>
        <v>Март 2025</v>
      </c>
      <c r="E1261" t="s">
        <v>8</v>
      </c>
      <c r="F1261" t="s">
        <v>9</v>
      </c>
      <c r="G1261">
        <v>1</v>
      </c>
      <c r="H1261">
        <v>234</v>
      </c>
      <c r="I1261" t="s">
        <v>13</v>
      </c>
      <c r="J1261" t="str">
        <f>_xlfn.XLOOKUP(branches[[#This Row],[Филиал]], tbl_Filialy[Филиал], tbl_Filialy[Менеджер])</f>
        <v>Павел Ткаченко</v>
      </c>
    </row>
    <row r="1262" spans="1:10" x14ac:dyDescent="0.3">
      <c r="A1262" t="str">
        <f>_xlfn.XLOOKUP(branches[[#This Row],[Филиал]], tbl_Filialy[Филиал], tbl_Filialy[Город])</f>
        <v>Краснодар</v>
      </c>
      <c r="B1262" s="1" t="s">
        <v>31</v>
      </c>
      <c r="C1262" s="2">
        <v>46018</v>
      </c>
      <c r="D1262" s="2" t="str">
        <f>CHOOSE(MONTH(branches[[#This Row],[Дата]]),"Январь","Февраль","Март","Апрель","Май","Июнь","Июль","Август","Сентябрь","Октябрь","Ноябрь","Декабрь")&amp;" "&amp;YEAR(branches[[#This Row],[Дата]])</f>
        <v>Декабрь 2025</v>
      </c>
      <c r="E1262" t="s">
        <v>18</v>
      </c>
      <c r="F1262" t="s">
        <v>12</v>
      </c>
      <c r="G1262">
        <v>1</v>
      </c>
      <c r="H1262">
        <v>131</v>
      </c>
      <c r="I1262" t="s">
        <v>13</v>
      </c>
      <c r="J1262" t="str">
        <f>_xlfn.XLOOKUP(branches[[#This Row],[Филиал]], tbl_Filialy[Филиал], tbl_Filialy[Менеджер])</f>
        <v>Павел Ткаченко</v>
      </c>
    </row>
    <row r="1263" spans="1:10" x14ac:dyDescent="0.3">
      <c r="A1263" t="str">
        <f>_xlfn.XLOOKUP(branches[[#This Row],[Филиал]], tbl_Filialy[Филиал], tbl_Filialy[Город])</f>
        <v>Краснодар</v>
      </c>
      <c r="B1263" s="1" t="s">
        <v>31</v>
      </c>
      <c r="C1263" s="2">
        <v>45680</v>
      </c>
      <c r="D1263" s="2" t="str">
        <f>CHOOSE(MONTH(branches[[#This Row],[Дата]]),"Январь","Февраль","Март","Апрель","Май","Июнь","Июль","Август","Сентябрь","Октябрь","Ноябрь","Декабрь")&amp;" "&amp;YEAR(branches[[#This Row],[Дата]])</f>
        <v>Январь 2025</v>
      </c>
      <c r="E1263" t="s">
        <v>16</v>
      </c>
      <c r="F1263" t="s">
        <v>17</v>
      </c>
      <c r="G1263">
        <v>2</v>
      </c>
      <c r="H1263">
        <v>618</v>
      </c>
      <c r="I1263" t="s">
        <v>34</v>
      </c>
      <c r="J1263" t="str">
        <f>_xlfn.XLOOKUP(branches[[#This Row],[Филиал]], tbl_Filialy[Филиал], tbl_Filialy[Менеджер])</f>
        <v>Павел Ткаченко</v>
      </c>
    </row>
    <row r="1264" spans="1:10" x14ac:dyDescent="0.3">
      <c r="A1264" t="str">
        <f>_xlfn.XLOOKUP(branches[[#This Row],[Филиал]], tbl_Filialy[Филиал], tbl_Filialy[Город])</f>
        <v>Краснодар</v>
      </c>
      <c r="B1264" s="1" t="s">
        <v>31</v>
      </c>
      <c r="C1264" s="2">
        <v>45963</v>
      </c>
      <c r="D1264" s="2" t="str">
        <f>CHOOSE(MONTH(branches[[#This Row],[Дата]]),"Январь","Февраль","Март","Апрель","Май","Июнь","Июль","Август","Сентябрь","Октябрь","Ноябрь","Декабрь")&amp;" "&amp;YEAR(branches[[#This Row],[Дата]])</f>
        <v>Ноябрь 2025</v>
      </c>
      <c r="E1264" t="s">
        <v>24</v>
      </c>
      <c r="F1264" t="s">
        <v>17</v>
      </c>
      <c r="G1264">
        <v>1</v>
      </c>
      <c r="H1264">
        <v>404</v>
      </c>
      <c r="I1264" t="s">
        <v>34</v>
      </c>
      <c r="J1264" t="str">
        <f>_xlfn.XLOOKUP(branches[[#This Row],[Филиал]], tbl_Filialy[Филиал], tbl_Filialy[Менеджер])</f>
        <v>Павел Ткаченко</v>
      </c>
    </row>
    <row r="1265" spans="1:10" x14ac:dyDescent="0.3">
      <c r="A1265" t="str">
        <f>_xlfn.XLOOKUP(branches[[#This Row],[Филиал]], tbl_Filialy[Филиал], tbl_Filialy[Город])</f>
        <v>Краснодар</v>
      </c>
      <c r="B1265" s="1" t="s">
        <v>31</v>
      </c>
      <c r="C1265" s="2">
        <v>45915</v>
      </c>
      <c r="D1265" s="2" t="str">
        <f>CHOOSE(MONTH(branches[[#This Row],[Дата]]),"Январь","Февраль","Март","Апрель","Май","Июнь","Июль","Август","Сентябрь","Октябрь","Ноябрь","Декабрь")&amp;" "&amp;YEAR(branches[[#This Row],[Дата]])</f>
        <v>Сентябрь 2025</v>
      </c>
      <c r="E1265" t="s">
        <v>25</v>
      </c>
      <c r="F1265" t="s">
        <v>12</v>
      </c>
      <c r="G1265">
        <v>1</v>
      </c>
      <c r="H1265">
        <v>208</v>
      </c>
      <c r="I1265" t="s">
        <v>33</v>
      </c>
      <c r="J1265" t="str">
        <f>_xlfn.XLOOKUP(branches[[#This Row],[Филиал]], tbl_Filialy[Филиал], tbl_Filialy[Менеджер])</f>
        <v>Павел Ткаченко</v>
      </c>
    </row>
    <row r="1266" spans="1:10" x14ac:dyDescent="0.3">
      <c r="A1266" t="str">
        <f>_xlfn.XLOOKUP(branches[[#This Row],[Филиал]], tbl_Filialy[Филиал], tbl_Filialy[Город])</f>
        <v>Краснодар</v>
      </c>
      <c r="B1266" s="1" t="s">
        <v>31</v>
      </c>
      <c r="C1266" s="2">
        <v>45969</v>
      </c>
      <c r="D1266" s="2" t="str">
        <f>CHOOSE(MONTH(branches[[#This Row],[Дата]]),"Январь","Февраль","Март","Апрель","Май","Июнь","Июль","Август","Сентябрь","Октябрь","Ноябрь","Декабрь")&amp;" "&amp;YEAR(branches[[#This Row],[Дата]])</f>
        <v>Ноябрь 2025</v>
      </c>
      <c r="E1266" t="s">
        <v>11</v>
      </c>
      <c r="F1266" t="s">
        <v>12</v>
      </c>
      <c r="G1266">
        <v>2</v>
      </c>
      <c r="H1266">
        <v>390</v>
      </c>
      <c r="I1266" t="s">
        <v>35</v>
      </c>
      <c r="J1266" t="str">
        <f>_xlfn.XLOOKUP(branches[[#This Row],[Филиал]], tbl_Filialy[Филиал], tbl_Filialy[Менеджер])</f>
        <v>Павел Ткаченко</v>
      </c>
    </row>
    <row r="1267" spans="1:10" x14ac:dyDescent="0.3">
      <c r="A1267" t="str">
        <f>_xlfn.XLOOKUP(branches[[#This Row],[Филиал]], tbl_Filialy[Филиал], tbl_Filialy[Город])</f>
        <v>Краснодар</v>
      </c>
      <c r="B1267" s="1" t="s">
        <v>31</v>
      </c>
      <c r="C1267" s="2">
        <v>45726</v>
      </c>
      <c r="D1267" s="2" t="str">
        <f>CHOOSE(MONTH(branches[[#This Row],[Дата]]),"Январь","Февраль","Март","Апрель","Май","Июнь","Июль","Август","Сентябрь","Октябрь","Ноябрь","Декабрь")&amp;" "&amp;YEAR(branches[[#This Row],[Дата]])</f>
        <v>Март 2025</v>
      </c>
      <c r="E1267" t="s">
        <v>8</v>
      </c>
      <c r="F1267" t="s">
        <v>9</v>
      </c>
      <c r="G1267">
        <v>2</v>
      </c>
      <c r="H1267">
        <v>480</v>
      </c>
      <c r="I1267" t="s">
        <v>33</v>
      </c>
      <c r="J1267" t="str">
        <f>_xlfn.XLOOKUP(branches[[#This Row],[Филиал]], tbl_Filialy[Филиал], tbl_Filialy[Менеджер])</f>
        <v>Павел Ткаченко</v>
      </c>
    </row>
    <row r="1268" spans="1:10" x14ac:dyDescent="0.3">
      <c r="A1268" t="str">
        <f>_xlfn.XLOOKUP(branches[[#This Row],[Филиал]], tbl_Filialy[Филиал], tbl_Filialy[Город])</f>
        <v>Краснодар</v>
      </c>
      <c r="B1268" s="1" t="s">
        <v>31</v>
      </c>
      <c r="C1268" s="2">
        <v>45992</v>
      </c>
      <c r="D1268" s="2" t="str">
        <f>CHOOSE(MONTH(branches[[#This Row],[Дата]]),"Январь","Февраль","Март","Апрель","Май","Июнь","Июль","Август","Сентябрь","Октябрь","Ноябрь","Декабрь")&amp;" "&amp;YEAR(branches[[#This Row],[Дата]])</f>
        <v>Декабрь 2025</v>
      </c>
      <c r="E1268" t="s">
        <v>18</v>
      </c>
      <c r="F1268" t="s">
        <v>12</v>
      </c>
      <c r="G1268">
        <v>1</v>
      </c>
      <c r="H1268">
        <v>155</v>
      </c>
      <c r="I1268" t="s">
        <v>34</v>
      </c>
      <c r="J1268" t="str">
        <f>_xlfn.XLOOKUP(branches[[#This Row],[Филиал]], tbl_Filialy[Филиал], tbl_Filialy[Менеджер])</f>
        <v>Павел Ткаченко</v>
      </c>
    </row>
    <row r="1269" spans="1:10" x14ac:dyDescent="0.3">
      <c r="A1269" t="str">
        <f>_xlfn.XLOOKUP(branches[[#This Row],[Филиал]], tbl_Filialy[Филиал], tbl_Filialy[Город])</f>
        <v>Краснодар</v>
      </c>
      <c r="B1269" s="1" t="s">
        <v>31</v>
      </c>
      <c r="C1269" s="2">
        <v>45723</v>
      </c>
      <c r="D1269" s="2" t="str">
        <f>CHOOSE(MONTH(branches[[#This Row],[Дата]]),"Январь","Февраль","Март","Апрель","Май","Июнь","Июль","Август","Сентябрь","Октябрь","Ноябрь","Декабрь")&amp;" "&amp;YEAR(branches[[#This Row],[Дата]])</f>
        <v>Март 2025</v>
      </c>
      <c r="E1269" t="s">
        <v>18</v>
      </c>
      <c r="F1269" t="s">
        <v>12</v>
      </c>
      <c r="G1269">
        <v>2</v>
      </c>
      <c r="H1269">
        <v>266</v>
      </c>
      <c r="I1269" t="s">
        <v>35</v>
      </c>
      <c r="J1269" t="str">
        <f>_xlfn.XLOOKUP(branches[[#This Row],[Филиал]], tbl_Filialy[Филиал], tbl_Filialy[Менеджер])</f>
        <v>Павел Ткаченко</v>
      </c>
    </row>
    <row r="1270" spans="1:10" x14ac:dyDescent="0.3">
      <c r="A1270" t="str">
        <f>_xlfn.XLOOKUP(branches[[#This Row],[Филиал]], tbl_Filialy[Филиал], tbl_Filialy[Город])</f>
        <v>Краснодар</v>
      </c>
      <c r="B1270" s="1" t="s">
        <v>31</v>
      </c>
      <c r="C1270" s="2">
        <v>45663</v>
      </c>
      <c r="D1270" s="2" t="str">
        <f>CHOOSE(MONTH(branches[[#This Row],[Дата]]),"Январь","Февраль","Март","Апрель","Май","Июнь","Июль","Август","Сентябрь","Октябрь","Ноябрь","Декабрь")&amp;" "&amp;YEAR(branches[[#This Row],[Дата]])</f>
        <v>Январь 2025</v>
      </c>
      <c r="E1270" t="s">
        <v>25</v>
      </c>
      <c r="F1270" t="s">
        <v>12</v>
      </c>
      <c r="G1270">
        <v>3</v>
      </c>
      <c r="H1270">
        <v>693</v>
      </c>
      <c r="I1270" t="s">
        <v>19</v>
      </c>
      <c r="J1270" t="str">
        <f>_xlfn.XLOOKUP(branches[[#This Row],[Филиал]], tbl_Filialy[Филиал], tbl_Filialy[Менеджер])</f>
        <v>Павел Ткаченко</v>
      </c>
    </row>
    <row r="1271" spans="1:10" x14ac:dyDescent="0.3">
      <c r="A1271" t="str">
        <f>_xlfn.XLOOKUP(branches[[#This Row],[Филиал]], tbl_Filialy[Филиал], tbl_Filialy[Город])</f>
        <v>Краснодар</v>
      </c>
      <c r="B1271" s="1" t="s">
        <v>31</v>
      </c>
      <c r="C1271" s="2">
        <v>45933</v>
      </c>
      <c r="D1271" s="2" t="str">
        <f>CHOOSE(MONTH(branches[[#This Row],[Дата]]),"Январь","Февраль","Март","Апрель","Май","Июнь","Июль","Август","Сентябрь","Октябрь","Ноябрь","Декабрь")&amp;" "&amp;YEAR(branches[[#This Row],[Дата]])</f>
        <v>Октябрь 2025</v>
      </c>
      <c r="E1271" t="s">
        <v>18</v>
      </c>
      <c r="F1271" t="s">
        <v>12</v>
      </c>
      <c r="G1271">
        <v>2</v>
      </c>
      <c r="H1271">
        <v>310</v>
      </c>
      <c r="I1271" t="s">
        <v>32</v>
      </c>
      <c r="J1271" t="str">
        <f>_xlfn.XLOOKUP(branches[[#This Row],[Филиал]], tbl_Filialy[Филиал], tbl_Filialy[Менеджер])</f>
        <v>Павел Ткаченко</v>
      </c>
    </row>
    <row r="1272" spans="1:10" x14ac:dyDescent="0.3">
      <c r="A1272" t="str">
        <f>_xlfn.XLOOKUP(branches[[#This Row],[Филиал]], tbl_Filialy[Филиал], tbl_Filialy[Город])</f>
        <v>Краснодар</v>
      </c>
      <c r="B1272" s="1" t="s">
        <v>31</v>
      </c>
      <c r="C1272" s="2">
        <v>45700</v>
      </c>
      <c r="D1272" s="2" t="str">
        <f>CHOOSE(MONTH(branches[[#This Row],[Дата]]),"Январь","Февраль","Март","Апрель","Май","Июнь","Июль","Август","Сентябрь","Октябрь","Ноябрь","Декабрь")&amp;" "&amp;YEAR(branches[[#This Row],[Дата]])</f>
        <v>Февраль 2025</v>
      </c>
      <c r="E1272" t="s">
        <v>28</v>
      </c>
      <c r="F1272" t="s">
        <v>12</v>
      </c>
      <c r="G1272">
        <v>2</v>
      </c>
      <c r="H1272">
        <v>520</v>
      </c>
      <c r="I1272" t="s">
        <v>35</v>
      </c>
      <c r="J1272" t="str">
        <f>_xlfn.XLOOKUP(branches[[#This Row],[Филиал]], tbl_Filialy[Филиал], tbl_Filialy[Менеджер])</f>
        <v>Павел Ткаченко</v>
      </c>
    </row>
    <row r="1273" spans="1:10" x14ac:dyDescent="0.3">
      <c r="A1273" t="str">
        <f>_xlfn.XLOOKUP(branches[[#This Row],[Филиал]], tbl_Filialy[Филиал], tbl_Filialy[Город])</f>
        <v>Краснодар</v>
      </c>
      <c r="B1273" s="1" t="s">
        <v>31</v>
      </c>
      <c r="C1273" s="2">
        <v>45802</v>
      </c>
      <c r="D1273" s="2" t="str">
        <f>CHOOSE(MONTH(branches[[#This Row],[Дата]]),"Январь","Февраль","Март","Апрель","Май","Июнь","Июль","Август","Сентябрь","Октябрь","Ноябрь","Декабрь")&amp;" "&amp;YEAR(branches[[#This Row],[Дата]])</f>
        <v>Май 2025</v>
      </c>
      <c r="E1273" t="s">
        <v>27</v>
      </c>
      <c r="F1273" t="s">
        <v>12</v>
      </c>
      <c r="G1273">
        <v>1</v>
      </c>
      <c r="H1273">
        <v>207</v>
      </c>
      <c r="I1273" t="s">
        <v>35</v>
      </c>
      <c r="J1273" t="str">
        <f>_xlfn.XLOOKUP(branches[[#This Row],[Филиал]], tbl_Filialy[Филиал], tbl_Filialy[Менеджер])</f>
        <v>Павел Ткаченко</v>
      </c>
    </row>
    <row r="1274" spans="1:10" x14ac:dyDescent="0.3">
      <c r="A1274" t="str">
        <f>_xlfn.XLOOKUP(branches[[#This Row],[Филиал]], tbl_Filialy[Филиал], tbl_Filialy[Город])</f>
        <v>Краснодар</v>
      </c>
      <c r="B1274" s="1" t="s">
        <v>31</v>
      </c>
      <c r="C1274" s="2">
        <v>45722</v>
      </c>
      <c r="D1274" s="2" t="str">
        <f>CHOOSE(MONTH(branches[[#This Row],[Дата]]),"Январь","Февраль","Март","Апрель","Май","Июнь","Июль","Август","Сентябрь","Октябрь","Ноябрь","Декабрь")&amp;" "&amp;YEAR(branches[[#This Row],[Дата]])</f>
        <v>Март 2025</v>
      </c>
      <c r="E1274" t="s">
        <v>26</v>
      </c>
      <c r="F1274" t="s">
        <v>9</v>
      </c>
      <c r="G1274">
        <v>3</v>
      </c>
      <c r="H1274">
        <v>618</v>
      </c>
      <c r="I1274" t="s">
        <v>35</v>
      </c>
      <c r="J1274" t="str">
        <f>_xlfn.XLOOKUP(branches[[#This Row],[Филиал]], tbl_Filialy[Филиал], tbl_Filialy[Менеджер])</f>
        <v>Павел Ткаченко</v>
      </c>
    </row>
    <row r="1275" spans="1:10" x14ac:dyDescent="0.3">
      <c r="A1275" t="str">
        <f>_xlfn.XLOOKUP(branches[[#This Row],[Филиал]], tbl_Filialy[Филиал], tbl_Filialy[Город])</f>
        <v>Краснодар</v>
      </c>
      <c r="B1275" s="1" t="s">
        <v>31</v>
      </c>
      <c r="C1275" s="2">
        <v>45916</v>
      </c>
      <c r="D1275" s="2" t="str">
        <f>CHOOSE(MONTH(branches[[#This Row],[Дата]]),"Январь","Февраль","Март","Апрель","Май","Июнь","Июль","Август","Сентябрь","Октябрь","Ноябрь","Декабрь")&amp;" "&amp;YEAR(branches[[#This Row],[Дата]])</f>
        <v>Сентябрь 2025</v>
      </c>
      <c r="E1275" t="s">
        <v>27</v>
      </c>
      <c r="F1275" t="s">
        <v>12</v>
      </c>
      <c r="G1275">
        <v>1</v>
      </c>
      <c r="H1275">
        <v>221</v>
      </c>
      <c r="I1275" t="s">
        <v>33</v>
      </c>
      <c r="J1275" t="str">
        <f>_xlfn.XLOOKUP(branches[[#This Row],[Филиал]], tbl_Filialy[Филиал], tbl_Filialy[Менеджер])</f>
        <v>Павел Ткаченко</v>
      </c>
    </row>
    <row r="1276" spans="1:10" x14ac:dyDescent="0.3">
      <c r="A1276" t="str">
        <f>_xlfn.XLOOKUP(branches[[#This Row],[Филиал]], tbl_Filialy[Филиал], tbl_Filialy[Город])</f>
        <v>Краснодар</v>
      </c>
      <c r="B1276" s="1" t="s">
        <v>31</v>
      </c>
      <c r="C1276" s="2">
        <v>45944</v>
      </c>
      <c r="D1276" s="2" t="str">
        <f>CHOOSE(MONTH(branches[[#This Row],[Дата]]),"Январь","Февраль","Март","Апрель","Май","Июнь","Июль","Август","Сентябрь","Октябрь","Ноябрь","Декабрь")&amp;" "&amp;YEAR(branches[[#This Row],[Дата]])</f>
        <v>Октябрь 2025</v>
      </c>
      <c r="E1276" t="s">
        <v>26</v>
      </c>
      <c r="F1276" t="s">
        <v>9</v>
      </c>
      <c r="G1276">
        <v>1</v>
      </c>
      <c r="H1276">
        <v>185</v>
      </c>
      <c r="I1276" t="s">
        <v>35</v>
      </c>
      <c r="J1276" t="str">
        <f>_xlfn.XLOOKUP(branches[[#This Row],[Филиал]], tbl_Filialy[Филиал], tbl_Filialy[Менеджер])</f>
        <v>Павел Ткаченко</v>
      </c>
    </row>
    <row r="1277" spans="1:10" x14ac:dyDescent="0.3">
      <c r="A1277" t="str">
        <f>_xlfn.XLOOKUP(branches[[#This Row],[Филиал]], tbl_Filialy[Филиал], tbl_Filialy[Город])</f>
        <v>Краснодар</v>
      </c>
      <c r="B1277" s="1" t="s">
        <v>31</v>
      </c>
      <c r="C1277" s="2">
        <v>45755</v>
      </c>
      <c r="D1277" s="2" t="str">
        <f>CHOOSE(MONTH(branches[[#This Row],[Дата]]),"Январь","Февраль","Март","Апрель","Май","Июнь","Июль","Август","Сентябрь","Октябрь","Ноябрь","Декабрь")&amp;" "&amp;YEAR(branches[[#This Row],[Дата]])</f>
        <v>Апрель 2025</v>
      </c>
      <c r="E1277" t="s">
        <v>18</v>
      </c>
      <c r="F1277" t="s">
        <v>12</v>
      </c>
      <c r="G1277">
        <v>3</v>
      </c>
      <c r="H1277">
        <v>414</v>
      </c>
      <c r="I1277" t="s">
        <v>33</v>
      </c>
      <c r="J1277" t="str">
        <f>_xlfn.XLOOKUP(branches[[#This Row],[Филиал]], tbl_Filialy[Филиал], tbl_Filialy[Менеджер])</f>
        <v>Павел Ткаченко</v>
      </c>
    </row>
    <row r="1278" spans="1:10" x14ac:dyDescent="0.3">
      <c r="A1278" t="str">
        <f>_xlfn.XLOOKUP(branches[[#This Row],[Филиал]], tbl_Filialy[Филиал], tbl_Filialy[Город])</f>
        <v>Краснодар</v>
      </c>
      <c r="B1278" s="1" t="s">
        <v>31</v>
      </c>
      <c r="C1278" s="2">
        <v>46012</v>
      </c>
      <c r="D1278" s="2" t="str">
        <f>CHOOSE(MONTH(branches[[#This Row],[Дата]]),"Январь","Февраль","Март","Апрель","Май","Июнь","Июль","Август","Сентябрь","Октябрь","Ноябрь","Декабрь")&amp;" "&amp;YEAR(branches[[#This Row],[Дата]])</f>
        <v>Декабрь 2025</v>
      </c>
      <c r="E1278" t="s">
        <v>20</v>
      </c>
      <c r="F1278" t="s">
        <v>12</v>
      </c>
      <c r="G1278">
        <v>3</v>
      </c>
      <c r="H1278">
        <v>873</v>
      </c>
      <c r="I1278" t="s">
        <v>13</v>
      </c>
      <c r="J1278" t="str">
        <f>_xlfn.XLOOKUP(branches[[#This Row],[Филиал]], tbl_Filialy[Филиал], tbl_Filialy[Менеджер])</f>
        <v>Павел Ткаченко</v>
      </c>
    </row>
    <row r="1279" spans="1:10" x14ac:dyDescent="0.3">
      <c r="A1279" t="str">
        <f>_xlfn.XLOOKUP(branches[[#This Row],[Филиал]], tbl_Filialy[Филиал], tbl_Filialy[Город])</f>
        <v>Краснодар</v>
      </c>
      <c r="B1279" s="1" t="s">
        <v>31</v>
      </c>
      <c r="C1279" s="2">
        <v>45791</v>
      </c>
      <c r="D1279" s="2" t="str">
        <f>CHOOSE(MONTH(branches[[#This Row],[Дата]]),"Январь","Февраль","Март","Апрель","Май","Июнь","Июль","Август","Сентябрь","Октябрь","Ноябрь","Декабрь")&amp;" "&amp;YEAR(branches[[#This Row],[Дата]])</f>
        <v>Май 2025</v>
      </c>
      <c r="E1279" t="s">
        <v>14</v>
      </c>
      <c r="F1279" t="s">
        <v>12</v>
      </c>
      <c r="G1279">
        <v>1</v>
      </c>
      <c r="H1279">
        <v>268</v>
      </c>
      <c r="I1279" t="s">
        <v>33</v>
      </c>
      <c r="J1279" t="str">
        <f>_xlfn.XLOOKUP(branches[[#This Row],[Филиал]], tbl_Filialy[Филиал], tbl_Filialy[Менеджер])</f>
        <v>Павел Ткаченко</v>
      </c>
    </row>
    <row r="1280" spans="1:10" x14ac:dyDescent="0.3">
      <c r="A1280" t="str">
        <f>_xlfn.XLOOKUP(branches[[#This Row],[Филиал]], tbl_Filialy[Филиал], tbl_Filialy[Город])</f>
        <v>Краснодар</v>
      </c>
      <c r="B1280" s="1" t="s">
        <v>31</v>
      </c>
      <c r="C1280" s="2">
        <v>46016</v>
      </c>
      <c r="D1280" s="2" t="str">
        <f>CHOOSE(MONTH(branches[[#This Row],[Дата]]),"Январь","Февраль","Март","Апрель","Май","Июнь","Июль","Август","Сентябрь","Октябрь","Ноябрь","Декабрь")&amp;" "&amp;YEAR(branches[[#This Row],[Дата]])</f>
        <v>Декабрь 2025</v>
      </c>
      <c r="E1280" t="s">
        <v>8</v>
      </c>
      <c r="F1280" t="s">
        <v>9</v>
      </c>
      <c r="G1280">
        <v>3</v>
      </c>
      <c r="H1280">
        <v>774</v>
      </c>
      <c r="I1280" t="s">
        <v>34</v>
      </c>
      <c r="J1280" t="str">
        <f>_xlfn.XLOOKUP(branches[[#This Row],[Филиал]], tbl_Filialy[Филиал], tbl_Filialy[Менеджер])</f>
        <v>Павел Ткаченко</v>
      </c>
    </row>
    <row r="1281" spans="1:10" x14ac:dyDescent="0.3">
      <c r="A1281" t="str">
        <f>_xlfn.XLOOKUP(branches[[#This Row],[Филиал]], tbl_Filialy[Филиал], tbl_Filialy[Город])</f>
        <v>Краснодар</v>
      </c>
      <c r="B1281" s="1" t="s">
        <v>31</v>
      </c>
      <c r="C1281" s="2">
        <v>45933</v>
      </c>
      <c r="D1281" s="2" t="str">
        <f>CHOOSE(MONTH(branches[[#This Row],[Дата]]),"Январь","Февраль","Март","Апрель","Май","Июнь","Июль","Август","Сентябрь","Октябрь","Ноябрь","Декабрь")&amp;" "&amp;YEAR(branches[[#This Row],[Дата]])</f>
        <v>Октябрь 2025</v>
      </c>
      <c r="E1281" t="s">
        <v>28</v>
      </c>
      <c r="F1281" t="s">
        <v>12</v>
      </c>
      <c r="G1281">
        <v>1</v>
      </c>
      <c r="H1281">
        <v>213</v>
      </c>
      <c r="I1281" t="s">
        <v>13</v>
      </c>
      <c r="J1281" t="str">
        <f>_xlfn.XLOOKUP(branches[[#This Row],[Филиал]], tbl_Filialy[Филиал], tbl_Filialy[Менеджер])</f>
        <v>Павел Ткаченко</v>
      </c>
    </row>
    <row r="1282" spans="1:10" x14ac:dyDescent="0.3">
      <c r="A1282" t="str">
        <f>_xlfn.XLOOKUP(branches[[#This Row],[Филиал]], tbl_Filialy[Филиал], tbl_Filialy[Город])</f>
        <v>Краснодар</v>
      </c>
      <c r="B1282" s="1" t="s">
        <v>31</v>
      </c>
      <c r="C1282" s="2">
        <v>45881</v>
      </c>
      <c r="D1282" s="2" t="str">
        <f>CHOOSE(MONTH(branches[[#This Row],[Дата]]),"Январь","Февраль","Март","Апрель","Май","Июнь","Июль","Август","Сентябрь","Октябрь","Ноябрь","Декабрь")&amp;" "&amp;YEAR(branches[[#This Row],[Дата]])</f>
        <v>Август 2025</v>
      </c>
      <c r="E1282" t="s">
        <v>25</v>
      </c>
      <c r="F1282" t="s">
        <v>12</v>
      </c>
      <c r="G1282">
        <v>1</v>
      </c>
      <c r="H1282">
        <v>236</v>
      </c>
      <c r="I1282" t="s">
        <v>13</v>
      </c>
      <c r="J1282" t="str">
        <f>_xlfn.XLOOKUP(branches[[#This Row],[Филиал]], tbl_Filialy[Филиал], tbl_Filialy[Менеджер])</f>
        <v>Павел Ткаченко</v>
      </c>
    </row>
    <row r="1283" spans="1:10" x14ac:dyDescent="0.3">
      <c r="A1283" t="str">
        <f>_xlfn.XLOOKUP(branches[[#This Row],[Филиал]], tbl_Filialy[Филиал], tbl_Filialy[Город])</f>
        <v>Краснодар</v>
      </c>
      <c r="B1283" s="1" t="s">
        <v>31</v>
      </c>
      <c r="C1283" s="2">
        <v>45841</v>
      </c>
      <c r="D1283" s="2" t="str">
        <f>CHOOSE(MONTH(branches[[#This Row],[Дата]]),"Январь","Февраль","Март","Апрель","Май","Июнь","Июль","Август","Сентябрь","Октябрь","Ноябрь","Декабрь")&amp;" "&amp;YEAR(branches[[#This Row],[Дата]])</f>
        <v>Июль 2025</v>
      </c>
      <c r="E1283" t="s">
        <v>27</v>
      </c>
      <c r="F1283" t="s">
        <v>12</v>
      </c>
      <c r="G1283">
        <v>3</v>
      </c>
      <c r="H1283">
        <v>621</v>
      </c>
      <c r="I1283" t="s">
        <v>32</v>
      </c>
      <c r="J1283" t="str">
        <f>_xlfn.XLOOKUP(branches[[#This Row],[Филиал]], tbl_Filialy[Филиал], tbl_Filialy[Менеджер])</f>
        <v>Павел Ткаченко</v>
      </c>
    </row>
    <row r="1284" spans="1:10" x14ac:dyDescent="0.3">
      <c r="A1284" t="str">
        <f>_xlfn.XLOOKUP(branches[[#This Row],[Филиал]], tbl_Filialy[Филиал], tbl_Filialy[Город])</f>
        <v>Краснодар</v>
      </c>
      <c r="B1284" s="1" t="s">
        <v>31</v>
      </c>
      <c r="C1284" s="2">
        <v>45955</v>
      </c>
      <c r="D1284" s="2" t="str">
        <f>CHOOSE(MONTH(branches[[#This Row],[Дата]]),"Январь","Февраль","Март","Апрель","Май","Июнь","Июль","Август","Сентябрь","Октябрь","Ноябрь","Декабрь")&amp;" "&amp;YEAR(branches[[#This Row],[Дата]])</f>
        <v>Октябрь 2025</v>
      </c>
      <c r="E1284" t="s">
        <v>25</v>
      </c>
      <c r="F1284" t="s">
        <v>12</v>
      </c>
      <c r="G1284">
        <v>1</v>
      </c>
      <c r="H1284">
        <v>219</v>
      </c>
      <c r="I1284" t="s">
        <v>34</v>
      </c>
      <c r="J1284" t="str">
        <f>_xlfn.XLOOKUP(branches[[#This Row],[Филиал]], tbl_Filialy[Филиал], tbl_Filialy[Менеджер])</f>
        <v>Павел Ткаченко</v>
      </c>
    </row>
    <row r="1285" spans="1:10" x14ac:dyDescent="0.3">
      <c r="A1285" t="str">
        <f>_xlfn.XLOOKUP(branches[[#This Row],[Филиал]], tbl_Filialy[Филиал], tbl_Filialy[Город])</f>
        <v>Краснодар</v>
      </c>
      <c r="B1285" s="1" t="s">
        <v>31</v>
      </c>
      <c r="C1285" s="2">
        <v>45980</v>
      </c>
      <c r="D1285" s="2" t="str">
        <f>CHOOSE(MONTH(branches[[#This Row],[Дата]]),"Январь","Февраль","Март","Апрель","Май","Июнь","Июль","Август","Сентябрь","Октябрь","Ноябрь","Декабрь")&amp;" "&amp;YEAR(branches[[#This Row],[Дата]])</f>
        <v>Ноябрь 2025</v>
      </c>
      <c r="E1285" t="s">
        <v>14</v>
      </c>
      <c r="F1285" t="s">
        <v>12</v>
      </c>
      <c r="G1285">
        <v>1</v>
      </c>
      <c r="H1285">
        <v>262</v>
      </c>
      <c r="I1285" t="s">
        <v>34</v>
      </c>
      <c r="J1285" t="str">
        <f>_xlfn.XLOOKUP(branches[[#This Row],[Филиал]], tbl_Filialy[Филиал], tbl_Filialy[Менеджер])</f>
        <v>Павел Ткаченко</v>
      </c>
    </row>
    <row r="1286" spans="1:10" x14ac:dyDescent="0.3">
      <c r="A1286" t="str">
        <f>_xlfn.XLOOKUP(branches[[#This Row],[Филиал]], tbl_Filialy[Филиал], tbl_Filialy[Город])</f>
        <v>Краснодар</v>
      </c>
      <c r="B1286" s="1" t="s">
        <v>31</v>
      </c>
      <c r="C1286" s="2">
        <v>45908</v>
      </c>
      <c r="D1286" s="2" t="str">
        <f>CHOOSE(MONTH(branches[[#This Row],[Дата]]),"Январь","Февраль","Март","Апрель","Май","Июнь","Июль","Август","Сентябрь","Октябрь","Ноябрь","Декабрь")&amp;" "&amp;YEAR(branches[[#This Row],[Дата]])</f>
        <v>Сентябрь 2025</v>
      </c>
      <c r="E1286" t="s">
        <v>14</v>
      </c>
      <c r="F1286" t="s">
        <v>12</v>
      </c>
      <c r="G1286">
        <v>1</v>
      </c>
      <c r="H1286">
        <v>260</v>
      </c>
      <c r="I1286" t="s">
        <v>33</v>
      </c>
      <c r="J1286" t="str">
        <f>_xlfn.XLOOKUP(branches[[#This Row],[Филиал]], tbl_Filialy[Филиал], tbl_Filialy[Менеджер])</f>
        <v>Павел Ткаченко</v>
      </c>
    </row>
    <row r="1287" spans="1:10" x14ac:dyDescent="0.3">
      <c r="A1287" t="str">
        <f>_xlfn.XLOOKUP(branches[[#This Row],[Филиал]], tbl_Filialy[Филиал], tbl_Filialy[Город])</f>
        <v>Краснодар</v>
      </c>
      <c r="B1287" s="1" t="s">
        <v>31</v>
      </c>
      <c r="C1287" s="2">
        <v>45814</v>
      </c>
      <c r="D1287" s="2" t="str">
        <f>CHOOSE(MONTH(branches[[#This Row],[Дата]]),"Январь","Февраль","Март","Апрель","Май","Июнь","Июль","Август","Сентябрь","Октябрь","Ноябрь","Декабрь")&amp;" "&amp;YEAR(branches[[#This Row],[Дата]])</f>
        <v>Июнь 2025</v>
      </c>
      <c r="E1287" t="s">
        <v>14</v>
      </c>
      <c r="F1287" t="s">
        <v>12</v>
      </c>
      <c r="G1287">
        <v>1</v>
      </c>
      <c r="H1287">
        <v>245</v>
      </c>
      <c r="I1287" t="s">
        <v>34</v>
      </c>
      <c r="J1287" t="str">
        <f>_xlfn.XLOOKUP(branches[[#This Row],[Филиал]], tbl_Filialy[Филиал], tbl_Filialy[Менеджер])</f>
        <v>Павел Ткаченко</v>
      </c>
    </row>
    <row r="1288" spans="1:10" x14ac:dyDescent="0.3">
      <c r="A1288" t="str">
        <f>_xlfn.XLOOKUP(branches[[#This Row],[Филиал]], tbl_Filialy[Филиал], tbl_Filialy[Город])</f>
        <v>Краснодар</v>
      </c>
      <c r="B1288" s="1" t="s">
        <v>31</v>
      </c>
      <c r="C1288" s="2">
        <v>45728</v>
      </c>
      <c r="D1288" s="2" t="str">
        <f>CHOOSE(MONTH(branches[[#This Row],[Дата]]),"Январь","Февраль","Март","Апрель","Май","Июнь","Июль","Август","Сентябрь","Октябрь","Ноябрь","Декабрь")&amp;" "&amp;YEAR(branches[[#This Row],[Дата]])</f>
        <v>Март 2025</v>
      </c>
      <c r="E1288" t="s">
        <v>22</v>
      </c>
      <c r="F1288" t="s">
        <v>9</v>
      </c>
      <c r="G1288">
        <v>3</v>
      </c>
      <c r="H1288">
        <v>582</v>
      </c>
      <c r="I1288" t="s">
        <v>34</v>
      </c>
      <c r="J1288" t="str">
        <f>_xlfn.XLOOKUP(branches[[#This Row],[Филиал]], tbl_Filialy[Филиал], tbl_Filialy[Менеджер])</f>
        <v>Павел Ткаченко</v>
      </c>
    </row>
    <row r="1289" spans="1:10" x14ac:dyDescent="0.3">
      <c r="A1289" t="str">
        <f>_xlfn.XLOOKUP(branches[[#This Row],[Филиал]], tbl_Filialy[Филиал], tbl_Filialy[Город])</f>
        <v>Краснодар</v>
      </c>
      <c r="B1289" s="1" t="s">
        <v>31</v>
      </c>
      <c r="C1289" s="2">
        <v>46019</v>
      </c>
      <c r="D1289" s="2" t="str">
        <f>CHOOSE(MONTH(branches[[#This Row],[Дата]]),"Январь","Февраль","Март","Апрель","Май","Июнь","Июль","Август","Сентябрь","Октябрь","Ноябрь","Декабрь")&amp;" "&amp;YEAR(branches[[#This Row],[Дата]])</f>
        <v>Декабрь 2025</v>
      </c>
      <c r="E1289" t="s">
        <v>26</v>
      </c>
      <c r="F1289" t="s">
        <v>9</v>
      </c>
      <c r="G1289">
        <v>2</v>
      </c>
      <c r="H1289">
        <v>418</v>
      </c>
      <c r="I1289" t="s">
        <v>35</v>
      </c>
      <c r="J1289" t="str">
        <f>_xlfn.XLOOKUP(branches[[#This Row],[Филиал]], tbl_Filialy[Филиал], tbl_Filialy[Менеджер])</f>
        <v>Павел Ткаченко</v>
      </c>
    </row>
    <row r="1290" spans="1:10" x14ac:dyDescent="0.3">
      <c r="A1290" t="str">
        <f>_xlfn.XLOOKUP(branches[[#This Row],[Филиал]], tbl_Filialy[Филиал], tbl_Filialy[Город])</f>
        <v>Краснодар</v>
      </c>
      <c r="B1290" s="1" t="s">
        <v>31</v>
      </c>
      <c r="C1290" s="2">
        <v>45701</v>
      </c>
      <c r="D1290" s="2" t="str">
        <f>CHOOSE(MONTH(branches[[#This Row],[Дата]]),"Январь","Февраль","Март","Апрель","Май","Июнь","Июль","Август","Сентябрь","Октябрь","Ноябрь","Декабрь")&amp;" "&amp;YEAR(branches[[#This Row],[Дата]])</f>
        <v>Февраль 2025</v>
      </c>
      <c r="E1290" t="s">
        <v>8</v>
      </c>
      <c r="F1290" t="s">
        <v>9</v>
      </c>
      <c r="G1290">
        <v>3</v>
      </c>
      <c r="H1290">
        <v>816</v>
      </c>
      <c r="I1290" t="s">
        <v>13</v>
      </c>
      <c r="J1290" t="str">
        <f>_xlfn.XLOOKUP(branches[[#This Row],[Филиал]], tbl_Filialy[Филиал], tbl_Filialy[Менеджер])</f>
        <v>Павел Ткаченко</v>
      </c>
    </row>
    <row r="1291" spans="1:10" x14ac:dyDescent="0.3">
      <c r="A1291" t="str">
        <f>_xlfn.XLOOKUP(branches[[#This Row],[Филиал]], tbl_Filialy[Филиал], tbl_Filialy[Город])</f>
        <v>Краснодар</v>
      </c>
      <c r="B1291" s="1" t="s">
        <v>31</v>
      </c>
      <c r="C1291" s="2">
        <v>45907</v>
      </c>
      <c r="D1291" s="2" t="str">
        <f>CHOOSE(MONTH(branches[[#This Row],[Дата]]),"Январь","Февраль","Март","Апрель","Май","Июнь","Июль","Август","Сентябрь","Октябрь","Ноябрь","Декабрь")&amp;" "&amp;YEAR(branches[[#This Row],[Дата]])</f>
        <v>Сентябрь 2025</v>
      </c>
      <c r="E1291" t="s">
        <v>18</v>
      </c>
      <c r="F1291" t="s">
        <v>12</v>
      </c>
      <c r="G1291">
        <v>2</v>
      </c>
      <c r="H1291">
        <v>284</v>
      </c>
      <c r="I1291" t="s">
        <v>35</v>
      </c>
      <c r="J1291" t="str">
        <f>_xlfn.XLOOKUP(branches[[#This Row],[Филиал]], tbl_Filialy[Филиал], tbl_Filialy[Менеджер])</f>
        <v>Павел Ткаченко</v>
      </c>
    </row>
    <row r="1292" spans="1:10" x14ac:dyDescent="0.3">
      <c r="A1292" t="str">
        <f>_xlfn.XLOOKUP(branches[[#This Row],[Филиал]], tbl_Filialy[Филиал], tbl_Filialy[Город])</f>
        <v>Краснодар</v>
      </c>
      <c r="B1292" s="1" t="s">
        <v>31</v>
      </c>
      <c r="C1292" s="2">
        <v>45876</v>
      </c>
      <c r="D1292" s="2" t="str">
        <f>CHOOSE(MONTH(branches[[#This Row],[Дата]]),"Январь","Февраль","Март","Апрель","Май","Июнь","Июль","Август","Сентябрь","Октябрь","Ноябрь","Декабрь")&amp;" "&amp;YEAR(branches[[#This Row],[Дата]])</f>
        <v>Август 2025</v>
      </c>
      <c r="E1292" t="s">
        <v>26</v>
      </c>
      <c r="F1292" t="s">
        <v>9</v>
      </c>
      <c r="G1292">
        <v>3</v>
      </c>
      <c r="H1292">
        <v>627</v>
      </c>
      <c r="I1292" t="s">
        <v>34</v>
      </c>
      <c r="J1292" t="str">
        <f>_xlfn.XLOOKUP(branches[[#This Row],[Филиал]], tbl_Filialy[Филиал], tbl_Filialy[Менеджер])</f>
        <v>Павел Ткаченко</v>
      </c>
    </row>
    <row r="1293" spans="1:10" x14ac:dyDescent="0.3">
      <c r="A1293" t="str">
        <f>_xlfn.XLOOKUP(branches[[#This Row],[Филиал]], tbl_Filialy[Филиал], tbl_Filialy[Город])</f>
        <v>Краснодар</v>
      </c>
      <c r="B1293" s="1" t="s">
        <v>31</v>
      </c>
      <c r="C1293" s="2">
        <v>45794</v>
      </c>
      <c r="D1293" s="2" t="str">
        <f>CHOOSE(MONTH(branches[[#This Row],[Дата]]),"Январь","Февраль","Март","Апрель","Май","Июнь","Июль","Август","Сентябрь","Октябрь","Ноябрь","Декабрь")&amp;" "&amp;YEAR(branches[[#This Row],[Дата]])</f>
        <v>Май 2025</v>
      </c>
      <c r="E1293" t="s">
        <v>8</v>
      </c>
      <c r="F1293" t="s">
        <v>9</v>
      </c>
      <c r="G1293">
        <v>1</v>
      </c>
      <c r="H1293">
        <v>260</v>
      </c>
      <c r="I1293" t="s">
        <v>32</v>
      </c>
      <c r="J1293" t="str">
        <f>_xlfn.XLOOKUP(branches[[#This Row],[Филиал]], tbl_Filialy[Филиал], tbl_Filialy[Менеджер])</f>
        <v>Павел Ткаченко</v>
      </c>
    </row>
    <row r="1294" spans="1:10" x14ac:dyDescent="0.3">
      <c r="A1294" t="str">
        <f>_xlfn.XLOOKUP(branches[[#This Row],[Филиал]], tbl_Filialy[Филиал], tbl_Filialy[Город])</f>
        <v>Краснодар</v>
      </c>
      <c r="B1294" s="1" t="s">
        <v>31</v>
      </c>
      <c r="C1294" s="2">
        <v>45689</v>
      </c>
      <c r="D1294" s="2" t="str">
        <f>CHOOSE(MONTH(branches[[#This Row],[Дата]]),"Январь","Февраль","Март","Апрель","Май","Июнь","Июль","Август","Сентябрь","Октябрь","Ноябрь","Декабрь")&amp;" "&amp;YEAR(branches[[#This Row],[Дата]])</f>
        <v>Февраль 2025</v>
      </c>
      <c r="E1294" t="s">
        <v>8</v>
      </c>
      <c r="F1294" t="s">
        <v>9</v>
      </c>
      <c r="G1294">
        <v>1</v>
      </c>
      <c r="H1294">
        <v>256</v>
      </c>
      <c r="I1294" t="s">
        <v>32</v>
      </c>
      <c r="J1294" t="str">
        <f>_xlfn.XLOOKUP(branches[[#This Row],[Филиал]], tbl_Filialy[Филиал], tbl_Filialy[Менеджер])</f>
        <v>Павел Ткаченко</v>
      </c>
    </row>
    <row r="1295" spans="1:10" x14ac:dyDescent="0.3">
      <c r="A1295" t="str">
        <f>_xlfn.XLOOKUP(branches[[#This Row],[Филиал]], tbl_Filialy[Филиал], tbl_Filialy[Город])</f>
        <v>Краснодар</v>
      </c>
      <c r="B1295" s="1" t="s">
        <v>31</v>
      </c>
      <c r="C1295" s="2">
        <v>45897</v>
      </c>
      <c r="D1295" s="2" t="str">
        <f>CHOOSE(MONTH(branches[[#This Row],[Дата]]),"Январь","Февраль","Март","Апрель","Май","Июнь","Июль","Август","Сентябрь","Октябрь","Ноябрь","Декабрь")&amp;" "&amp;YEAR(branches[[#This Row],[Дата]])</f>
        <v>Август 2025</v>
      </c>
      <c r="E1295" t="s">
        <v>8</v>
      </c>
      <c r="F1295" t="s">
        <v>9</v>
      </c>
      <c r="G1295">
        <v>2</v>
      </c>
      <c r="H1295">
        <v>516</v>
      </c>
      <c r="I1295" t="s">
        <v>19</v>
      </c>
      <c r="J1295" t="str">
        <f>_xlfn.XLOOKUP(branches[[#This Row],[Филиал]], tbl_Filialy[Филиал], tbl_Filialy[Менеджер])</f>
        <v>Павел Ткаченко</v>
      </c>
    </row>
    <row r="1296" spans="1:10" x14ac:dyDescent="0.3">
      <c r="A1296" t="str">
        <f>_xlfn.XLOOKUP(branches[[#This Row],[Филиал]], tbl_Filialy[Филиал], tbl_Filialy[Город])</f>
        <v>Краснодар</v>
      </c>
      <c r="B1296" s="1" t="s">
        <v>31</v>
      </c>
      <c r="C1296" s="2">
        <v>45908</v>
      </c>
      <c r="D1296" s="2" t="str">
        <f>CHOOSE(MONTH(branches[[#This Row],[Дата]]),"Январь","Февраль","Март","Апрель","Май","Июнь","Июль","Август","Сентябрь","Октябрь","Ноябрь","Декабрь")&amp;" "&amp;YEAR(branches[[#This Row],[Дата]])</f>
        <v>Сентябрь 2025</v>
      </c>
      <c r="E1296" t="s">
        <v>11</v>
      </c>
      <c r="F1296" t="s">
        <v>12</v>
      </c>
      <c r="G1296">
        <v>3</v>
      </c>
      <c r="H1296">
        <v>441</v>
      </c>
      <c r="I1296" t="s">
        <v>13</v>
      </c>
      <c r="J1296" t="str">
        <f>_xlfn.XLOOKUP(branches[[#This Row],[Филиал]], tbl_Filialy[Филиал], tbl_Filialy[Менеджер])</f>
        <v>Павел Ткаченко</v>
      </c>
    </row>
    <row r="1297" spans="1:10" x14ac:dyDescent="0.3">
      <c r="A1297" t="str">
        <f>_xlfn.XLOOKUP(branches[[#This Row],[Филиал]], tbl_Filialy[Филиал], tbl_Filialy[Город])</f>
        <v>Краснодар</v>
      </c>
      <c r="B1297" s="1" t="s">
        <v>31</v>
      </c>
      <c r="C1297" s="2">
        <v>46018</v>
      </c>
      <c r="D1297" s="2" t="str">
        <f>CHOOSE(MONTH(branches[[#This Row],[Дата]]),"Январь","Февраль","Март","Апрель","Май","Июнь","Июль","Август","Сентябрь","Октябрь","Ноябрь","Декабрь")&amp;" "&amp;YEAR(branches[[#This Row],[Дата]])</f>
        <v>Декабрь 2025</v>
      </c>
      <c r="E1297" t="s">
        <v>16</v>
      </c>
      <c r="F1297" t="s">
        <v>17</v>
      </c>
      <c r="G1297">
        <v>2</v>
      </c>
      <c r="H1297">
        <v>564</v>
      </c>
      <c r="I1297" t="s">
        <v>32</v>
      </c>
      <c r="J1297" t="str">
        <f>_xlfn.XLOOKUP(branches[[#This Row],[Филиал]], tbl_Filialy[Филиал], tbl_Filialy[Менеджер])</f>
        <v>Павел Ткаченко</v>
      </c>
    </row>
    <row r="1298" spans="1:10" x14ac:dyDescent="0.3">
      <c r="A1298" t="str">
        <f>_xlfn.XLOOKUP(branches[[#This Row],[Филиал]], tbl_Filialy[Филиал], tbl_Filialy[Город])</f>
        <v>Краснодар</v>
      </c>
      <c r="B1298" s="1" t="s">
        <v>31</v>
      </c>
      <c r="C1298" s="2">
        <v>45980</v>
      </c>
      <c r="D1298" s="2" t="str">
        <f>CHOOSE(MONTH(branches[[#This Row],[Дата]]),"Январь","Февраль","Март","Апрель","Май","Июнь","Июль","Август","Сентябрь","Октябрь","Ноябрь","Декабрь")&amp;" "&amp;YEAR(branches[[#This Row],[Дата]])</f>
        <v>Ноябрь 2025</v>
      </c>
      <c r="E1298" t="s">
        <v>18</v>
      </c>
      <c r="F1298" t="s">
        <v>12</v>
      </c>
      <c r="G1298">
        <v>2</v>
      </c>
      <c r="H1298">
        <v>272</v>
      </c>
      <c r="I1298" t="s">
        <v>32</v>
      </c>
      <c r="J1298" t="str">
        <f>_xlfn.XLOOKUP(branches[[#This Row],[Филиал]], tbl_Filialy[Филиал], tbl_Filialy[Менеджер])</f>
        <v>Павел Ткаченко</v>
      </c>
    </row>
    <row r="1299" spans="1:10" x14ac:dyDescent="0.3">
      <c r="A1299" t="str">
        <f>_xlfn.XLOOKUP(branches[[#This Row],[Филиал]], tbl_Filialy[Филиал], tbl_Filialy[Город])</f>
        <v>Краснодар</v>
      </c>
      <c r="B1299" s="1" t="s">
        <v>31</v>
      </c>
      <c r="C1299" s="2">
        <v>45696</v>
      </c>
      <c r="D1299" s="2" t="str">
        <f>CHOOSE(MONTH(branches[[#This Row],[Дата]]),"Январь","Февраль","Март","Апрель","Май","Июнь","Июль","Август","Сентябрь","Октябрь","Ноябрь","Декабрь")&amp;" "&amp;YEAR(branches[[#This Row],[Дата]])</f>
        <v>Февраль 2025</v>
      </c>
      <c r="E1299" t="s">
        <v>22</v>
      </c>
      <c r="F1299" t="s">
        <v>9</v>
      </c>
      <c r="G1299">
        <v>2</v>
      </c>
      <c r="H1299">
        <v>362</v>
      </c>
      <c r="I1299" t="s">
        <v>34</v>
      </c>
      <c r="J1299" t="str">
        <f>_xlfn.XLOOKUP(branches[[#This Row],[Филиал]], tbl_Filialy[Филиал], tbl_Filialy[Менеджер])</f>
        <v>Павел Ткаченко</v>
      </c>
    </row>
    <row r="1300" spans="1:10" x14ac:dyDescent="0.3">
      <c r="A1300" t="str">
        <f>_xlfn.XLOOKUP(branches[[#This Row],[Филиал]], tbl_Filialy[Филиал], tbl_Filialy[Город])</f>
        <v>Краснодар</v>
      </c>
      <c r="B1300" s="1" t="s">
        <v>31</v>
      </c>
      <c r="C1300" s="2">
        <v>45816</v>
      </c>
      <c r="D1300" s="2" t="str">
        <f>CHOOSE(MONTH(branches[[#This Row],[Дата]]),"Январь","Февраль","Март","Апрель","Май","Июнь","Июль","Август","Сентябрь","Октябрь","Ноябрь","Декабрь")&amp;" "&amp;YEAR(branches[[#This Row],[Дата]])</f>
        <v>Июнь 2025</v>
      </c>
      <c r="E1300" t="s">
        <v>28</v>
      </c>
      <c r="F1300" t="s">
        <v>12</v>
      </c>
      <c r="G1300">
        <v>1</v>
      </c>
      <c r="H1300">
        <v>235</v>
      </c>
      <c r="I1300" t="s">
        <v>13</v>
      </c>
      <c r="J1300" t="str">
        <f>_xlfn.XLOOKUP(branches[[#This Row],[Филиал]], tbl_Filialy[Филиал], tbl_Filialy[Менеджер])</f>
        <v>Павел Ткаченко</v>
      </c>
    </row>
    <row r="1301" spans="1:10" x14ac:dyDescent="0.3">
      <c r="A1301" t="str">
        <f>_xlfn.XLOOKUP(branches[[#This Row],[Филиал]], tbl_Filialy[Филиал], tbl_Filialy[Город])</f>
        <v>Краснодар</v>
      </c>
      <c r="B1301" s="1" t="s">
        <v>31</v>
      </c>
      <c r="C1301" s="2">
        <v>45848</v>
      </c>
      <c r="D1301" s="2" t="str">
        <f>CHOOSE(MONTH(branches[[#This Row],[Дата]]),"Январь","Февраль","Март","Апрель","Май","Июнь","Июль","Август","Сентябрь","Октябрь","Ноябрь","Декабрь")&amp;" "&amp;YEAR(branches[[#This Row],[Дата]])</f>
        <v>Июль 2025</v>
      </c>
      <c r="E1301" t="s">
        <v>8</v>
      </c>
      <c r="F1301" t="s">
        <v>9</v>
      </c>
      <c r="G1301">
        <v>3</v>
      </c>
      <c r="H1301">
        <v>765</v>
      </c>
      <c r="I1301" t="s">
        <v>19</v>
      </c>
      <c r="J1301" t="str">
        <f>_xlfn.XLOOKUP(branches[[#This Row],[Филиал]], tbl_Filialy[Филиал], tbl_Filialy[Менеджер])</f>
        <v>Павел Ткаченко</v>
      </c>
    </row>
    <row r="1302" spans="1:10" x14ac:dyDescent="0.3">
      <c r="A1302" t="str">
        <f>_xlfn.XLOOKUP(branches[[#This Row],[Филиал]], tbl_Filialy[Филиал], tbl_Filialy[Город])</f>
        <v>Краснодар</v>
      </c>
      <c r="B1302" s="1" t="s">
        <v>31</v>
      </c>
      <c r="C1302" s="2">
        <v>45737</v>
      </c>
      <c r="D1302" s="2" t="str">
        <f>CHOOSE(MONTH(branches[[#This Row],[Дата]]),"Январь","Февраль","Март","Апрель","Май","Июнь","Июль","Август","Сентябрь","Октябрь","Ноябрь","Декабрь")&amp;" "&amp;YEAR(branches[[#This Row],[Дата]])</f>
        <v>Март 2025</v>
      </c>
      <c r="E1302" t="s">
        <v>8</v>
      </c>
      <c r="F1302" t="s">
        <v>9</v>
      </c>
      <c r="G1302">
        <v>2</v>
      </c>
      <c r="H1302">
        <v>518</v>
      </c>
      <c r="I1302" t="s">
        <v>19</v>
      </c>
      <c r="J1302" t="str">
        <f>_xlfn.XLOOKUP(branches[[#This Row],[Филиал]], tbl_Filialy[Филиал], tbl_Filialy[Менеджер])</f>
        <v>Павел Ткаченко</v>
      </c>
    </row>
    <row r="1303" spans="1:10" x14ac:dyDescent="0.3">
      <c r="A1303" t="str">
        <f>_xlfn.XLOOKUP(branches[[#This Row],[Филиал]], tbl_Filialy[Филиал], tbl_Filialy[Город])</f>
        <v>Краснодар</v>
      </c>
      <c r="B1303" s="1" t="s">
        <v>31</v>
      </c>
      <c r="C1303" s="2">
        <v>45726</v>
      </c>
      <c r="D1303" s="2" t="str">
        <f>CHOOSE(MONTH(branches[[#This Row],[Дата]]),"Январь","Февраль","Март","Апрель","Май","Июнь","Июль","Август","Сентябрь","Октябрь","Ноябрь","Декабрь")&amp;" "&amp;YEAR(branches[[#This Row],[Дата]])</f>
        <v>Март 2025</v>
      </c>
      <c r="E1303" t="s">
        <v>18</v>
      </c>
      <c r="F1303" t="s">
        <v>12</v>
      </c>
      <c r="G1303">
        <v>2</v>
      </c>
      <c r="H1303">
        <v>306</v>
      </c>
      <c r="I1303" t="s">
        <v>33</v>
      </c>
      <c r="J1303" t="str">
        <f>_xlfn.XLOOKUP(branches[[#This Row],[Филиал]], tbl_Filialy[Филиал], tbl_Filialy[Менеджер])</f>
        <v>Павел Ткаченко</v>
      </c>
    </row>
    <row r="1304" spans="1:10" x14ac:dyDescent="0.3">
      <c r="A1304" t="str">
        <f>_xlfn.XLOOKUP(branches[[#This Row],[Филиал]], tbl_Filialy[Филиал], tbl_Filialy[Город])</f>
        <v>Краснодар</v>
      </c>
      <c r="B1304" s="1" t="s">
        <v>31</v>
      </c>
      <c r="C1304" s="2">
        <v>45676</v>
      </c>
      <c r="D1304" s="2" t="str">
        <f>CHOOSE(MONTH(branches[[#This Row],[Дата]]),"Январь","Февраль","Март","Апрель","Май","Июнь","Июль","Август","Сентябрь","Октябрь","Ноябрь","Декабрь")&amp;" "&amp;YEAR(branches[[#This Row],[Дата]])</f>
        <v>Январь 2025</v>
      </c>
      <c r="E1304" t="s">
        <v>24</v>
      </c>
      <c r="F1304" t="s">
        <v>17</v>
      </c>
      <c r="G1304">
        <v>3</v>
      </c>
      <c r="H1304">
        <v>1086</v>
      </c>
      <c r="I1304" t="s">
        <v>32</v>
      </c>
      <c r="J1304" t="str">
        <f>_xlfn.XLOOKUP(branches[[#This Row],[Филиал]], tbl_Filialy[Филиал], tbl_Filialy[Менеджер])</f>
        <v>Павел Ткаченко</v>
      </c>
    </row>
    <row r="1305" spans="1:10" x14ac:dyDescent="0.3">
      <c r="A1305" t="str">
        <f>_xlfn.XLOOKUP(branches[[#This Row],[Филиал]], tbl_Filialy[Филиал], tbl_Filialy[Город])</f>
        <v>Краснодар</v>
      </c>
      <c r="B1305" s="1" t="s">
        <v>31</v>
      </c>
      <c r="C1305" s="2">
        <v>45658</v>
      </c>
      <c r="D1305" s="2" t="str">
        <f>CHOOSE(MONTH(branches[[#This Row],[Дата]]),"Январь","Февраль","Март","Апрель","Май","Июнь","Июль","Август","Сентябрь","Октябрь","Ноябрь","Декабрь")&amp;" "&amp;YEAR(branches[[#This Row],[Дата]])</f>
        <v>Январь 2025</v>
      </c>
      <c r="E1305" t="s">
        <v>27</v>
      </c>
      <c r="F1305" t="s">
        <v>12</v>
      </c>
      <c r="G1305">
        <v>1</v>
      </c>
      <c r="H1305">
        <v>239</v>
      </c>
      <c r="I1305" t="s">
        <v>32</v>
      </c>
      <c r="J1305" t="str">
        <f>_xlfn.XLOOKUP(branches[[#This Row],[Филиал]], tbl_Filialy[Филиал], tbl_Filialy[Менеджер])</f>
        <v>Павел Ткаченко</v>
      </c>
    </row>
    <row r="1306" spans="1:10" x14ac:dyDescent="0.3">
      <c r="A1306" t="str">
        <f>_xlfn.XLOOKUP(branches[[#This Row],[Филиал]], tbl_Filialy[Филиал], tbl_Filialy[Город])</f>
        <v>Краснодар</v>
      </c>
      <c r="B1306" s="1" t="s">
        <v>31</v>
      </c>
      <c r="C1306" s="2">
        <v>45780</v>
      </c>
      <c r="D1306" s="2" t="str">
        <f>CHOOSE(MONTH(branches[[#This Row],[Дата]]),"Январь","Февраль","Март","Апрель","Май","Июнь","Июль","Август","Сентябрь","Октябрь","Ноябрь","Декабрь")&amp;" "&amp;YEAR(branches[[#This Row],[Дата]])</f>
        <v>Май 2025</v>
      </c>
      <c r="E1306" t="s">
        <v>11</v>
      </c>
      <c r="F1306" t="s">
        <v>12</v>
      </c>
      <c r="G1306">
        <v>1</v>
      </c>
      <c r="H1306">
        <v>158</v>
      </c>
      <c r="I1306" t="s">
        <v>34</v>
      </c>
      <c r="J1306" t="str">
        <f>_xlfn.XLOOKUP(branches[[#This Row],[Филиал]], tbl_Filialy[Филиал], tbl_Filialy[Менеджер])</f>
        <v>Павел Ткаченко</v>
      </c>
    </row>
    <row r="1307" spans="1:10" x14ac:dyDescent="0.3">
      <c r="A1307" t="str">
        <f>_xlfn.XLOOKUP(branches[[#This Row],[Филиал]], tbl_Filialy[Филиал], tbl_Filialy[Город])</f>
        <v>Краснодар</v>
      </c>
      <c r="B1307" s="1" t="s">
        <v>31</v>
      </c>
      <c r="C1307" s="2">
        <v>45915</v>
      </c>
      <c r="D1307" s="2" t="str">
        <f>CHOOSE(MONTH(branches[[#This Row],[Дата]]),"Январь","Февраль","Март","Апрель","Май","Июнь","Июль","Август","Сентябрь","Октябрь","Ноябрь","Декабрь")&amp;" "&amp;YEAR(branches[[#This Row],[Дата]])</f>
        <v>Сентябрь 2025</v>
      </c>
      <c r="E1307" t="s">
        <v>28</v>
      </c>
      <c r="F1307" t="s">
        <v>12</v>
      </c>
      <c r="G1307">
        <v>3</v>
      </c>
      <c r="H1307">
        <v>705</v>
      </c>
      <c r="I1307" t="s">
        <v>35</v>
      </c>
      <c r="J1307" t="str">
        <f>_xlfn.XLOOKUP(branches[[#This Row],[Филиал]], tbl_Filialy[Филиал], tbl_Filialy[Менеджер])</f>
        <v>Павел Ткаченко</v>
      </c>
    </row>
    <row r="1308" spans="1:10" x14ac:dyDescent="0.3">
      <c r="A1308" t="str">
        <f>_xlfn.XLOOKUP(branches[[#This Row],[Филиал]], tbl_Filialy[Филиал], tbl_Filialy[Город])</f>
        <v>Краснодар</v>
      </c>
      <c r="B1308" s="1" t="s">
        <v>31</v>
      </c>
      <c r="C1308" s="2">
        <v>45996</v>
      </c>
      <c r="D1308" s="2" t="str">
        <f>CHOOSE(MONTH(branches[[#This Row],[Дата]]),"Январь","Февраль","Март","Апрель","Май","Июнь","Июль","Август","Сентябрь","Октябрь","Ноябрь","Декабрь")&amp;" "&amp;YEAR(branches[[#This Row],[Дата]])</f>
        <v>Декабрь 2025</v>
      </c>
      <c r="E1308" t="s">
        <v>28</v>
      </c>
      <c r="F1308" t="s">
        <v>12</v>
      </c>
      <c r="G1308">
        <v>2</v>
      </c>
      <c r="H1308">
        <v>436</v>
      </c>
      <c r="I1308" t="s">
        <v>34</v>
      </c>
      <c r="J1308" t="str">
        <f>_xlfn.XLOOKUP(branches[[#This Row],[Филиал]], tbl_Filialy[Филиал], tbl_Filialy[Менеджер])</f>
        <v>Павел Ткаченко</v>
      </c>
    </row>
    <row r="1309" spans="1:10" x14ac:dyDescent="0.3">
      <c r="A1309" t="str">
        <f>_xlfn.XLOOKUP(branches[[#This Row],[Филиал]], tbl_Filialy[Филиал], tbl_Filialy[Город])</f>
        <v>Краснодар</v>
      </c>
      <c r="B1309" s="1" t="s">
        <v>31</v>
      </c>
      <c r="C1309" s="2">
        <v>45835</v>
      </c>
      <c r="D1309" s="2" t="str">
        <f>CHOOSE(MONTH(branches[[#This Row],[Дата]]),"Январь","Февраль","Март","Апрель","Май","Июнь","Июль","Август","Сентябрь","Октябрь","Ноябрь","Декабрь")&amp;" "&amp;YEAR(branches[[#This Row],[Дата]])</f>
        <v>Июнь 2025</v>
      </c>
      <c r="E1309" t="s">
        <v>26</v>
      </c>
      <c r="F1309" t="s">
        <v>9</v>
      </c>
      <c r="G1309">
        <v>1</v>
      </c>
      <c r="H1309">
        <v>199</v>
      </c>
      <c r="I1309" t="s">
        <v>19</v>
      </c>
      <c r="J1309" t="str">
        <f>_xlfn.XLOOKUP(branches[[#This Row],[Филиал]], tbl_Filialy[Филиал], tbl_Filialy[Менеджер])</f>
        <v>Павел Ткаченко</v>
      </c>
    </row>
    <row r="1310" spans="1:10" x14ac:dyDescent="0.3">
      <c r="A1310" t="str">
        <f>_xlfn.XLOOKUP(branches[[#This Row],[Филиал]], tbl_Filialy[Филиал], tbl_Filialy[Город])</f>
        <v>Краснодар</v>
      </c>
      <c r="B1310" s="1" t="s">
        <v>31</v>
      </c>
      <c r="C1310" s="2">
        <v>45798</v>
      </c>
      <c r="D1310" s="2" t="str">
        <f>CHOOSE(MONTH(branches[[#This Row],[Дата]]),"Январь","Февраль","Март","Апрель","Май","Июнь","Июль","Август","Сентябрь","Октябрь","Ноябрь","Декабрь")&amp;" "&amp;YEAR(branches[[#This Row],[Дата]])</f>
        <v>Май 2025</v>
      </c>
      <c r="E1310" t="s">
        <v>22</v>
      </c>
      <c r="F1310" t="s">
        <v>9</v>
      </c>
      <c r="G1310">
        <v>2</v>
      </c>
      <c r="H1310">
        <v>336</v>
      </c>
      <c r="I1310" t="s">
        <v>32</v>
      </c>
      <c r="J1310" t="str">
        <f>_xlfn.XLOOKUP(branches[[#This Row],[Филиал]], tbl_Filialy[Филиал], tbl_Filialy[Менеджер])</f>
        <v>Павел Ткаченко</v>
      </c>
    </row>
    <row r="1311" spans="1:10" x14ac:dyDescent="0.3">
      <c r="A1311" t="str">
        <f>_xlfn.XLOOKUP(branches[[#This Row],[Филиал]], tbl_Filialy[Филиал], tbl_Filialy[Город])</f>
        <v>Краснодар</v>
      </c>
      <c r="B1311" s="1" t="s">
        <v>31</v>
      </c>
      <c r="C1311" s="2">
        <v>45876</v>
      </c>
      <c r="D1311" s="2" t="str">
        <f>CHOOSE(MONTH(branches[[#This Row],[Дата]]),"Январь","Февраль","Март","Апрель","Май","Июнь","Июль","Август","Сентябрь","Октябрь","Ноябрь","Декабрь")&amp;" "&amp;YEAR(branches[[#This Row],[Дата]])</f>
        <v>Август 2025</v>
      </c>
      <c r="E1311" t="s">
        <v>16</v>
      </c>
      <c r="F1311" t="s">
        <v>17</v>
      </c>
      <c r="G1311">
        <v>1</v>
      </c>
      <c r="H1311">
        <v>340</v>
      </c>
      <c r="I1311" t="s">
        <v>35</v>
      </c>
      <c r="J1311" t="str">
        <f>_xlfn.XLOOKUP(branches[[#This Row],[Филиал]], tbl_Filialy[Филиал], tbl_Filialy[Менеджер])</f>
        <v>Павел Ткаченко</v>
      </c>
    </row>
    <row r="1312" spans="1:10" x14ac:dyDescent="0.3">
      <c r="A1312" t="str">
        <f>_xlfn.XLOOKUP(branches[[#This Row],[Филиал]], tbl_Filialy[Филиал], tbl_Filialy[Город])</f>
        <v>Краснодар</v>
      </c>
      <c r="B1312" s="1" t="s">
        <v>31</v>
      </c>
      <c r="C1312" s="2">
        <v>45756</v>
      </c>
      <c r="D1312" s="2" t="str">
        <f>CHOOSE(MONTH(branches[[#This Row],[Дата]]),"Январь","Февраль","Март","Апрель","Май","Июнь","Июль","Август","Сентябрь","Октябрь","Ноябрь","Декабрь")&amp;" "&amp;YEAR(branches[[#This Row],[Дата]])</f>
        <v>Апрель 2025</v>
      </c>
      <c r="E1312" t="s">
        <v>25</v>
      </c>
      <c r="F1312" t="s">
        <v>12</v>
      </c>
      <c r="G1312">
        <v>1</v>
      </c>
      <c r="H1312">
        <v>222</v>
      </c>
      <c r="I1312" t="s">
        <v>32</v>
      </c>
      <c r="J1312" t="str">
        <f>_xlfn.XLOOKUP(branches[[#This Row],[Филиал]], tbl_Filialy[Филиал], tbl_Filialy[Менеджер])</f>
        <v>Павел Ткаченко</v>
      </c>
    </row>
    <row r="1313" spans="1:10" x14ac:dyDescent="0.3">
      <c r="A1313" t="str">
        <f>_xlfn.XLOOKUP(branches[[#This Row],[Филиал]], tbl_Filialy[Филиал], tbl_Filialy[Город])</f>
        <v>Краснодар</v>
      </c>
      <c r="B1313" s="1" t="s">
        <v>31</v>
      </c>
      <c r="C1313" s="2">
        <v>45740</v>
      </c>
      <c r="D1313" s="2" t="str">
        <f>CHOOSE(MONTH(branches[[#This Row],[Дата]]),"Январь","Февраль","Март","Апрель","Май","Июнь","Июль","Август","Сентябрь","Октябрь","Ноябрь","Декабрь")&amp;" "&amp;YEAR(branches[[#This Row],[Дата]])</f>
        <v>Март 2025</v>
      </c>
      <c r="E1313" t="s">
        <v>27</v>
      </c>
      <c r="F1313" t="s">
        <v>12</v>
      </c>
      <c r="G1313">
        <v>1</v>
      </c>
      <c r="H1313">
        <v>222</v>
      </c>
      <c r="I1313" t="s">
        <v>32</v>
      </c>
      <c r="J1313" t="str">
        <f>_xlfn.XLOOKUP(branches[[#This Row],[Филиал]], tbl_Filialy[Филиал], tbl_Filialy[Менеджер])</f>
        <v>Павел Ткаченко</v>
      </c>
    </row>
    <row r="1314" spans="1:10" x14ac:dyDescent="0.3">
      <c r="A1314" t="str">
        <f>_xlfn.XLOOKUP(branches[[#This Row],[Филиал]], tbl_Filialy[Филиал], tbl_Filialy[Город])</f>
        <v>Краснодар</v>
      </c>
      <c r="B1314" s="1" t="s">
        <v>31</v>
      </c>
      <c r="C1314" s="2">
        <v>45985</v>
      </c>
      <c r="D1314" s="2" t="str">
        <f>CHOOSE(MONTH(branches[[#This Row],[Дата]]),"Январь","Февраль","Март","Апрель","Май","Июнь","Июль","Август","Сентябрь","Октябрь","Ноябрь","Декабрь")&amp;" "&amp;YEAR(branches[[#This Row],[Дата]])</f>
        <v>Ноябрь 2025</v>
      </c>
      <c r="E1314" t="s">
        <v>24</v>
      </c>
      <c r="F1314" t="s">
        <v>17</v>
      </c>
      <c r="G1314">
        <v>1</v>
      </c>
      <c r="H1314">
        <v>382</v>
      </c>
      <c r="I1314" t="s">
        <v>35</v>
      </c>
      <c r="J1314" t="str">
        <f>_xlfn.XLOOKUP(branches[[#This Row],[Филиал]], tbl_Filialy[Филиал], tbl_Filialy[Менеджер])</f>
        <v>Павел Ткаченко</v>
      </c>
    </row>
    <row r="1315" spans="1:10" x14ac:dyDescent="0.3">
      <c r="A1315" t="str">
        <f>_xlfn.XLOOKUP(branches[[#This Row],[Филиал]], tbl_Filialy[Филиал], tbl_Filialy[Город])</f>
        <v>Краснодар</v>
      </c>
      <c r="B1315" s="1" t="s">
        <v>31</v>
      </c>
      <c r="C1315" s="2">
        <v>45682</v>
      </c>
      <c r="D1315" s="2" t="str">
        <f>CHOOSE(MONTH(branches[[#This Row],[Дата]]),"Январь","Февраль","Март","Апрель","Май","Июнь","Июль","Август","Сентябрь","Октябрь","Ноябрь","Декабрь")&amp;" "&amp;YEAR(branches[[#This Row],[Дата]])</f>
        <v>Январь 2025</v>
      </c>
      <c r="E1315" t="s">
        <v>22</v>
      </c>
      <c r="F1315" t="s">
        <v>9</v>
      </c>
      <c r="G1315">
        <v>1</v>
      </c>
      <c r="H1315">
        <v>167</v>
      </c>
      <c r="I1315" t="s">
        <v>32</v>
      </c>
      <c r="J1315" t="str">
        <f>_xlfn.XLOOKUP(branches[[#This Row],[Филиал]], tbl_Filialy[Филиал], tbl_Filialy[Менеджер])</f>
        <v>Павел Ткаченко</v>
      </c>
    </row>
    <row r="1316" spans="1:10" x14ac:dyDescent="0.3">
      <c r="A1316" t="str">
        <f>_xlfn.XLOOKUP(branches[[#This Row],[Филиал]], tbl_Filialy[Филиал], tbl_Filialy[Город])</f>
        <v>Краснодар</v>
      </c>
      <c r="B1316" s="1" t="s">
        <v>31</v>
      </c>
      <c r="C1316" s="2">
        <v>45813</v>
      </c>
      <c r="D1316" s="2" t="str">
        <f>CHOOSE(MONTH(branches[[#This Row],[Дата]]),"Январь","Февраль","Март","Апрель","Май","Июнь","Июль","Август","Сентябрь","Октябрь","Ноябрь","Декабрь")&amp;" "&amp;YEAR(branches[[#This Row],[Дата]])</f>
        <v>Июнь 2025</v>
      </c>
      <c r="E1316" t="s">
        <v>28</v>
      </c>
      <c r="F1316" t="s">
        <v>12</v>
      </c>
      <c r="G1316">
        <v>2</v>
      </c>
      <c r="H1316">
        <v>416</v>
      </c>
      <c r="I1316" t="s">
        <v>35</v>
      </c>
      <c r="J1316" t="str">
        <f>_xlfn.XLOOKUP(branches[[#This Row],[Филиал]], tbl_Filialy[Филиал], tbl_Filialy[Менеджер])</f>
        <v>Павел Ткаченко</v>
      </c>
    </row>
    <row r="1317" spans="1:10" x14ac:dyDescent="0.3">
      <c r="A1317" t="str">
        <f>_xlfn.XLOOKUP(branches[[#This Row],[Филиал]], tbl_Filialy[Филиал], tbl_Filialy[Город])</f>
        <v>Краснодар</v>
      </c>
      <c r="B1317" s="1" t="s">
        <v>31</v>
      </c>
      <c r="C1317" s="2">
        <v>45697</v>
      </c>
      <c r="D1317" s="2" t="str">
        <f>CHOOSE(MONTH(branches[[#This Row],[Дата]]),"Январь","Февраль","Март","Апрель","Май","Июнь","Июль","Август","Сентябрь","Октябрь","Ноябрь","Декабрь")&amp;" "&amp;YEAR(branches[[#This Row],[Дата]])</f>
        <v>Февраль 2025</v>
      </c>
      <c r="E1317" t="s">
        <v>22</v>
      </c>
      <c r="F1317" t="s">
        <v>9</v>
      </c>
      <c r="G1317">
        <v>2</v>
      </c>
      <c r="H1317">
        <v>390</v>
      </c>
      <c r="I1317" t="s">
        <v>32</v>
      </c>
      <c r="J1317" t="str">
        <f>_xlfn.XLOOKUP(branches[[#This Row],[Филиал]], tbl_Filialy[Филиал], tbl_Filialy[Менеджер])</f>
        <v>Павел Ткаченко</v>
      </c>
    </row>
    <row r="1318" spans="1:10" x14ac:dyDescent="0.3">
      <c r="A1318" t="str">
        <f>_xlfn.XLOOKUP(branches[[#This Row],[Филиал]], tbl_Filialy[Филиал], tbl_Filialy[Город])</f>
        <v>Краснодар</v>
      </c>
      <c r="B1318" s="1" t="s">
        <v>31</v>
      </c>
      <c r="C1318" s="2">
        <v>45860</v>
      </c>
      <c r="D1318" s="2" t="str">
        <f>CHOOSE(MONTH(branches[[#This Row],[Дата]]),"Январь","Февраль","Март","Апрель","Май","Июнь","Июль","Август","Сентябрь","Октябрь","Ноябрь","Декабрь")&amp;" "&amp;YEAR(branches[[#This Row],[Дата]])</f>
        <v>Июль 2025</v>
      </c>
      <c r="E1318" t="s">
        <v>18</v>
      </c>
      <c r="F1318" t="s">
        <v>12</v>
      </c>
      <c r="G1318">
        <v>1</v>
      </c>
      <c r="H1318">
        <v>141</v>
      </c>
      <c r="I1318" t="s">
        <v>35</v>
      </c>
      <c r="J1318" t="str">
        <f>_xlfn.XLOOKUP(branches[[#This Row],[Филиал]], tbl_Filialy[Филиал], tbl_Filialy[Менеджер])</f>
        <v>Павел Ткаченко</v>
      </c>
    </row>
    <row r="1319" spans="1:10" x14ac:dyDescent="0.3">
      <c r="A1319" t="str">
        <f>_xlfn.XLOOKUP(branches[[#This Row],[Филиал]], tbl_Filialy[Филиал], tbl_Filialy[Город])</f>
        <v>Краснодар</v>
      </c>
      <c r="B1319" s="1" t="s">
        <v>31</v>
      </c>
      <c r="C1319" s="2">
        <v>45989</v>
      </c>
      <c r="D1319" s="2" t="str">
        <f>CHOOSE(MONTH(branches[[#This Row],[Дата]]),"Январь","Февраль","Март","Апрель","Май","Июнь","Июль","Август","Сентябрь","Октябрь","Ноябрь","Декабрь")&amp;" "&amp;YEAR(branches[[#This Row],[Дата]])</f>
        <v>Ноябрь 2025</v>
      </c>
      <c r="E1319" t="s">
        <v>18</v>
      </c>
      <c r="F1319" t="s">
        <v>12</v>
      </c>
      <c r="G1319">
        <v>1</v>
      </c>
      <c r="H1319">
        <v>146</v>
      </c>
      <c r="I1319" t="s">
        <v>19</v>
      </c>
      <c r="J1319" t="str">
        <f>_xlfn.XLOOKUP(branches[[#This Row],[Филиал]], tbl_Filialy[Филиал], tbl_Filialy[Менеджер])</f>
        <v>Павел Ткаченко</v>
      </c>
    </row>
    <row r="1320" spans="1:10" x14ac:dyDescent="0.3">
      <c r="A1320" t="str">
        <f>_xlfn.XLOOKUP(branches[[#This Row],[Филиал]], tbl_Filialy[Филиал], tbl_Filialy[Город])</f>
        <v>Краснодар</v>
      </c>
      <c r="B1320" s="1" t="s">
        <v>31</v>
      </c>
      <c r="C1320" s="2">
        <v>45938</v>
      </c>
      <c r="D1320" s="2" t="str">
        <f>CHOOSE(MONTH(branches[[#This Row],[Дата]]),"Январь","Февраль","Март","Апрель","Май","Июнь","Июль","Август","Сентябрь","Октябрь","Ноябрь","Декабрь")&amp;" "&amp;YEAR(branches[[#This Row],[Дата]])</f>
        <v>Октябрь 2025</v>
      </c>
      <c r="E1320" t="s">
        <v>27</v>
      </c>
      <c r="F1320" t="s">
        <v>12</v>
      </c>
      <c r="G1320">
        <v>3</v>
      </c>
      <c r="H1320">
        <v>624</v>
      </c>
      <c r="I1320" t="s">
        <v>34</v>
      </c>
      <c r="J1320" t="str">
        <f>_xlfn.XLOOKUP(branches[[#This Row],[Филиал]], tbl_Filialy[Филиал], tbl_Filialy[Менеджер])</f>
        <v>Павел Ткаченко</v>
      </c>
    </row>
    <row r="1321" spans="1:10" x14ac:dyDescent="0.3">
      <c r="A1321" t="str">
        <f>_xlfn.XLOOKUP(branches[[#This Row],[Филиал]], tbl_Filialy[Филиал], tbl_Filialy[Город])</f>
        <v>Краснодар</v>
      </c>
      <c r="B1321" s="1" t="s">
        <v>31</v>
      </c>
      <c r="C1321" s="2">
        <v>45732</v>
      </c>
      <c r="D1321" s="2" t="str">
        <f>CHOOSE(MONTH(branches[[#This Row],[Дата]]),"Январь","Февраль","Март","Апрель","Май","Июнь","Июль","Август","Сентябрь","Октябрь","Ноябрь","Декабрь")&amp;" "&amp;YEAR(branches[[#This Row],[Дата]])</f>
        <v>Март 2025</v>
      </c>
      <c r="E1321" t="s">
        <v>20</v>
      </c>
      <c r="F1321" t="s">
        <v>12</v>
      </c>
      <c r="G1321">
        <v>1</v>
      </c>
      <c r="H1321">
        <v>295</v>
      </c>
      <c r="I1321" t="s">
        <v>35</v>
      </c>
      <c r="J1321" t="str">
        <f>_xlfn.XLOOKUP(branches[[#This Row],[Филиал]], tbl_Filialy[Филиал], tbl_Filialy[Менеджер])</f>
        <v>Павел Ткаченко</v>
      </c>
    </row>
    <row r="1322" spans="1:10" x14ac:dyDescent="0.3">
      <c r="A1322" t="str">
        <f>_xlfn.XLOOKUP(branches[[#This Row],[Филиал]], tbl_Filialy[Филиал], tbl_Filialy[Город])</f>
        <v>Краснодар</v>
      </c>
      <c r="B1322" s="1" t="s">
        <v>31</v>
      </c>
      <c r="C1322" s="2">
        <v>45778</v>
      </c>
      <c r="D1322" s="2" t="str">
        <f>CHOOSE(MONTH(branches[[#This Row],[Дата]]),"Январь","Февраль","Март","Апрель","Май","Июнь","Июль","Август","Сентябрь","Октябрь","Ноябрь","Декабрь")&amp;" "&amp;YEAR(branches[[#This Row],[Дата]])</f>
        <v>Май 2025</v>
      </c>
      <c r="E1322" t="s">
        <v>28</v>
      </c>
      <c r="F1322" t="s">
        <v>12</v>
      </c>
      <c r="G1322">
        <v>2</v>
      </c>
      <c r="H1322">
        <v>416</v>
      </c>
      <c r="I1322" t="s">
        <v>32</v>
      </c>
      <c r="J1322" t="str">
        <f>_xlfn.XLOOKUP(branches[[#This Row],[Филиал]], tbl_Filialy[Филиал], tbl_Filialy[Менеджер])</f>
        <v>Павел Ткаченко</v>
      </c>
    </row>
    <row r="1323" spans="1:10" x14ac:dyDescent="0.3">
      <c r="A1323" t="str">
        <f>_xlfn.XLOOKUP(branches[[#This Row],[Филиал]], tbl_Filialy[Филиал], tbl_Filialy[Город])</f>
        <v>Краснодар</v>
      </c>
      <c r="B1323" s="1" t="s">
        <v>31</v>
      </c>
      <c r="C1323" s="2">
        <v>45791</v>
      </c>
      <c r="D1323" s="2" t="str">
        <f>CHOOSE(MONTH(branches[[#This Row],[Дата]]),"Январь","Февраль","Март","Апрель","Май","Июнь","Июль","Август","Сентябрь","Октябрь","Ноябрь","Декабрь")&amp;" "&amp;YEAR(branches[[#This Row],[Дата]])</f>
        <v>Май 2025</v>
      </c>
      <c r="E1323" t="s">
        <v>14</v>
      </c>
      <c r="F1323" t="s">
        <v>12</v>
      </c>
      <c r="G1323">
        <v>2</v>
      </c>
      <c r="H1323">
        <v>578</v>
      </c>
      <c r="I1323" t="s">
        <v>13</v>
      </c>
      <c r="J1323" t="str">
        <f>_xlfn.XLOOKUP(branches[[#This Row],[Филиал]], tbl_Filialy[Филиал], tbl_Filialy[Менеджер])</f>
        <v>Павел Ткаченко</v>
      </c>
    </row>
    <row r="1324" spans="1:10" x14ac:dyDescent="0.3">
      <c r="A1324" t="str">
        <f>_xlfn.XLOOKUP(branches[[#This Row],[Филиал]], tbl_Filialy[Филиал], tbl_Filialy[Город])</f>
        <v>Краснодар</v>
      </c>
      <c r="B1324" s="1" t="s">
        <v>31</v>
      </c>
      <c r="C1324" s="2">
        <v>45947</v>
      </c>
      <c r="D1324" s="2" t="str">
        <f>CHOOSE(MONTH(branches[[#This Row],[Дата]]),"Январь","Февраль","Март","Апрель","Май","Июнь","Июль","Август","Сентябрь","Октябрь","Ноябрь","Декабрь")&amp;" "&amp;YEAR(branches[[#This Row],[Дата]])</f>
        <v>Октябрь 2025</v>
      </c>
      <c r="E1324" t="s">
        <v>25</v>
      </c>
      <c r="F1324" t="s">
        <v>12</v>
      </c>
      <c r="G1324">
        <v>2</v>
      </c>
      <c r="H1324">
        <v>394</v>
      </c>
      <c r="I1324" t="s">
        <v>33</v>
      </c>
      <c r="J1324" t="str">
        <f>_xlfn.XLOOKUP(branches[[#This Row],[Филиал]], tbl_Filialy[Филиал], tbl_Filialy[Менеджер])</f>
        <v>Павел Ткаченко</v>
      </c>
    </row>
    <row r="1325" spans="1:10" x14ac:dyDescent="0.3">
      <c r="A1325" t="str">
        <f>_xlfn.XLOOKUP(branches[[#This Row],[Филиал]], tbl_Filialy[Филиал], tbl_Filialy[Город])</f>
        <v>Краснодар</v>
      </c>
      <c r="B1325" s="1" t="s">
        <v>31</v>
      </c>
      <c r="C1325" s="2">
        <v>45658</v>
      </c>
      <c r="D1325" s="2" t="str">
        <f>CHOOSE(MONTH(branches[[#This Row],[Дата]]),"Январь","Февраль","Март","Апрель","Май","Июнь","Июль","Август","Сентябрь","Октябрь","Ноябрь","Декабрь")&amp;" "&amp;YEAR(branches[[#This Row],[Дата]])</f>
        <v>Январь 2025</v>
      </c>
      <c r="E1325" t="s">
        <v>18</v>
      </c>
      <c r="F1325" t="s">
        <v>12</v>
      </c>
      <c r="G1325">
        <v>1</v>
      </c>
      <c r="H1325">
        <v>155</v>
      </c>
      <c r="I1325" t="s">
        <v>19</v>
      </c>
      <c r="J1325" t="str">
        <f>_xlfn.XLOOKUP(branches[[#This Row],[Филиал]], tbl_Filialy[Филиал], tbl_Filialy[Менеджер])</f>
        <v>Павел Ткаченко</v>
      </c>
    </row>
    <row r="1326" spans="1:10" x14ac:dyDescent="0.3">
      <c r="A1326" t="str">
        <f>_xlfn.XLOOKUP(branches[[#This Row],[Филиал]], tbl_Filialy[Филиал], tbl_Filialy[Город])</f>
        <v>Краснодар</v>
      </c>
      <c r="B1326" s="1" t="s">
        <v>31</v>
      </c>
      <c r="C1326" s="2">
        <v>45997</v>
      </c>
      <c r="D1326" s="2" t="str">
        <f>CHOOSE(MONTH(branches[[#This Row],[Дата]]),"Январь","Февраль","Март","Апрель","Май","Июнь","Июль","Август","Сентябрь","Октябрь","Ноябрь","Декабрь")&amp;" "&amp;YEAR(branches[[#This Row],[Дата]])</f>
        <v>Декабрь 2025</v>
      </c>
      <c r="E1326" t="s">
        <v>27</v>
      </c>
      <c r="F1326" t="s">
        <v>12</v>
      </c>
      <c r="G1326">
        <v>3</v>
      </c>
      <c r="H1326">
        <v>624</v>
      </c>
      <c r="I1326" t="s">
        <v>35</v>
      </c>
      <c r="J1326" t="str">
        <f>_xlfn.XLOOKUP(branches[[#This Row],[Филиал]], tbl_Filialy[Филиал], tbl_Filialy[Менеджер])</f>
        <v>Павел Ткаченко</v>
      </c>
    </row>
    <row r="1327" spans="1:10" x14ac:dyDescent="0.3">
      <c r="A1327" t="str">
        <f>_xlfn.XLOOKUP(branches[[#This Row],[Филиал]], tbl_Filialy[Филиал], tbl_Filialy[Город])</f>
        <v>Краснодар</v>
      </c>
      <c r="B1327" s="1" t="s">
        <v>31</v>
      </c>
      <c r="C1327" s="2">
        <v>45968</v>
      </c>
      <c r="D1327" s="2" t="str">
        <f>CHOOSE(MONTH(branches[[#This Row],[Дата]]),"Январь","Февраль","Март","Апрель","Май","Июнь","Июль","Август","Сентябрь","Октябрь","Ноябрь","Декабрь")&amp;" "&amp;YEAR(branches[[#This Row],[Дата]])</f>
        <v>Ноябрь 2025</v>
      </c>
      <c r="E1327" t="s">
        <v>11</v>
      </c>
      <c r="F1327" t="s">
        <v>12</v>
      </c>
      <c r="G1327">
        <v>3</v>
      </c>
      <c r="H1327">
        <v>465</v>
      </c>
      <c r="I1327" t="s">
        <v>34</v>
      </c>
      <c r="J1327" t="str">
        <f>_xlfn.XLOOKUP(branches[[#This Row],[Филиал]], tbl_Filialy[Филиал], tbl_Filialy[Менеджер])</f>
        <v>Павел Ткаченко</v>
      </c>
    </row>
    <row r="1328" spans="1:10" x14ac:dyDescent="0.3">
      <c r="A1328" t="str">
        <f>_xlfn.XLOOKUP(branches[[#This Row],[Филиал]], tbl_Filialy[Филиал], tbl_Filialy[Город])</f>
        <v>Краснодар</v>
      </c>
      <c r="B1328" s="1" t="s">
        <v>31</v>
      </c>
      <c r="C1328" s="2">
        <v>45739</v>
      </c>
      <c r="D1328" s="2" t="str">
        <f>CHOOSE(MONTH(branches[[#This Row],[Дата]]),"Январь","Февраль","Март","Апрель","Май","Июнь","Июль","Август","Сентябрь","Октябрь","Ноябрь","Декабрь")&amp;" "&amp;YEAR(branches[[#This Row],[Дата]])</f>
        <v>Март 2025</v>
      </c>
      <c r="E1328" t="s">
        <v>26</v>
      </c>
      <c r="F1328" t="s">
        <v>9</v>
      </c>
      <c r="G1328">
        <v>1</v>
      </c>
      <c r="H1328">
        <v>234</v>
      </c>
      <c r="I1328" t="s">
        <v>32</v>
      </c>
      <c r="J1328" t="str">
        <f>_xlfn.XLOOKUP(branches[[#This Row],[Филиал]], tbl_Filialy[Филиал], tbl_Filialy[Менеджер])</f>
        <v>Павел Ткаченко</v>
      </c>
    </row>
    <row r="1329" spans="1:10" x14ac:dyDescent="0.3">
      <c r="A1329" t="str">
        <f>_xlfn.XLOOKUP(branches[[#This Row],[Филиал]], tbl_Filialy[Филиал], tbl_Filialy[Город])</f>
        <v>Краснодар</v>
      </c>
      <c r="B1329" s="1" t="s">
        <v>31</v>
      </c>
      <c r="C1329" s="2">
        <v>45876</v>
      </c>
      <c r="D1329" s="2" t="str">
        <f>CHOOSE(MONTH(branches[[#This Row],[Дата]]),"Январь","Февраль","Март","Апрель","Май","Июнь","Июль","Август","Сентябрь","Октябрь","Ноябрь","Декабрь")&amp;" "&amp;YEAR(branches[[#This Row],[Дата]])</f>
        <v>Август 2025</v>
      </c>
      <c r="E1329" t="s">
        <v>28</v>
      </c>
      <c r="F1329" t="s">
        <v>12</v>
      </c>
      <c r="G1329">
        <v>1</v>
      </c>
      <c r="H1329">
        <v>236</v>
      </c>
      <c r="I1329" t="s">
        <v>34</v>
      </c>
      <c r="J1329" t="str">
        <f>_xlfn.XLOOKUP(branches[[#This Row],[Филиал]], tbl_Filialy[Филиал], tbl_Filialy[Менеджер])</f>
        <v>Павел Ткаченко</v>
      </c>
    </row>
    <row r="1330" spans="1:10" x14ac:dyDescent="0.3">
      <c r="A1330" t="str">
        <f>_xlfn.XLOOKUP(branches[[#This Row],[Филиал]], tbl_Filialy[Филиал], tbl_Filialy[Город])</f>
        <v>Краснодар</v>
      </c>
      <c r="B1330" s="1" t="s">
        <v>31</v>
      </c>
      <c r="C1330" s="2">
        <v>45820</v>
      </c>
      <c r="D1330" s="2" t="str">
        <f>CHOOSE(MONTH(branches[[#This Row],[Дата]]),"Январь","Февраль","Март","Апрель","Май","Июнь","Июль","Август","Сентябрь","Октябрь","Ноябрь","Декабрь")&amp;" "&amp;YEAR(branches[[#This Row],[Дата]])</f>
        <v>Июнь 2025</v>
      </c>
      <c r="E1330" t="s">
        <v>11</v>
      </c>
      <c r="F1330" t="s">
        <v>12</v>
      </c>
      <c r="G1330">
        <v>2</v>
      </c>
      <c r="H1330">
        <v>314</v>
      </c>
      <c r="I1330" t="s">
        <v>19</v>
      </c>
      <c r="J1330" t="str">
        <f>_xlfn.XLOOKUP(branches[[#This Row],[Филиал]], tbl_Filialy[Филиал], tbl_Filialy[Менеджер])</f>
        <v>Павел Ткаченко</v>
      </c>
    </row>
    <row r="1331" spans="1:10" x14ac:dyDescent="0.3">
      <c r="A1331" t="str">
        <f>_xlfn.XLOOKUP(branches[[#This Row],[Филиал]], tbl_Filialy[Филиал], tbl_Filialy[Город])</f>
        <v>Краснодар</v>
      </c>
      <c r="B1331" s="1" t="s">
        <v>31</v>
      </c>
      <c r="C1331" s="2">
        <v>45743</v>
      </c>
      <c r="D1331" s="2" t="str">
        <f>CHOOSE(MONTH(branches[[#This Row],[Дата]]),"Январь","Февраль","Март","Апрель","Май","Июнь","Июль","Август","Сентябрь","Октябрь","Ноябрь","Декабрь")&amp;" "&amp;YEAR(branches[[#This Row],[Дата]])</f>
        <v>Март 2025</v>
      </c>
      <c r="E1331" t="s">
        <v>16</v>
      </c>
      <c r="F1331" t="s">
        <v>17</v>
      </c>
      <c r="G1331">
        <v>1</v>
      </c>
      <c r="H1331">
        <v>308</v>
      </c>
      <c r="I1331" t="s">
        <v>32</v>
      </c>
      <c r="J1331" t="str">
        <f>_xlfn.XLOOKUP(branches[[#This Row],[Филиал]], tbl_Filialy[Филиал], tbl_Filialy[Менеджер])</f>
        <v>Павел Ткаченко</v>
      </c>
    </row>
    <row r="1332" spans="1:10" x14ac:dyDescent="0.3">
      <c r="A1332" t="str">
        <f>_xlfn.XLOOKUP(branches[[#This Row],[Филиал]], tbl_Filialy[Филиал], tbl_Filialy[Город])</f>
        <v>Краснодар</v>
      </c>
      <c r="B1332" s="1" t="s">
        <v>31</v>
      </c>
      <c r="C1332" s="2">
        <v>45792</v>
      </c>
      <c r="D1332" s="2" t="str">
        <f>CHOOSE(MONTH(branches[[#This Row],[Дата]]),"Январь","Февраль","Март","Апрель","Май","Июнь","Июль","Август","Сентябрь","Октябрь","Ноябрь","Декабрь")&amp;" "&amp;YEAR(branches[[#This Row],[Дата]])</f>
        <v>Май 2025</v>
      </c>
      <c r="E1332" t="s">
        <v>28</v>
      </c>
      <c r="F1332" t="s">
        <v>12</v>
      </c>
      <c r="G1332">
        <v>1</v>
      </c>
      <c r="H1332">
        <v>242</v>
      </c>
      <c r="I1332" t="s">
        <v>32</v>
      </c>
      <c r="J1332" t="str">
        <f>_xlfn.XLOOKUP(branches[[#This Row],[Филиал]], tbl_Filialy[Филиал], tbl_Filialy[Менеджер])</f>
        <v>Павел Ткаченко</v>
      </c>
    </row>
    <row r="1333" spans="1:10" x14ac:dyDescent="0.3">
      <c r="A1333" t="str">
        <f>_xlfn.XLOOKUP(branches[[#This Row],[Филиал]], tbl_Filialy[Филиал], tbl_Filialy[Город])</f>
        <v>Краснодар</v>
      </c>
      <c r="B1333" s="1" t="s">
        <v>31</v>
      </c>
      <c r="C1333" s="2">
        <v>45860</v>
      </c>
      <c r="D1333" s="2" t="str">
        <f>CHOOSE(MONTH(branches[[#This Row],[Дата]]),"Январь","Февраль","Март","Апрель","Май","Июнь","Июль","Август","Сентябрь","Октябрь","Ноябрь","Декабрь")&amp;" "&amp;YEAR(branches[[#This Row],[Дата]])</f>
        <v>Июль 2025</v>
      </c>
      <c r="E1333" t="s">
        <v>8</v>
      </c>
      <c r="F1333" t="s">
        <v>9</v>
      </c>
      <c r="G1333">
        <v>1</v>
      </c>
      <c r="H1333">
        <v>250</v>
      </c>
      <c r="I1333" t="s">
        <v>34</v>
      </c>
      <c r="J1333" t="str">
        <f>_xlfn.XLOOKUP(branches[[#This Row],[Филиал]], tbl_Filialy[Филиал], tbl_Filialy[Менеджер])</f>
        <v>Павел Ткаченко</v>
      </c>
    </row>
    <row r="1334" spans="1:10" x14ac:dyDescent="0.3">
      <c r="A1334" t="str">
        <f>_xlfn.XLOOKUP(branches[[#This Row],[Филиал]], tbl_Filialy[Филиал], tbl_Filialy[Город])</f>
        <v>Краснодар</v>
      </c>
      <c r="B1334" s="1" t="s">
        <v>31</v>
      </c>
      <c r="C1334" s="2">
        <v>45872</v>
      </c>
      <c r="D1334" s="2" t="str">
        <f>CHOOSE(MONTH(branches[[#This Row],[Дата]]),"Январь","Февраль","Март","Апрель","Май","Июнь","Июль","Август","Сентябрь","Октябрь","Ноябрь","Декабрь")&amp;" "&amp;YEAR(branches[[#This Row],[Дата]])</f>
        <v>Август 2025</v>
      </c>
      <c r="E1334" t="s">
        <v>24</v>
      </c>
      <c r="F1334" t="s">
        <v>17</v>
      </c>
      <c r="G1334">
        <v>1</v>
      </c>
      <c r="H1334">
        <v>352</v>
      </c>
      <c r="I1334" t="s">
        <v>19</v>
      </c>
      <c r="J1334" t="str">
        <f>_xlfn.XLOOKUP(branches[[#This Row],[Филиал]], tbl_Filialy[Филиал], tbl_Filialy[Менеджер])</f>
        <v>Павел Ткаченко</v>
      </c>
    </row>
    <row r="1335" spans="1:10" x14ac:dyDescent="0.3">
      <c r="A1335" t="str">
        <f>_xlfn.XLOOKUP(branches[[#This Row],[Филиал]], tbl_Filialy[Филиал], tbl_Filialy[Город])</f>
        <v>Краснодар</v>
      </c>
      <c r="B1335" s="1" t="s">
        <v>31</v>
      </c>
      <c r="C1335" s="2">
        <v>45712</v>
      </c>
      <c r="D1335" s="2" t="str">
        <f>CHOOSE(MONTH(branches[[#This Row],[Дата]]),"Январь","Февраль","Март","Апрель","Май","Июнь","Июль","Август","Сентябрь","Октябрь","Ноябрь","Декабрь")&amp;" "&amp;YEAR(branches[[#This Row],[Дата]])</f>
        <v>Февраль 2025</v>
      </c>
      <c r="E1335" t="s">
        <v>14</v>
      </c>
      <c r="F1335" t="s">
        <v>12</v>
      </c>
      <c r="G1335">
        <v>1</v>
      </c>
      <c r="H1335">
        <v>744</v>
      </c>
      <c r="I1335" t="s">
        <v>33</v>
      </c>
      <c r="J1335" t="str">
        <f>_xlfn.XLOOKUP(branches[[#This Row],[Филиал]], tbl_Filialy[Филиал], tbl_Filialy[Менеджер])</f>
        <v>Павел Ткаченко</v>
      </c>
    </row>
    <row r="1336" spans="1:10" x14ac:dyDescent="0.3">
      <c r="A1336" t="str">
        <f>_xlfn.XLOOKUP(branches[[#This Row],[Филиал]], tbl_Filialy[Филиал], tbl_Filialy[Город])</f>
        <v>Краснодар</v>
      </c>
      <c r="B1336" s="1" t="s">
        <v>31</v>
      </c>
      <c r="C1336" s="2">
        <v>45910</v>
      </c>
      <c r="D1336" s="2" t="str">
        <f>CHOOSE(MONTH(branches[[#This Row],[Дата]]),"Январь","Февраль","Март","Апрель","Май","Июнь","Июль","Август","Сентябрь","Октябрь","Ноябрь","Декабрь")&amp;" "&amp;YEAR(branches[[#This Row],[Дата]])</f>
        <v>Сентябрь 2025</v>
      </c>
      <c r="E1336" t="s">
        <v>28</v>
      </c>
      <c r="F1336" t="s">
        <v>12</v>
      </c>
      <c r="G1336">
        <v>1</v>
      </c>
      <c r="H1336">
        <v>209</v>
      </c>
      <c r="I1336" t="s">
        <v>32</v>
      </c>
      <c r="J1336" t="str">
        <f>_xlfn.XLOOKUP(branches[[#This Row],[Филиал]], tbl_Filialy[Филиал], tbl_Filialy[Менеджер])</f>
        <v>Павел Ткаченко</v>
      </c>
    </row>
    <row r="1337" spans="1:10" x14ac:dyDescent="0.3">
      <c r="A1337" t="str">
        <f>_xlfn.XLOOKUP(branches[[#This Row],[Филиал]], tbl_Filialy[Филиал], tbl_Filialy[Город])</f>
        <v>Краснодар</v>
      </c>
      <c r="B1337" s="1" t="s">
        <v>31</v>
      </c>
      <c r="C1337" s="2">
        <v>45938</v>
      </c>
      <c r="D1337" s="2" t="str">
        <f>CHOOSE(MONTH(branches[[#This Row],[Дата]]),"Январь","Февраль","Март","Апрель","Май","Июнь","Июль","Август","Сентябрь","Октябрь","Ноябрь","Декабрь")&amp;" "&amp;YEAR(branches[[#This Row],[Дата]])</f>
        <v>Октябрь 2025</v>
      </c>
      <c r="E1337" t="s">
        <v>27</v>
      </c>
      <c r="F1337" t="s">
        <v>12</v>
      </c>
      <c r="G1337">
        <v>2</v>
      </c>
      <c r="H1337">
        <v>386</v>
      </c>
      <c r="I1337" t="s">
        <v>33</v>
      </c>
      <c r="J1337" t="str">
        <f>_xlfn.XLOOKUP(branches[[#This Row],[Филиал]], tbl_Filialy[Филиал], tbl_Filialy[Менеджер])</f>
        <v>Павел Ткаченко</v>
      </c>
    </row>
    <row r="1338" spans="1:10" x14ac:dyDescent="0.3">
      <c r="A1338" t="str">
        <f>_xlfn.XLOOKUP(branches[[#This Row],[Филиал]], tbl_Filialy[Филиал], tbl_Filialy[Город])</f>
        <v>Краснодар</v>
      </c>
      <c r="B1338" s="1" t="s">
        <v>31</v>
      </c>
      <c r="C1338" s="2">
        <v>46007</v>
      </c>
      <c r="D1338" s="2" t="str">
        <f>CHOOSE(MONTH(branches[[#This Row],[Дата]]),"Январь","Февраль","Март","Апрель","Май","Июнь","Июль","Август","Сентябрь","Октябрь","Ноябрь","Декабрь")&amp;" "&amp;YEAR(branches[[#This Row],[Дата]])</f>
        <v>Декабрь 2025</v>
      </c>
      <c r="E1338" t="s">
        <v>18</v>
      </c>
      <c r="F1338" t="s">
        <v>12</v>
      </c>
      <c r="G1338">
        <v>1</v>
      </c>
      <c r="H1338">
        <v>155</v>
      </c>
      <c r="I1338" t="s">
        <v>33</v>
      </c>
      <c r="J1338" t="str">
        <f>_xlfn.XLOOKUP(branches[[#This Row],[Филиал]], tbl_Filialy[Филиал], tbl_Filialy[Менеджер])</f>
        <v>Павел Ткаченко</v>
      </c>
    </row>
    <row r="1339" spans="1:10" x14ac:dyDescent="0.3">
      <c r="A1339" t="str">
        <f>_xlfn.XLOOKUP(branches[[#This Row],[Филиал]], tbl_Filialy[Филиал], tbl_Filialy[Город])</f>
        <v>Краснодар</v>
      </c>
      <c r="B1339" s="1" t="s">
        <v>31</v>
      </c>
      <c r="C1339" s="2">
        <v>45768</v>
      </c>
      <c r="D1339" s="2" t="str">
        <f>CHOOSE(MONTH(branches[[#This Row],[Дата]]),"Январь","Февраль","Март","Апрель","Май","Июнь","Июль","Август","Сентябрь","Октябрь","Ноябрь","Декабрь")&amp;" "&amp;YEAR(branches[[#This Row],[Дата]])</f>
        <v>Апрель 2025</v>
      </c>
      <c r="E1339" t="s">
        <v>11</v>
      </c>
      <c r="F1339" t="s">
        <v>12</v>
      </c>
      <c r="G1339">
        <v>1</v>
      </c>
      <c r="H1339">
        <v>182</v>
      </c>
      <c r="I1339" t="s">
        <v>34</v>
      </c>
      <c r="J1339" t="str">
        <f>_xlfn.XLOOKUP(branches[[#This Row],[Филиал]], tbl_Filialy[Филиал], tbl_Filialy[Менеджер])</f>
        <v>Павел Ткаченко</v>
      </c>
    </row>
    <row r="1340" spans="1:10" x14ac:dyDescent="0.3">
      <c r="A1340" t="str">
        <f>_xlfn.XLOOKUP(branches[[#This Row],[Филиал]], tbl_Filialy[Филиал], tbl_Filialy[Город])</f>
        <v>Краснодар</v>
      </c>
      <c r="B1340" s="1" t="s">
        <v>31</v>
      </c>
      <c r="C1340" s="2">
        <v>45827</v>
      </c>
      <c r="D1340" s="2" t="str">
        <f>CHOOSE(MONTH(branches[[#This Row],[Дата]]),"Январь","Февраль","Март","Апрель","Май","Июнь","Июль","Август","Сентябрь","Октябрь","Ноябрь","Декабрь")&amp;" "&amp;YEAR(branches[[#This Row],[Дата]])</f>
        <v>Июнь 2025</v>
      </c>
      <c r="E1340" t="s">
        <v>20</v>
      </c>
      <c r="F1340" t="s">
        <v>12</v>
      </c>
      <c r="G1340">
        <v>1</v>
      </c>
      <c r="H1340">
        <v>249</v>
      </c>
      <c r="I1340" t="s">
        <v>19</v>
      </c>
      <c r="J1340" t="str">
        <f>_xlfn.XLOOKUP(branches[[#This Row],[Филиал]], tbl_Filialy[Филиал], tbl_Filialy[Менеджер])</f>
        <v>Павел Ткаченко</v>
      </c>
    </row>
    <row r="1341" spans="1:10" x14ac:dyDescent="0.3">
      <c r="A1341" t="str">
        <f>_xlfn.XLOOKUP(branches[[#This Row],[Филиал]], tbl_Filialy[Филиал], tbl_Filialy[Город])</f>
        <v>Краснодар</v>
      </c>
      <c r="B1341" s="1" t="s">
        <v>31</v>
      </c>
      <c r="C1341" s="2">
        <v>45666</v>
      </c>
      <c r="D1341" s="2" t="str">
        <f>CHOOSE(MONTH(branches[[#This Row],[Дата]]),"Январь","Февраль","Март","Апрель","Май","Июнь","Июль","Август","Сентябрь","Октябрь","Ноябрь","Декабрь")&amp;" "&amp;YEAR(branches[[#This Row],[Дата]])</f>
        <v>Январь 2025</v>
      </c>
      <c r="E1341" t="s">
        <v>20</v>
      </c>
      <c r="F1341" t="s">
        <v>12</v>
      </c>
      <c r="G1341">
        <v>1</v>
      </c>
      <c r="H1341">
        <v>286</v>
      </c>
      <c r="I1341" t="s">
        <v>33</v>
      </c>
      <c r="J1341" t="str">
        <f>_xlfn.XLOOKUP(branches[[#This Row],[Филиал]], tbl_Filialy[Филиал], tbl_Filialy[Менеджер])</f>
        <v>Павел Ткаченко</v>
      </c>
    </row>
    <row r="1342" spans="1:10" x14ac:dyDescent="0.3">
      <c r="A1342" t="str">
        <f>_xlfn.XLOOKUP(branches[[#This Row],[Филиал]], tbl_Filialy[Филиал], tbl_Filialy[Город])</f>
        <v>Краснодар</v>
      </c>
      <c r="B1342" s="1" t="s">
        <v>31</v>
      </c>
      <c r="C1342" s="2">
        <v>45737</v>
      </c>
      <c r="D1342" s="2" t="str">
        <f>CHOOSE(MONTH(branches[[#This Row],[Дата]]),"Январь","Февраль","Март","Апрель","Май","Июнь","Июль","Август","Сентябрь","Октябрь","Ноябрь","Декабрь")&amp;" "&amp;YEAR(branches[[#This Row],[Дата]])</f>
        <v>Март 2025</v>
      </c>
      <c r="E1342" t="s">
        <v>26</v>
      </c>
      <c r="F1342" t="s">
        <v>9</v>
      </c>
      <c r="G1342">
        <v>2</v>
      </c>
      <c r="H1342">
        <v>422</v>
      </c>
      <c r="I1342" t="s">
        <v>35</v>
      </c>
      <c r="J1342" t="str">
        <f>_xlfn.XLOOKUP(branches[[#This Row],[Филиал]], tbl_Filialy[Филиал], tbl_Filialy[Менеджер])</f>
        <v>Павел Ткаченко</v>
      </c>
    </row>
    <row r="1343" spans="1:10" x14ac:dyDescent="0.3">
      <c r="A1343" t="str">
        <f>_xlfn.XLOOKUP(branches[[#This Row],[Филиал]], tbl_Filialy[Филиал], tbl_Filialy[Город])</f>
        <v>Краснодар</v>
      </c>
      <c r="B1343" s="1" t="s">
        <v>31</v>
      </c>
      <c r="C1343" s="2">
        <v>45994</v>
      </c>
      <c r="D1343" s="2" t="str">
        <f>CHOOSE(MONTH(branches[[#This Row],[Дата]]),"Январь","Февраль","Март","Апрель","Май","Июнь","Июль","Август","Сентябрь","Октябрь","Ноябрь","Декабрь")&amp;" "&amp;YEAR(branches[[#This Row],[Дата]])</f>
        <v>Декабрь 2025</v>
      </c>
      <c r="E1343" t="s">
        <v>26</v>
      </c>
      <c r="F1343" t="s">
        <v>9</v>
      </c>
      <c r="G1343">
        <v>2</v>
      </c>
      <c r="H1343">
        <v>460</v>
      </c>
      <c r="I1343" t="s">
        <v>32</v>
      </c>
      <c r="J1343" t="str">
        <f>_xlfn.XLOOKUP(branches[[#This Row],[Филиал]], tbl_Filialy[Филиал], tbl_Filialy[Менеджер])</f>
        <v>Павел Ткаченко</v>
      </c>
    </row>
    <row r="1344" spans="1:10" x14ac:dyDescent="0.3">
      <c r="A1344" t="str">
        <f>_xlfn.XLOOKUP(branches[[#This Row],[Филиал]], tbl_Filialy[Филиал], tbl_Filialy[Город])</f>
        <v>Краснодар</v>
      </c>
      <c r="B1344" s="1" t="s">
        <v>31</v>
      </c>
      <c r="C1344" s="2">
        <v>45928</v>
      </c>
      <c r="D1344" s="2" t="str">
        <f>CHOOSE(MONTH(branches[[#This Row],[Дата]]),"Январь","Февраль","Март","Апрель","Май","Июнь","Июль","Август","Сентябрь","Октябрь","Ноябрь","Декабрь")&amp;" "&amp;YEAR(branches[[#This Row],[Дата]])</f>
        <v>Сентябрь 2025</v>
      </c>
      <c r="E1344" t="s">
        <v>22</v>
      </c>
      <c r="F1344" t="s">
        <v>9</v>
      </c>
      <c r="G1344">
        <v>3</v>
      </c>
      <c r="H1344">
        <v>516</v>
      </c>
      <c r="I1344" t="s">
        <v>35</v>
      </c>
      <c r="J1344" t="str">
        <f>_xlfn.XLOOKUP(branches[[#This Row],[Филиал]], tbl_Filialy[Филиал], tbl_Filialy[Менеджер])</f>
        <v>Павел Ткаченко</v>
      </c>
    </row>
    <row r="1345" spans="1:10" x14ac:dyDescent="0.3">
      <c r="A1345" t="str">
        <f>_xlfn.XLOOKUP(branches[[#This Row],[Филиал]], tbl_Filialy[Филиал], tbl_Filialy[Город])</f>
        <v>Краснодар</v>
      </c>
      <c r="B1345" s="1" t="s">
        <v>31</v>
      </c>
      <c r="C1345" s="2">
        <v>45664</v>
      </c>
      <c r="D1345" s="2" t="str">
        <f>CHOOSE(MONTH(branches[[#This Row],[Дата]]),"Январь","Февраль","Март","Апрель","Май","Июнь","Июль","Август","Сентябрь","Октябрь","Ноябрь","Декабрь")&amp;" "&amp;YEAR(branches[[#This Row],[Дата]])</f>
        <v>Январь 2025</v>
      </c>
      <c r="E1345" t="s">
        <v>8</v>
      </c>
      <c r="F1345" t="s">
        <v>9</v>
      </c>
      <c r="G1345">
        <v>1</v>
      </c>
      <c r="H1345">
        <v>245</v>
      </c>
      <c r="I1345" t="s">
        <v>13</v>
      </c>
      <c r="J1345" t="str">
        <f>_xlfn.XLOOKUP(branches[[#This Row],[Филиал]], tbl_Filialy[Филиал], tbl_Filialy[Менеджер])</f>
        <v>Павел Ткаченко</v>
      </c>
    </row>
    <row r="1346" spans="1:10" x14ac:dyDescent="0.3">
      <c r="A1346" t="str">
        <f>_xlfn.XLOOKUP(branches[[#This Row],[Филиал]], tbl_Filialy[Филиал], tbl_Filialy[Город])</f>
        <v>Краснодар</v>
      </c>
      <c r="B1346" s="1" t="s">
        <v>31</v>
      </c>
      <c r="C1346" s="2">
        <v>45966</v>
      </c>
      <c r="D1346" s="2" t="str">
        <f>CHOOSE(MONTH(branches[[#This Row],[Дата]]),"Январь","Февраль","Март","Апрель","Май","Июнь","Июль","Август","Сентябрь","Октябрь","Ноябрь","Декабрь")&amp;" "&amp;YEAR(branches[[#This Row],[Дата]])</f>
        <v>Ноябрь 2025</v>
      </c>
      <c r="E1346" t="s">
        <v>25</v>
      </c>
      <c r="F1346" t="s">
        <v>12</v>
      </c>
      <c r="G1346">
        <v>1</v>
      </c>
      <c r="H1346">
        <v>210</v>
      </c>
      <c r="I1346" t="s">
        <v>35</v>
      </c>
      <c r="J1346" t="str">
        <f>_xlfn.XLOOKUP(branches[[#This Row],[Филиал]], tbl_Filialy[Филиал], tbl_Filialy[Менеджер])</f>
        <v>Павел Ткаченко</v>
      </c>
    </row>
    <row r="1347" spans="1:10" x14ac:dyDescent="0.3">
      <c r="A1347" t="str">
        <f>_xlfn.XLOOKUP(branches[[#This Row],[Филиал]], tbl_Filialy[Филиал], tbl_Filialy[Город])</f>
        <v>Краснодар</v>
      </c>
      <c r="B1347" s="1" t="s">
        <v>31</v>
      </c>
      <c r="C1347" s="2">
        <v>45973</v>
      </c>
      <c r="D1347" s="2" t="str">
        <f>CHOOSE(MONTH(branches[[#This Row],[Дата]]),"Январь","Февраль","Март","Апрель","Май","Июнь","Июль","Август","Сентябрь","Октябрь","Ноябрь","Декабрь")&amp;" "&amp;YEAR(branches[[#This Row],[Дата]])</f>
        <v>Ноябрь 2025</v>
      </c>
      <c r="E1347" t="s">
        <v>18</v>
      </c>
      <c r="F1347" t="s">
        <v>12</v>
      </c>
      <c r="G1347">
        <v>3</v>
      </c>
      <c r="H1347">
        <v>378</v>
      </c>
      <c r="I1347" t="s">
        <v>13</v>
      </c>
      <c r="J1347" t="str">
        <f>_xlfn.XLOOKUP(branches[[#This Row],[Филиал]], tbl_Filialy[Филиал], tbl_Filialy[Менеджер])</f>
        <v>Павел Ткаченко</v>
      </c>
    </row>
    <row r="1348" spans="1:10" x14ac:dyDescent="0.3">
      <c r="A1348" t="str">
        <f>_xlfn.XLOOKUP(branches[[#This Row],[Филиал]], tbl_Filialy[Филиал], tbl_Filialy[Город])</f>
        <v>Краснодар</v>
      </c>
      <c r="B1348" s="1" t="s">
        <v>31</v>
      </c>
      <c r="C1348" s="2">
        <v>45871</v>
      </c>
      <c r="D1348" s="2" t="str">
        <f>CHOOSE(MONTH(branches[[#This Row],[Дата]]),"Январь","Февраль","Март","Апрель","Май","Июнь","Июль","Август","Сентябрь","Октябрь","Ноябрь","Декабрь")&amp;" "&amp;YEAR(branches[[#This Row],[Дата]])</f>
        <v>Август 2025</v>
      </c>
      <c r="E1348" t="s">
        <v>22</v>
      </c>
      <c r="F1348" t="s">
        <v>9</v>
      </c>
      <c r="G1348">
        <v>2</v>
      </c>
      <c r="H1348">
        <v>350</v>
      </c>
      <c r="I1348" t="s">
        <v>33</v>
      </c>
      <c r="J1348" t="str">
        <f>_xlfn.XLOOKUP(branches[[#This Row],[Филиал]], tbl_Filialy[Филиал], tbl_Filialy[Менеджер])</f>
        <v>Павел Ткаченко</v>
      </c>
    </row>
    <row r="1349" spans="1:10" x14ac:dyDescent="0.3">
      <c r="A1349" t="str">
        <f>_xlfn.XLOOKUP(branches[[#This Row],[Филиал]], tbl_Filialy[Филиал], tbl_Filialy[Город])</f>
        <v>Краснодар</v>
      </c>
      <c r="B1349" s="1" t="s">
        <v>31</v>
      </c>
      <c r="C1349" s="2">
        <v>45923</v>
      </c>
      <c r="D1349" s="2" t="str">
        <f>CHOOSE(MONTH(branches[[#This Row],[Дата]]),"Январь","Февраль","Март","Апрель","Май","Июнь","Июль","Август","Сентябрь","Октябрь","Ноябрь","Декабрь")&amp;" "&amp;YEAR(branches[[#This Row],[Дата]])</f>
        <v>Сентябрь 2025</v>
      </c>
      <c r="E1349" t="s">
        <v>24</v>
      </c>
      <c r="F1349" t="s">
        <v>17</v>
      </c>
      <c r="G1349">
        <v>2</v>
      </c>
      <c r="H1349">
        <v>734</v>
      </c>
      <c r="I1349" t="s">
        <v>32</v>
      </c>
      <c r="J1349" t="str">
        <f>_xlfn.XLOOKUP(branches[[#This Row],[Филиал]], tbl_Filialy[Филиал], tbl_Filialy[Менеджер])</f>
        <v>Павел Ткаченко</v>
      </c>
    </row>
    <row r="1350" spans="1:10" x14ac:dyDescent="0.3">
      <c r="A1350" t="str">
        <f>_xlfn.XLOOKUP(branches[[#This Row],[Филиал]], tbl_Filialy[Филиал], tbl_Filialy[Город])</f>
        <v>Краснодар</v>
      </c>
      <c r="B1350" s="1" t="s">
        <v>31</v>
      </c>
      <c r="C1350" s="2">
        <v>45901</v>
      </c>
      <c r="D1350" s="2" t="str">
        <f>CHOOSE(MONTH(branches[[#This Row],[Дата]]),"Январь","Февраль","Март","Апрель","Май","Июнь","Июль","Август","Сентябрь","Октябрь","Ноябрь","Декабрь")&amp;" "&amp;YEAR(branches[[#This Row],[Дата]])</f>
        <v>Сентябрь 2025</v>
      </c>
      <c r="E1350" t="s">
        <v>14</v>
      </c>
      <c r="F1350" t="s">
        <v>12</v>
      </c>
      <c r="G1350">
        <v>1</v>
      </c>
      <c r="H1350">
        <v>266</v>
      </c>
      <c r="I1350" t="s">
        <v>35</v>
      </c>
      <c r="J1350" t="str">
        <f>_xlfn.XLOOKUP(branches[[#This Row],[Филиал]], tbl_Filialy[Филиал], tbl_Filialy[Менеджер])</f>
        <v>Павел Ткаченко</v>
      </c>
    </row>
    <row r="1351" spans="1:10" x14ac:dyDescent="0.3">
      <c r="A1351" t="str">
        <f>_xlfn.XLOOKUP(branches[[#This Row],[Филиал]], tbl_Filialy[Филиал], tbl_Filialy[Город])</f>
        <v>Краснодар</v>
      </c>
      <c r="B1351" s="1" t="s">
        <v>31</v>
      </c>
      <c r="C1351" s="2">
        <v>45873</v>
      </c>
      <c r="D1351" s="2" t="str">
        <f>CHOOSE(MONTH(branches[[#This Row],[Дата]]),"Январь","Февраль","Март","Апрель","Май","Июнь","Июль","Август","Сентябрь","Октябрь","Ноябрь","Декабрь")&amp;" "&amp;YEAR(branches[[#This Row],[Дата]])</f>
        <v>Август 2025</v>
      </c>
      <c r="E1351" t="s">
        <v>8</v>
      </c>
      <c r="F1351" t="s">
        <v>9</v>
      </c>
      <c r="G1351">
        <v>3</v>
      </c>
      <c r="H1351">
        <v>717</v>
      </c>
      <c r="I1351" t="s">
        <v>33</v>
      </c>
      <c r="J1351" t="str">
        <f>_xlfn.XLOOKUP(branches[[#This Row],[Филиал]], tbl_Filialy[Филиал], tbl_Filialy[Менеджер])</f>
        <v>Павел Ткаченко</v>
      </c>
    </row>
    <row r="1352" spans="1:10" x14ac:dyDescent="0.3">
      <c r="A1352" t="str">
        <f>_xlfn.XLOOKUP(branches[[#This Row],[Филиал]], tbl_Filialy[Филиал], tbl_Filialy[Город])</f>
        <v>Краснодар</v>
      </c>
      <c r="B1352" s="1" t="s">
        <v>31</v>
      </c>
      <c r="C1352" s="2">
        <v>45761</v>
      </c>
      <c r="D1352" s="2" t="str">
        <f>CHOOSE(MONTH(branches[[#This Row],[Дата]]),"Январь","Февраль","Март","Апрель","Май","Июнь","Июль","Август","Сентябрь","Октябрь","Ноябрь","Декабрь")&amp;" "&amp;YEAR(branches[[#This Row],[Дата]])</f>
        <v>Апрель 2025</v>
      </c>
      <c r="E1352" t="s">
        <v>14</v>
      </c>
      <c r="F1352" t="s">
        <v>12</v>
      </c>
      <c r="G1352">
        <v>1</v>
      </c>
      <c r="H1352">
        <v>284</v>
      </c>
      <c r="I1352" t="s">
        <v>32</v>
      </c>
      <c r="J1352" t="str">
        <f>_xlfn.XLOOKUP(branches[[#This Row],[Филиал]], tbl_Filialy[Филиал], tbl_Filialy[Менеджер])</f>
        <v>Павел Ткаченко</v>
      </c>
    </row>
    <row r="1353" spans="1:10" x14ac:dyDescent="0.3">
      <c r="A1353" t="str">
        <f>_xlfn.XLOOKUP(branches[[#This Row],[Филиал]], tbl_Filialy[Филиал], tbl_Filialy[Город])</f>
        <v>Краснодар</v>
      </c>
      <c r="B1353" s="1" t="s">
        <v>31</v>
      </c>
      <c r="C1353" s="2">
        <v>45843</v>
      </c>
      <c r="D1353" s="2" t="str">
        <f>CHOOSE(MONTH(branches[[#This Row],[Дата]]),"Январь","Февраль","Март","Апрель","Май","Июнь","Июль","Август","Сентябрь","Октябрь","Ноябрь","Декабрь")&amp;" "&amp;YEAR(branches[[#This Row],[Дата]])</f>
        <v>Июль 2025</v>
      </c>
      <c r="E1353" t="s">
        <v>22</v>
      </c>
      <c r="F1353" t="s">
        <v>9</v>
      </c>
      <c r="G1353">
        <v>1</v>
      </c>
      <c r="H1353">
        <v>166</v>
      </c>
      <c r="I1353" t="s">
        <v>35</v>
      </c>
      <c r="J1353" t="str">
        <f>_xlfn.XLOOKUP(branches[[#This Row],[Филиал]], tbl_Filialy[Филиал], tbl_Filialy[Менеджер])</f>
        <v>Павел Ткаченко</v>
      </c>
    </row>
    <row r="1354" spans="1:10" x14ac:dyDescent="0.3">
      <c r="A1354" t="str">
        <f>_xlfn.XLOOKUP(branches[[#This Row],[Филиал]], tbl_Filialy[Филиал], tbl_Filialy[Город])</f>
        <v>Краснодар</v>
      </c>
      <c r="B1354" s="1" t="s">
        <v>31</v>
      </c>
      <c r="C1354" s="2">
        <v>45759</v>
      </c>
      <c r="D1354" s="2" t="str">
        <f>CHOOSE(MONTH(branches[[#This Row],[Дата]]),"Январь","Февраль","Март","Апрель","Май","Июнь","Июль","Август","Сентябрь","Октябрь","Ноябрь","Декабрь")&amp;" "&amp;YEAR(branches[[#This Row],[Дата]])</f>
        <v>Апрель 2025</v>
      </c>
      <c r="E1354" t="s">
        <v>18</v>
      </c>
      <c r="F1354" t="s">
        <v>12</v>
      </c>
      <c r="G1354">
        <v>1</v>
      </c>
      <c r="H1354">
        <v>140</v>
      </c>
      <c r="I1354" t="s">
        <v>33</v>
      </c>
      <c r="J1354" t="str">
        <f>_xlfn.XLOOKUP(branches[[#This Row],[Филиал]], tbl_Filialy[Филиал], tbl_Filialy[Менеджер])</f>
        <v>Павел Ткаченко</v>
      </c>
    </row>
    <row r="1355" spans="1:10" x14ac:dyDescent="0.3">
      <c r="A1355" t="str">
        <f>_xlfn.XLOOKUP(branches[[#This Row],[Филиал]], tbl_Filialy[Филиал], tbl_Filialy[Город])</f>
        <v>Краснодар</v>
      </c>
      <c r="B1355" s="1" t="s">
        <v>31</v>
      </c>
      <c r="C1355" s="2">
        <v>45667</v>
      </c>
      <c r="D1355" s="2" t="str">
        <f>CHOOSE(MONTH(branches[[#This Row],[Дата]]),"Январь","Февраль","Март","Апрель","Май","Июнь","Июль","Август","Сентябрь","Октябрь","Ноябрь","Декабрь")&amp;" "&amp;YEAR(branches[[#This Row],[Дата]])</f>
        <v>Январь 2025</v>
      </c>
      <c r="E1355" t="s">
        <v>26</v>
      </c>
      <c r="F1355" t="s">
        <v>9</v>
      </c>
      <c r="G1355">
        <v>2</v>
      </c>
      <c r="H1355">
        <v>384</v>
      </c>
      <c r="I1355" t="s">
        <v>35</v>
      </c>
      <c r="J1355" t="str">
        <f>_xlfn.XLOOKUP(branches[[#This Row],[Филиал]], tbl_Filialy[Филиал], tbl_Filialy[Менеджер])</f>
        <v>Павел Ткаченко</v>
      </c>
    </row>
    <row r="1356" spans="1:10" x14ac:dyDescent="0.3">
      <c r="A1356" t="str">
        <f>_xlfn.XLOOKUP(branches[[#This Row],[Филиал]], tbl_Filialy[Филиал], tbl_Filialy[Город])</f>
        <v>Краснодар</v>
      </c>
      <c r="B1356" s="1" t="s">
        <v>31</v>
      </c>
      <c r="C1356" s="2">
        <v>45928</v>
      </c>
      <c r="D1356" s="2" t="str">
        <f>CHOOSE(MONTH(branches[[#This Row],[Дата]]),"Январь","Февраль","Март","Апрель","Май","Июнь","Июль","Август","Сентябрь","Октябрь","Ноябрь","Декабрь")&amp;" "&amp;YEAR(branches[[#This Row],[Дата]])</f>
        <v>Сентябрь 2025</v>
      </c>
      <c r="E1356" t="s">
        <v>14</v>
      </c>
      <c r="F1356" t="s">
        <v>12</v>
      </c>
      <c r="G1356">
        <v>1</v>
      </c>
      <c r="H1356">
        <v>269</v>
      </c>
      <c r="I1356" t="s">
        <v>19</v>
      </c>
      <c r="J1356" t="str">
        <f>_xlfn.XLOOKUP(branches[[#This Row],[Филиал]], tbl_Filialy[Филиал], tbl_Filialy[Менеджер])</f>
        <v>Павел Ткаченко</v>
      </c>
    </row>
    <row r="1357" spans="1:10" x14ac:dyDescent="0.3">
      <c r="A1357" t="str">
        <f>_xlfn.XLOOKUP(branches[[#This Row],[Филиал]], tbl_Filialy[Филиал], tbl_Filialy[Город])</f>
        <v>Краснодар</v>
      </c>
      <c r="B1357" s="1" t="s">
        <v>31</v>
      </c>
      <c r="C1357" s="2">
        <v>45671</v>
      </c>
      <c r="D1357" s="2" t="str">
        <f>CHOOSE(MONTH(branches[[#This Row],[Дата]]),"Январь","Февраль","Март","Апрель","Май","Июнь","Июль","Август","Сентябрь","Октябрь","Ноябрь","Декабрь")&amp;" "&amp;YEAR(branches[[#This Row],[Дата]])</f>
        <v>Январь 2025</v>
      </c>
      <c r="E1357" t="s">
        <v>8</v>
      </c>
      <c r="F1357" t="s">
        <v>9</v>
      </c>
      <c r="G1357">
        <v>1</v>
      </c>
      <c r="H1357">
        <v>260</v>
      </c>
      <c r="I1357" t="s">
        <v>35</v>
      </c>
      <c r="J1357" t="str">
        <f>_xlfn.XLOOKUP(branches[[#This Row],[Филиал]], tbl_Filialy[Филиал], tbl_Filialy[Менеджер])</f>
        <v>Павел Ткаченко</v>
      </c>
    </row>
    <row r="1358" spans="1:10" x14ac:dyDescent="0.3">
      <c r="A1358" t="str">
        <f>_xlfn.XLOOKUP(branches[[#This Row],[Филиал]], tbl_Filialy[Филиал], tbl_Filialy[Город])</f>
        <v>Краснодар</v>
      </c>
      <c r="B1358" s="1" t="s">
        <v>31</v>
      </c>
      <c r="C1358" s="2">
        <v>45763</v>
      </c>
      <c r="D1358" s="2" t="str">
        <f>CHOOSE(MONTH(branches[[#This Row],[Дата]]),"Январь","Февраль","Март","Апрель","Май","Июнь","Июль","Август","Сентябрь","Октябрь","Ноябрь","Декабрь")&amp;" "&amp;YEAR(branches[[#This Row],[Дата]])</f>
        <v>Апрель 2025</v>
      </c>
      <c r="E1358" t="s">
        <v>20</v>
      </c>
      <c r="F1358" t="s">
        <v>12</v>
      </c>
      <c r="G1358">
        <v>2</v>
      </c>
      <c r="H1358">
        <v>494</v>
      </c>
      <c r="I1358" t="s">
        <v>33</v>
      </c>
      <c r="J1358" t="str">
        <f>_xlfn.XLOOKUP(branches[[#This Row],[Филиал]], tbl_Filialy[Филиал], tbl_Filialy[Менеджер])</f>
        <v>Павел Ткаченко</v>
      </c>
    </row>
    <row r="1359" spans="1:10" x14ac:dyDescent="0.3">
      <c r="A1359" t="str">
        <f>_xlfn.XLOOKUP(branches[[#This Row],[Филиал]], tbl_Filialy[Филиал], tbl_Filialy[Город])</f>
        <v>Краснодар</v>
      </c>
      <c r="B1359" s="1" t="s">
        <v>31</v>
      </c>
      <c r="C1359" s="2">
        <v>46015</v>
      </c>
      <c r="D1359" s="2" t="str">
        <f>CHOOSE(MONTH(branches[[#This Row],[Дата]]),"Январь","Февраль","Март","Апрель","Май","Июнь","Июль","Август","Сентябрь","Октябрь","Ноябрь","Декабрь")&amp;" "&amp;YEAR(branches[[#This Row],[Дата]])</f>
        <v>Декабрь 2025</v>
      </c>
      <c r="E1359" t="s">
        <v>8</v>
      </c>
      <c r="F1359" t="s">
        <v>9</v>
      </c>
      <c r="G1359">
        <v>1</v>
      </c>
      <c r="H1359">
        <v>238</v>
      </c>
      <c r="I1359" t="s">
        <v>19</v>
      </c>
      <c r="J1359" t="str">
        <f>_xlfn.XLOOKUP(branches[[#This Row],[Филиал]], tbl_Filialy[Филиал], tbl_Filialy[Менеджер])</f>
        <v>Павел Ткаченко</v>
      </c>
    </row>
    <row r="1360" spans="1:10" x14ac:dyDescent="0.3">
      <c r="A1360" t="str">
        <f>_xlfn.XLOOKUP(branches[[#This Row],[Филиал]], tbl_Filialy[Филиал], tbl_Filialy[Город])</f>
        <v>Краснодар</v>
      </c>
      <c r="B1360" s="1" t="s">
        <v>31</v>
      </c>
      <c r="C1360" s="2">
        <v>46010</v>
      </c>
      <c r="D1360" s="2" t="str">
        <f>CHOOSE(MONTH(branches[[#This Row],[Дата]]),"Январь","Февраль","Март","Апрель","Май","Июнь","Июль","Август","Сентябрь","Октябрь","Ноябрь","Декабрь")&amp;" "&amp;YEAR(branches[[#This Row],[Дата]])</f>
        <v>Декабрь 2025</v>
      </c>
      <c r="E1360" t="s">
        <v>11</v>
      </c>
      <c r="F1360" t="s">
        <v>12</v>
      </c>
      <c r="G1360">
        <v>2</v>
      </c>
      <c r="H1360">
        <v>340</v>
      </c>
      <c r="I1360" t="s">
        <v>34</v>
      </c>
      <c r="J1360" t="str">
        <f>_xlfn.XLOOKUP(branches[[#This Row],[Филиал]], tbl_Filialy[Филиал], tbl_Filialy[Менеджер])</f>
        <v>Павел Ткаченко</v>
      </c>
    </row>
    <row r="1361" spans="1:10" x14ac:dyDescent="0.3">
      <c r="A1361" t="str">
        <f>_xlfn.XLOOKUP(branches[[#This Row],[Филиал]], tbl_Filialy[Филиал], tbl_Filialy[Город])</f>
        <v>Краснодар</v>
      </c>
      <c r="B1361" s="1" t="s">
        <v>31</v>
      </c>
      <c r="C1361" s="2">
        <v>45779</v>
      </c>
      <c r="D1361" s="2" t="str">
        <f>CHOOSE(MONTH(branches[[#This Row],[Дата]]),"Январь","Февраль","Март","Апрель","Май","Июнь","Июль","Август","Сентябрь","Октябрь","Ноябрь","Декабрь")&amp;" "&amp;YEAR(branches[[#This Row],[Дата]])</f>
        <v>Май 2025</v>
      </c>
      <c r="E1361" t="s">
        <v>25</v>
      </c>
      <c r="F1361" t="s">
        <v>12</v>
      </c>
      <c r="G1361">
        <v>1</v>
      </c>
      <c r="H1361">
        <v>205</v>
      </c>
      <c r="I1361" t="s">
        <v>33</v>
      </c>
      <c r="J1361" t="str">
        <f>_xlfn.XLOOKUP(branches[[#This Row],[Филиал]], tbl_Filialy[Филиал], tbl_Filialy[Менеджер])</f>
        <v>Павел Ткаченко</v>
      </c>
    </row>
    <row r="1362" spans="1:10" x14ac:dyDescent="0.3">
      <c r="A1362" t="str">
        <f>_xlfn.XLOOKUP(branches[[#This Row],[Филиал]], tbl_Filialy[Филиал], tbl_Filialy[Город])</f>
        <v>Краснодар</v>
      </c>
      <c r="B1362" s="1" t="s">
        <v>31</v>
      </c>
      <c r="C1362" s="2">
        <v>46005</v>
      </c>
      <c r="D1362" s="2" t="str">
        <f>CHOOSE(MONTH(branches[[#This Row],[Дата]]),"Январь","Февраль","Март","Апрель","Май","Июнь","Июль","Август","Сентябрь","Октябрь","Ноябрь","Декабрь")&amp;" "&amp;YEAR(branches[[#This Row],[Дата]])</f>
        <v>Декабрь 2025</v>
      </c>
      <c r="E1362" t="s">
        <v>26</v>
      </c>
      <c r="F1362" t="s">
        <v>9</v>
      </c>
      <c r="G1362">
        <v>2</v>
      </c>
      <c r="H1362">
        <v>452</v>
      </c>
      <c r="I1362" t="s">
        <v>35</v>
      </c>
      <c r="J1362" t="str">
        <f>_xlfn.XLOOKUP(branches[[#This Row],[Филиал]], tbl_Filialy[Филиал], tbl_Filialy[Менеджер])</f>
        <v>Павел Ткаченко</v>
      </c>
    </row>
    <row r="1363" spans="1:10" x14ac:dyDescent="0.3">
      <c r="A1363" t="str">
        <f>_xlfn.XLOOKUP(branches[[#This Row],[Филиал]], tbl_Filialy[Филиал], tbl_Filialy[Город])</f>
        <v>Краснодар</v>
      </c>
      <c r="B1363" s="1" t="s">
        <v>31</v>
      </c>
      <c r="C1363" s="2">
        <v>45836</v>
      </c>
      <c r="D1363" s="2" t="str">
        <f>CHOOSE(MONTH(branches[[#This Row],[Дата]]),"Январь","Февраль","Март","Апрель","Май","Июнь","Июль","Август","Сентябрь","Октябрь","Ноябрь","Декабрь")&amp;" "&amp;YEAR(branches[[#This Row],[Дата]])</f>
        <v>Июнь 2025</v>
      </c>
      <c r="E1363" t="s">
        <v>25</v>
      </c>
      <c r="F1363" t="s">
        <v>12</v>
      </c>
      <c r="G1363">
        <v>1</v>
      </c>
      <c r="H1363">
        <v>245</v>
      </c>
      <c r="I1363" t="s">
        <v>32</v>
      </c>
      <c r="J1363" t="str">
        <f>_xlfn.XLOOKUP(branches[[#This Row],[Филиал]], tbl_Filialy[Филиал], tbl_Filialy[Менеджер])</f>
        <v>Павел Ткаченко</v>
      </c>
    </row>
    <row r="1364" spans="1:10" x14ac:dyDescent="0.3">
      <c r="A1364" t="str">
        <f>_xlfn.XLOOKUP(branches[[#This Row],[Филиал]], tbl_Filialy[Филиал], tbl_Filialy[Город])</f>
        <v>Краснодар</v>
      </c>
      <c r="B1364" s="1" t="s">
        <v>31</v>
      </c>
      <c r="C1364" s="2">
        <v>45761</v>
      </c>
      <c r="D1364" s="2" t="str">
        <f>CHOOSE(MONTH(branches[[#This Row],[Дата]]),"Январь","Февраль","Март","Апрель","Май","Июнь","Июль","Август","Сентябрь","Октябрь","Ноябрь","Декабрь")&amp;" "&amp;YEAR(branches[[#This Row],[Дата]])</f>
        <v>Апрель 2025</v>
      </c>
      <c r="E1364" t="s">
        <v>26</v>
      </c>
      <c r="F1364" t="s">
        <v>9</v>
      </c>
      <c r="G1364">
        <v>1</v>
      </c>
      <c r="H1364">
        <v>215</v>
      </c>
      <c r="I1364" t="s">
        <v>33</v>
      </c>
      <c r="J1364" t="str">
        <f>_xlfn.XLOOKUP(branches[[#This Row],[Филиал]], tbl_Filialy[Филиал], tbl_Filialy[Менеджер])</f>
        <v>Павел Ткаченко</v>
      </c>
    </row>
    <row r="1365" spans="1:10" x14ac:dyDescent="0.3">
      <c r="A1365" t="str">
        <f>_xlfn.XLOOKUP(branches[[#This Row],[Филиал]], tbl_Filialy[Филиал], tbl_Filialy[Город])</f>
        <v>Краснодар</v>
      </c>
      <c r="B1365" s="1" t="s">
        <v>31</v>
      </c>
      <c r="C1365" s="2">
        <v>45848</v>
      </c>
      <c r="D1365" s="2" t="str">
        <f>CHOOSE(MONTH(branches[[#This Row],[Дата]]),"Январь","Февраль","Март","Апрель","Май","Июнь","Июль","Август","Сентябрь","Октябрь","Ноябрь","Декабрь")&amp;" "&amp;YEAR(branches[[#This Row],[Дата]])</f>
        <v>Июль 2025</v>
      </c>
      <c r="E1365" t="s">
        <v>8</v>
      </c>
      <c r="F1365" t="s">
        <v>9</v>
      </c>
      <c r="G1365">
        <v>2</v>
      </c>
      <c r="H1365">
        <v>444</v>
      </c>
      <c r="I1365" t="s">
        <v>32</v>
      </c>
      <c r="J1365" t="str">
        <f>_xlfn.XLOOKUP(branches[[#This Row],[Филиал]], tbl_Filialy[Филиал], tbl_Filialy[Менеджер])</f>
        <v>Павел Ткаченко</v>
      </c>
    </row>
    <row r="1366" spans="1:10" x14ac:dyDescent="0.3">
      <c r="A1366" t="str">
        <f>_xlfn.XLOOKUP(branches[[#This Row],[Филиал]], tbl_Filialy[Филиал], tbl_Filialy[Город])</f>
        <v>Краснодар</v>
      </c>
      <c r="B1366" s="1" t="s">
        <v>31</v>
      </c>
      <c r="C1366" s="2">
        <v>45891</v>
      </c>
      <c r="D1366" s="2" t="str">
        <f>CHOOSE(MONTH(branches[[#This Row],[Дата]]),"Январь","Февраль","Март","Апрель","Май","Июнь","Июль","Август","Сентябрь","Октябрь","Ноябрь","Декабрь")&amp;" "&amp;YEAR(branches[[#This Row],[Дата]])</f>
        <v>Август 2025</v>
      </c>
      <c r="E1366" t="s">
        <v>14</v>
      </c>
      <c r="F1366" t="s">
        <v>12</v>
      </c>
      <c r="G1366">
        <v>2</v>
      </c>
      <c r="H1366">
        <v>470</v>
      </c>
      <c r="I1366" t="s">
        <v>32</v>
      </c>
      <c r="J1366" t="str">
        <f>_xlfn.XLOOKUP(branches[[#This Row],[Филиал]], tbl_Filialy[Филиал], tbl_Filialy[Менеджер])</f>
        <v>Павел Ткаченко</v>
      </c>
    </row>
    <row r="1367" spans="1:10" x14ac:dyDescent="0.3">
      <c r="A1367" t="str">
        <f>_xlfn.XLOOKUP(branches[[#This Row],[Филиал]], tbl_Filialy[Филиал], tbl_Filialy[Город])</f>
        <v>Краснодар</v>
      </c>
      <c r="B1367" s="1" t="s">
        <v>31</v>
      </c>
      <c r="C1367" s="2">
        <v>45853</v>
      </c>
      <c r="D1367" s="2" t="str">
        <f>CHOOSE(MONTH(branches[[#This Row],[Дата]]),"Январь","Февраль","Март","Апрель","Май","Июнь","Июль","Август","Сентябрь","Октябрь","Ноябрь","Декабрь")&amp;" "&amp;YEAR(branches[[#This Row],[Дата]])</f>
        <v>Июль 2025</v>
      </c>
      <c r="E1367" t="s">
        <v>25</v>
      </c>
      <c r="F1367" t="s">
        <v>12</v>
      </c>
      <c r="G1367">
        <v>3</v>
      </c>
      <c r="H1367">
        <v>591</v>
      </c>
      <c r="I1367" t="s">
        <v>35</v>
      </c>
      <c r="J1367" t="str">
        <f>_xlfn.XLOOKUP(branches[[#This Row],[Филиал]], tbl_Filialy[Филиал], tbl_Filialy[Менеджер])</f>
        <v>Павел Ткаченко</v>
      </c>
    </row>
    <row r="1368" spans="1:10" x14ac:dyDescent="0.3">
      <c r="A1368" t="str">
        <f>_xlfn.XLOOKUP(branches[[#This Row],[Филиал]], tbl_Filialy[Филиал], tbl_Filialy[Город])</f>
        <v>Краснодар</v>
      </c>
      <c r="B1368" s="1" t="s">
        <v>31</v>
      </c>
      <c r="C1368" s="2">
        <v>45849</v>
      </c>
      <c r="D1368" s="2" t="str">
        <f>CHOOSE(MONTH(branches[[#This Row],[Дата]]),"Январь","Февраль","Март","Апрель","Май","Июнь","Июль","Август","Сентябрь","Октябрь","Ноябрь","Декабрь")&amp;" "&amp;YEAR(branches[[#This Row],[Дата]])</f>
        <v>Июль 2025</v>
      </c>
      <c r="E1368" t="s">
        <v>25</v>
      </c>
      <c r="F1368" t="s">
        <v>12</v>
      </c>
      <c r="G1368">
        <v>2</v>
      </c>
      <c r="H1368">
        <v>482</v>
      </c>
      <c r="I1368" t="s">
        <v>13</v>
      </c>
      <c r="J1368" t="str">
        <f>_xlfn.XLOOKUP(branches[[#This Row],[Филиал]], tbl_Filialy[Филиал], tbl_Filialy[Менеджер])</f>
        <v>Павел Ткаченко</v>
      </c>
    </row>
    <row r="1369" spans="1:10" x14ac:dyDescent="0.3">
      <c r="A1369" t="str">
        <f>_xlfn.XLOOKUP(branches[[#This Row],[Филиал]], tbl_Filialy[Филиал], tbl_Filialy[Город])</f>
        <v>Краснодар</v>
      </c>
      <c r="B1369" s="1" t="s">
        <v>31</v>
      </c>
      <c r="C1369" s="2">
        <v>45831</v>
      </c>
      <c r="D1369" s="2" t="str">
        <f>CHOOSE(MONTH(branches[[#This Row],[Дата]]),"Январь","Февраль","Март","Апрель","Май","Июнь","Июль","Август","Сентябрь","Октябрь","Ноябрь","Декабрь")&amp;" "&amp;YEAR(branches[[#This Row],[Дата]])</f>
        <v>Июнь 2025</v>
      </c>
      <c r="E1369" t="s">
        <v>11</v>
      </c>
      <c r="F1369" t="s">
        <v>12</v>
      </c>
      <c r="G1369">
        <v>3</v>
      </c>
      <c r="H1369">
        <v>582</v>
      </c>
      <c r="I1369" t="s">
        <v>34</v>
      </c>
      <c r="J1369" t="str">
        <f>_xlfn.XLOOKUP(branches[[#This Row],[Филиал]], tbl_Filialy[Филиал], tbl_Filialy[Менеджер])</f>
        <v>Павел Ткаченко</v>
      </c>
    </row>
    <row r="1370" spans="1:10" x14ac:dyDescent="0.3">
      <c r="A1370" t="str">
        <f>_xlfn.XLOOKUP(branches[[#This Row],[Филиал]], tbl_Filialy[Филиал], tbl_Filialy[Город])</f>
        <v>Краснодар</v>
      </c>
      <c r="B1370" s="1" t="s">
        <v>31</v>
      </c>
      <c r="C1370" s="2">
        <v>45994</v>
      </c>
      <c r="D1370" s="2" t="str">
        <f>CHOOSE(MONTH(branches[[#This Row],[Дата]]),"Январь","Февраль","Март","Апрель","Май","Июнь","Июль","Август","Сентябрь","Октябрь","Ноябрь","Декабрь")&amp;" "&amp;YEAR(branches[[#This Row],[Дата]])</f>
        <v>Декабрь 2025</v>
      </c>
      <c r="E1370" t="s">
        <v>11</v>
      </c>
      <c r="F1370" t="s">
        <v>12</v>
      </c>
      <c r="G1370">
        <v>3</v>
      </c>
      <c r="H1370">
        <v>522</v>
      </c>
      <c r="I1370" t="s">
        <v>32</v>
      </c>
      <c r="J1370" t="str">
        <f>_xlfn.XLOOKUP(branches[[#This Row],[Филиал]], tbl_Filialy[Филиал], tbl_Filialy[Менеджер])</f>
        <v>Павел Ткаченко</v>
      </c>
    </row>
    <row r="1371" spans="1:10" x14ac:dyDescent="0.3">
      <c r="A1371" t="str">
        <f>_xlfn.XLOOKUP(branches[[#This Row],[Филиал]], tbl_Filialy[Филиал], tbl_Filialy[Город])</f>
        <v>Краснодар</v>
      </c>
      <c r="B1371" s="1" t="s">
        <v>31</v>
      </c>
      <c r="C1371" s="2">
        <v>45879</v>
      </c>
      <c r="D1371" s="2" t="str">
        <f>CHOOSE(MONTH(branches[[#This Row],[Дата]]),"Январь","Февраль","Март","Апрель","Май","Июнь","Июль","Август","Сентябрь","Октябрь","Ноябрь","Декабрь")&amp;" "&amp;YEAR(branches[[#This Row],[Дата]])</f>
        <v>Август 2025</v>
      </c>
      <c r="E1371" t="s">
        <v>27</v>
      </c>
      <c r="F1371" t="s">
        <v>12</v>
      </c>
      <c r="G1371">
        <v>1</v>
      </c>
      <c r="H1371">
        <v>183</v>
      </c>
      <c r="I1371" t="s">
        <v>35</v>
      </c>
      <c r="J1371" t="str">
        <f>_xlfn.XLOOKUP(branches[[#This Row],[Филиал]], tbl_Filialy[Филиал], tbl_Filialy[Менеджер])</f>
        <v>Павел Ткаченко</v>
      </c>
    </row>
    <row r="1372" spans="1:10" x14ac:dyDescent="0.3">
      <c r="A1372" t="str">
        <f>_xlfn.XLOOKUP(branches[[#This Row],[Филиал]], tbl_Filialy[Филиал], tbl_Filialy[Город])</f>
        <v>Краснодар</v>
      </c>
      <c r="B1372" s="1" t="s">
        <v>31</v>
      </c>
      <c r="C1372" s="2">
        <v>45699</v>
      </c>
      <c r="D1372" s="2" t="str">
        <f>CHOOSE(MONTH(branches[[#This Row],[Дата]]),"Январь","Февраль","Март","Апрель","Май","Июнь","Июль","Август","Сентябрь","Октябрь","Ноябрь","Декабрь")&amp;" "&amp;YEAR(branches[[#This Row],[Дата]])</f>
        <v>Февраль 2025</v>
      </c>
      <c r="E1372" t="s">
        <v>26</v>
      </c>
      <c r="F1372" t="s">
        <v>9</v>
      </c>
      <c r="G1372">
        <v>1</v>
      </c>
      <c r="H1372">
        <v>193</v>
      </c>
      <c r="I1372" t="s">
        <v>32</v>
      </c>
      <c r="J1372" t="str">
        <f>_xlfn.XLOOKUP(branches[[#This Row],[Филиал]], tbl_Filialy[Филиал], tbl_Filialy[Менеджер])</f>
        <v>Павел Ткаченко</v>
      </c>
    </row>
    <row r="1373" spans="1:10" x14ac:dyDescent="0.3">
      <c r="A1373" t="str">
        <f>_xlfn.XLOOKUP(branches[[#This Row],[Филиал]], tbl_Filialy[Филиал], tbl_Filialy[Город])</f>
        <v>Краснодар</v>
      </c>
      <c r="B1373" s="1" t="s">
        <v>31</v>
      </c>
      <c r="C1373" s="2">
        <v>45952</v>
      </c>
      <c r="D1373" s="2" t="str">
        <f>CHOOSE(MONTH(branches[[#This Row],[Дата]]),"Январь","Февраль","Март","Апрель","Май","Июнь","Июль","Август","Сентябрь","Октябрь","Ноябрь","Декабрь")&amp;" "&amp;YEAR(branches[[#This Row],[Дата]])</f>
        <v>Октябрь 2025</v>
      </c>
      <c r="E1373" t="s">
        <v>27</v>
      </c>
      <c r="F1373" t="s">
        <v>12</v>
      </c>
      <c r="G1373">
        <v>2</v>
      </c>
      <c r="H1373">
        <v>382</v>
      </c>
      <c r="I1373" t="s">
        <v>33</v>
      </c>
      <c r="J1373" t="str">
        <f>_xlfn.XLOOKUP(branches[[#This Row],[Филиал]], tbl_Filialy[Филиал], tbl_Filialy[Менеджер])</f>
        <v>Павел Ткаченко</v>
      </c>
    </row>
    <row r="1374" spans="1:10" x14ac:dyDescent="0.3">
      <c r="A1374" t="str">
        <f>_xlfn.XLOOKUP(branches[[#This Row],[Филиал]], tbl_Filialy[Филиал], tbl_Filialy[Город])</f>
        <v>Краснодар</v>
      </c>
      <c r="B1374" s="1" t="s">
        <v>31</v>
      </c>
      <c r="C1374" s="2">
        <v>45830</v>
      </c>
      <c r="D1374" s="2" t="str">
        <f>CHOOSE(MONTH(branches[[#This Row],[Дата]]),"Январь","Февраль","Март","Апрель","Май","Июнь","Июль","Август","Сентябрь","Октябрь","Ноябрь","Декабрь")&amp;" "&amp;YEAR(branches[[#This Row],[Дата]])</f>
        <v>Июнь 2025</v>
      </c>
      <c r="E1374" t="s">
        <v>14</v>
      </c>
      <c r="F1374" t="s">
        <v>12</v>
      </c>
      <c r="G1374">
        <v>1</v>
      </c>
      <c r="H1374">
        <v>273</v>
      </c>
      <c r="I1374" t="s">
        <v>35</v>
      </c>
      <c r="J1374" t="str">
        <f>_xlfn.XLOOKUP(branches[[#This Row],[Филиал]], tbl_Filialy[Филиал], tbl_Filialy[Менеджер])</f>
        <v>Павел Ткаченко</v>
      </c>
    </row>
    <row r="1375" spans="1:10" x14ac:dyDescent="0.3">
      <c r="A1375" t="str">
        <f>_xlfn.XLOOKUP(branches[[#This Row],[Филиал]], tbl_Filialy[Филиал], tbl_Filialy[Город])</f>
        <v>Краснодар</v>
      </c>
      <c r="B1375" s="1" t="s">
        <v>31</v>
      </c>
      <c r="C1375" s="2">
        <v>46013</v>
      </c>
      <c r="D1375" s="2" t="str">
        <f>CHOOSE(MONTH(branches[[#This Row],[Дата]]),"Январь","Февраль","Март","Апрель","Май","Июнь","Июль","Август","Сентябрь","Октябрь","Ноябрь","Декабрь")&amp;" "&amp;YEAR(branches[[#This Row],[Дата]])</f>
        <v>Декабрь 2025</v>
      </c>
      <c r="E1375" t="s">
        <v>26</v>
      </c>
      <c r="F1375" t="s">
        <v>9</v>
      </c>
      <c r="G1375">
        <v>1</v>
      </c>
      <c r="H1375">
        <v>219</v>
      </c>
      <c r="I1375" t="s">
        <v>13</v>
      </c>
      <c r="J1375" t="str">
        <f>_xlfn.XLOOKUP(branches[[#This Row],[Филиал]], tbl_Filialy[Филиал], tbl_Filialy[Менеджер])</f>
        <v>Павел Ткаченко</v>
      </c>
    </row>
    <row r="1376" spans="1:10" x14ac:dyDescent="0.3">
      <c r="A1376" t="str">
        <f>_xlfn.XLOOKUP(branches[[#This Row],[Филиал]], tbl_Filialy[Филиал], tbl_Filialy[Город])</f>
        <v>Краснодар</v>
      </c>
      <c r="B1376" s="1" t="s">
        <v>31</v>
      </c>
      <c r="C1376" s="2">
        <v>45910</v>
      </c>
      <c r="D1376" s="2" t="str">
        <f>CHOOSE(MONTH(branches[[#This Row],[Дата]]),"Январь","Февраль","Март","Апрель","Май","Июнь","Июль","Август","Сентябрь","Октябрь","Ноябрь","Декабрь")&amp;" "&amp;YEAR(branches[[#This Row],[Дата]])</f>
        <v>Сентябрь 2025</v>
      </c>
      <c r="E1376" t="s">
        <v>26</v>
      </c>
      <c r="F1376" t="s">
        <v>9</v>
      </c>
      <c r="G1376">
        <v>2</v>
      </c>
      <c r="H1376">
        <v>414</v>
      </c>
      <c r="I1376" t="s">
        <v>35</v>
      </c>
      <c r="J1376" t="str">
        <f>_xlfn.XLOOKUP(branches[[#This Row],[Филиал]], tbl_Filialy[Филиал], tbl_Filialy[Менеджер])</f>
        <v>Павел Ткаченко</v>
      </c>
    </row>
    <row r="1377" spans="1:10" x14ac:dyDescent="0.3">
      <c r="A1377" t="str">
        <f>_xlfn.XLOOKUP(branches[[#This Row],[Филиал]], tbl_Filialy[Филиал], tbl_Filialy[Город])</f>
        <v>Краснодар</v>
      </c>
      <c r="B1377" s="1" t="s">
        <v>31</v>
      </c>
      <c r="C1377" s="2">
        <v>45894</v>
      </c>
      <c r="D1377" s="2" t="str">
        <f>CHOOSE(MONTH(branches[[#This Row],[Дата]]),"Январь","Февраль","Март","Апрель","Май","Июнь","Июль","Август","Сентябрь","Октябрь","Ноябрь","Декабрь")&amp;" "&amp;YEAR(branches[[#This Row],[Дата]])</f>
        <v>Август 2025</v>
      </c>
      <c r="E1377" t="s">
        <v>28</v>
      </c>
      <c r="F1377" t="s">
        <v>12</v>
      </c>
      <c r="G1377">
        <v>1</v>
      </c>
      <c r="H1377">
        <v>216</v>
      </c>
      <c r="I1377" t="s">
        <v>32</v>
      </c>
      <c r="J1377" t="str">
        <f>_xlfn.XLOOKUP(branches[[#This Row],[Филиал]], tbl_Filialy[Филиал], tbl_Filialy[Менеджер])</f>
        <v>Павел Ткаченко</v>
      </c>
    </row>
    <row r="1378" spans="1:10" x14ac:dyDescent="0.3">
      <c r="A1378" t="str">
        <f>_xlfn.XLOOKUP(branches[[#This Row],[Филиал]], tbl_Filialy[Филиал], tbl_Filialy[Город])</f>
        <v>Краснодар</v>
      </c>
      <c r="B1378" s="1" t="s">
        <v>31</v>
      </c>
      <c r="C1378" s="2">
        <v>45753</v>
      </c>
      <c r="D1378" s="2" t="str">
        <f>CHOOSE(MONTH(branches[[#This Row],[Дата]]),"Январь","Февраль","Март","Апрель","Май","Июнь","Июль","Август","Сентябрь","Октябрь","Ноябрь","Декабрь")&amp;" "&amp;YEAR(branches[[#This Row],[Дата]])</f>
        <v>Апрель 2025</v>
      </c>
      <c r="E1378" t="s">
        <v>18</v>
      </c>
      <c r="F1378" t="s">
        <v>12</v>
      </c>
      <c r="G1378">
        <v>2</v>
      </c>
      <c r="H1378">
        <v>278</v>
      </c>
      <c r="I1378" t="s">
        <v>34</v>
      </c>
      <c r="J1378" t="str">
        <f>_xlfn.XLOOKUP(branches[[#This Row],[Филиал]], tbl_Filialy[Филиал], tbl_Filialy[Менеджер])</f>
        <v>Павел Ткаченко</v>
      </c>
    </row>
    <row r="1379" spans="1:10" x14ac:dyDescent="0.3">
      <c r="A1379" t="str">
        <f>_xlfn.XLOOKUP(branches[[#This Row],[Филиал]], tbl_Filialy[Филиал], tbl_Filialy[Город])</f>
        <v>Краснодар</v>
      </c>
      <c r="B1379" s="1" t="s">
        <v>31</v>
      </c>
      <c r="C1379" s="2">
        <v>45933</v>
      </c>
      <c r="D1379" s="2" t="str">
        <f>CHOOSE(MONTH(branches[[#This Row],[Дата]]),"Январь","Февраль","Март","Апрель","Май","Июнь","Июль","Август","Сентябрь","Октябрь","Ноябрь","Декабрь")&amp;" "&amp;YEAR(branches[[#This Row],[Дата]])</f>
        <v>Октябрь 2025</v>
      </c>
      <c r="E1379" t="s">
        <v>18</v>
      </c>
      <c r="F1379" t="s">
        <v>12</v>
      </c>
      <c r="G1379">
        <v>3</v>
      </c>
      <c r="H1379">
        <v>480</v>
      </c>
      <c r="I1379" t="s">
        <v>34</v>
      </c>
      <c r="J1379" t="str">
        <f>_xlfn.XLOOKUP(branches[[#This Row],[Филиал]], tbl_Filialy[Филиал], tbl_Filialy[Менеджер])</f>
        <v>Павел Ткаченко</v>
      </c>
    </row>
    <row r="1380" spans="1:10" x14ac:dyDescent="0.3">
      <c r="A1380" t="str">
        <f>_xlfn.XLOOKUP(branches[[#This Row],[Филиал]], tbl_Filialy[Филиал], tbl_Filialy[Город])</f>
        <v>Краснодар</v>
      </c>
      <c r="B1380" s="1" t="s">
        <v>31</v>
      </c>
      <c r="C1380" s="2">
        <v>45819</v>
      </c>
      <c r="D1380" s="2" t="str">
        <f>CHOOSE(MONTH(branches[[#This Row],[Дата]]),"Январь","Февраль","Март","Апрель","Май","Июнь","Июль","Август","Сентябрь","Октябрь","Ноябрь","Декабрь")&amp;" "&amp;YEAR(branches[[#This Row],[Дата]])</f>
        <v>Июнь 2025</v>
      </c>
      <c r="E1380" t="s">
        <v>14</v>
      </c>
      <c r="F1380" t="s">
        <v>12</v>
      </c>
      <c r="G1380">
        <v>1</v>
      </c>
      <c r="H1380">
        <v>274</v>
      </c>
      <c r="I1380" t="s">
        <v>34</v>
      </c>
      <c r="J1380" t="str">
        <f>_xlfn.XLOOKUP(branches[[#This Row],[Филиал]], tbl_Filialy[Филиал], tbl_Filialy[Менеджер])</f>
        <v>Павел Ткаченко</v>
      </c>
    </row>
    <row r="1381" spans="1:10" x14ac:dyDescent="0.3">
      <c r="A1381" t="str">
        <f>_xlfn.XLOOKUP(branches[[#This Row],[Филиал]], tbl_Filialy[Филиал], tbl_Filialy[Город])</f>
        <v>Краснодар</v>
      </c>
      <c r="B1381" s="1" t="s">
        <v>31</v>
      </c>
      <c r="C1381" s="2">
        <v>45834</v>
      </c>
      <c r="D1381" s="2" t="str">
        <f>CHOOSE(MONTH(branches[[#This Row],[Дата]]),"Январь","Февраль","Март","Апрель","Май","Июнь","Июль","Август","Сентябрь","Октябрь","Ноябрь","Декабрь")&amp;" "&amp;YEAR(branches[[#This Row],[Дата]])</f>
        <v>Июнь 2025</v>
      </c>
      <c r="E1381" t="s">
        <v>14</v>
      </c>
      <c r="F1381" t="s">
        <v>12</v>
      </c>
      <c r="G1381">
        <v>1</v>
      </c>
      <c r="H1381">
        <v>269</v>
      </c>
      <c r="I1381" t="s">
        <v>13</v>
      </c>
      <c r="J1381" t="str">
        <f>_xlfn.XLOOKUP(branches[[#This Row],[Филиал]], tbl_Filialy[Филиал], tbl_Filialy[Менеджер])</f>
        <v>Павел Ткаченко</v>
      </c>
    </row>
    <row r="1382" spans="1:10" x14ac:dyDescent="0.3">
      <c r="A1382" t="str">
        <f>_xlfn.XLOOKUP(branches[[#This Row],[Филиал]], tbl_Filialy[Филиал], tbl_Filialy[Город])</f>
        <v>Краснодар</v>
      </c>
      <c r="B1382" s="1" t="s">
        <v>31</v>
      </c>
      <c r="C1382" s="2">
        <v>45786</v>
      </c>
      <c r="D1382" s="2" t="str">
        <f>CHOOSE(MONTH(branches[[#This Row],[Дата]]),"Январь","Февраль","Март","Апрель","Май","Июнь","Июль","Август","Сентябрь","Октябрь","Ноябрь","Декабрь")&amp;" "&amp;YEAR(branches[[#This Row],[Дата]])</f>
        <v>Май 2025</v>
      </c>
      <c r="E1382" t="s">
        <v>25</v>
      </c>
      <c r="F1382" t="s">
        <v>12</v>
      </c>
      <c r="G1382">
        <v>2</v>
      </c>
      <c r="H1382">
        <v>462</v>
      </c>
      <c r="I1382" t="s">
        <v>13</v>
      </c>
      <c r="J1382" t="str">
        <f>_xlfn.XLOOKUP(branches[[#This Row],[Филиал]], tbl_Filialy[Филиал], tbl_Filialy[Менеджер])</f>
        <v>Павел Ткаченко</v>
      </c>
    </row>
    <row r="1383" spans="1:10" x14ac:dyDescent="0.3">
      <c r="A1383" t="str">
        <f>_xlfn.XLOOKUP(branches[[#This Row],[Филиал]], tbl_Filialy[Филиал], tbl_Filialy[Город])</f>
        <v>Краснодар</v>
      </c>
      <c r="B1383" s="1" t="s">
        <v>31</v>
      </c>
      <c r="C1383" s="2">
        <v>45675</v>
      </c>
      <c r="D1383" s="2" t="str">
        <f>CHOOSE(MONTH(branches[[#This Row],[Дата]]),"Январь","Февраль","Март","Апрель","Май","Июнь","Июль","Август","Сентябрь","Октябрь","Ноябрь","Декабрь")&amp;" "&amp;YEAR(branches[[#This Row],[Дата]])</f>
        <v>Январь 2025</v>
      </c>
      <c r="E1383" t="s">
        <v>28</v>
      </c>
      <c r="F1383" t="s">
        <v>12</v>
      </c>
      <c r="G1383">
        <v>2</v>
      </c>
      <c r="H1383">
        <v>450</v>
      </c>
      <c r="I1383" t="s">
        <v>19</v>
      </c>
      <c r="J1383" t="str">
        <f>_xlfn.XLOOKUP(branches[[#This Row],[Филиал]], tbl_Filialy[Филиал], tbl_Filialy[Менеджер])</f>
        <v>Павел Ткаченко</v>
      </c>
    </row>
    <row r="1384" spans="1:10" x14ac:dyDescent="0.3">
      <c r="A1384" t="str">
        <f>_xlfn.XLOOKUP(branches[[#This Row],[Филиал]], tbl_Filialy[Филиал], tbl_Filialy[Город])</f>
        <v>Краснодар</v>
      </c>
      <c r="B1384" s="1" t="s">
        <v>31</v>
      </c>
      <c r="C1384" s="2">
        <v>45675</v>
      </c>
      <c r="D1384" s="2" t="str">
        <f>CHOOSE(MONTH(branches[[#This Row],[Дата]]),"Январь","Февраль","Март","Апрель","Май","Июнь","Июль","Август","Сентябрь","Октябрь","Ноябрь","Декабрь")&amp;" "&amp;YEAR(branches[[#This Row],[Дата]])</f>
        <v>Январь 2025</v>
      </c>
      <c r="E1384" t="s">
        <v>16</v>
      </c>
      <c r="F1384" t="s">
        <v>17</v>
      </c>
      <c r="G1384">
        <v>3</v>
      </c>
      <c r="H1384">
        <v>999</v>
      </c>
      <c r="I1384" t="s">
        <v>19</v>
      </c>
      <c r="J1384" t="str">
        <f>_xlfn.XLOOKUP(branches[[#This Row],[Филиал]], tbl_Filialy[Филиал], tbl_Filialy[Менеджер])</f>
        <v>Павел Ткаченко</v>
      </c>
    </row>
    <row r="1385" spans="1:10" x14ac:dyDescent="0.3">
      <c r="A1385" t="str">
        <f>_xlfn.XLOOKUP(branches[[#This Row],[Филиал]], tbl_Filialy[Филиал], tbl_Filialy[Город])</f>
        <v>Краснодар</v>
      </c>
      <c r="B1385" s="1" t="s">
        <v>31</v>
      </c>
      <c r="C1385" s="2">
        <v>46017</v>
      </c>
      <c r="D1385" s="2" t="str">
        <f>CHOOSE(MONTH(branches[[#This Row],[Дата]]),"Январь","Февраль","Март","Апрель","Май","Июнь","Июль","Август","Сентябрь","Октябрь","Ноябрь","Декабрь")&amp;" "&amp;YEAR(branches[[#This Row],[Дата]])</f>
        <v>Декабрь 2025</v>
      </c>
      <c r="E1385" t="s">
        <v>16</v>
      </c>
      <c r="F1385" t="s">
        <v>17</v>
      </c>
      <c r="G1385">
        <v>1</v>
      </c>
      <c r="H1385">
        <v>291</v>
      </c>
      <c r="I1385" t="s">
        <v>34</v>
      </c>
      <c r="J1385" t="str">
        <f>_xlfn.XLOOKUP(branches[[#This Row],[Филиал]], tbl_Filialy[Филиал], tbl_Filialy[Менеджер])</f>
        <v>Павел Ткаченко</v>
      </c>
    </row>
    <row r="1386" spans="1:10" x14ac:dyDescent="0.3">
      <c r="A1386" t="str">
        <f>_xlfn.XLOOKUP(branches[[#This Row],[Филиал]], tbl_Filialy[Филиал], tbl_Filialy[Город])</f>
        <v>Краснодар</v>
      </c>
      <c r="B1386" s="1" t="s">
        <v>31</v>
      </c>
      <c r="C1386" s="2">
        <v>45730</v>
      </c>
      <c r="D1386" s="2" t="str">
        <f>CHOOSE(MONTH(branches[[#This Row],[Дата]]),"Январь","Февраль","Март","Апрель","Май","Июнь","Июль","Август","Сентябрь","Октябрь","Ноябрь","Декабрь")&amp;" "&amp;YEAR(branches[[#This Row],[Дата]])</f>
        <v>Март 2025</v>
      </c>
      <c r="E1386" t="s">
        <v>25</v>
      </c>
      <c r="F1386" t="s">
        <v>12</v>
      </c>
      <c r="G1386">
        <v>2</v>
      </c>
      <c r="H1386">
        <v>392</v>
      </c>
      <c r="I1386" t="s">
        <v>19</v>
      </c>
      <c r="J1386" t="str">
        <f>_xlfn.XLOOKUP(branches[[#This Row],[Филиал]], tbl_Filialy[Филиал], tbl_Filialy[Менеджер])</f>
        <v>Павел Ткаченко</v>
      </c>
    </row>
    <row r="1387" spans="1:10" x14ac:dyDescent="0.3">
      <c r="A1387" t="str">
        <f>_xlfn.XLOOKUP(branches[[#This Row],[Филиал]], tbl_Filialy[Филиал], tbl_Filialy[Город])</f>
        <v>Краснодар</v>
      </c>
      <c r="B1387" s="1" t="s">
        <v>31</v>
      </c>
      <c r="C1387" s="2">
        <v>45864</v>
      </c>
      <c r="D1387" s="2" t="str">
        <f>CHOOSE(MONTH(branches[[#This Row],[Дата]]),"Январь","Февраль","Март","Апрель","Май","Июнь","Июль","Август","Сентябрь","Октябрь","Ноябрь","Декабрь")&amp;" "&amp;YEAR(branches[[#This Row],[Дата]])</f>
        <v>Июль 2025</v>
      </c>
      <c r="E1387" t="s">
        <v>28</v>
      </c>
      <c r="F1387" t="s">
        <v>12</v>
      </c>
      <c r="G1387">
        <v>2</v>
      </c>
      <c r="H1387">
        <v>498</v>
      </c>
      <c r="I1387" t="s">
        <v>33</v>
      </c>
      <c r="J1387" t="str">
        <f>_xlfn.XLOOKUP(branches[[#This Row],[Филиал]], tbl_Filialy[Филиал], tbl_Filialy[Менеджер])</f>
        <v>Павел Ткаченко</v>
      </c>
    </row>
    <row r="1388" spans="1:10" x14ac:dyDescent="0.3">
      <c r="A1388" t="str">
        <f>_xlfn.XLOOKUP(branches[[#This Row],[Филиал]], tbl_Filialy[Филиал], tbl_Filialy[Город])</f>
        <v>Краснодар</v>
      </c>
      <c r="B1388" s="1" t="s">
        <v>31</v>
      </c>
      <c r="C1388" s="2">
        <v>45662</v>
      </c>
      <c r="D1388" s="2" t="str">
        <f>CHOOSE(MONTH(branches[[#This Row],[Дата]]),"Январь","Февраль","Март","Апрель","Май","Июнь","Июль","Август","Сентябрь","Октябрь","Ноябрь","Декабрь")&amp;" "&amp;YEAR(branches[[#This Row],[Дата]])</f>
        <v>Январь 2025</v>
      </c>
      <c r="E1388" t="s">
        <v>26</v>
      </c>
      <c r="F1388" t="s">
        <v>9</v>
      </c>
      <c r="G1388">
        <v>2</v>
      </c>
      <c r="H1388">
        <v>440</v>
      </c>
      <c r="I1388" t="s">
        <v>32</v>
      </c>
      <c r="J1388" t="str">
        <f>_xlfn.XLOOKUP(branches[[#This Row],[Филиал]], tbl_Filialy[Филиал], tbl_Filialy[Менеджер])</f>
        <v>Павел Ткаченко</v>
      </c>
    </row>
    <row r="1389" spans="1:10" x14ac:dyDescent="0.3">
      <c r="A1389" t="str">
        <f>_xlfn.XLOOKUP(branches[[#This Row],[Филиал]], tbl_Filialy[Филиал], tbl_Filialy[Город])</f>
        <v>Краснодар</v>
      </c>
      <c r="B1389" s="1" t="s">
        <v>31</v>
      </c>
      <c r="C1389" s="2">
        <v>45972</v>
      </c>
      <c r="D1389" s="2" t="str">
        <f>CHOOSE(MONTH(branches[[#This Row],[Дата]]),"Январь","Февраль","Март","Апрель","Май","Июнь","Июль","Август","Сентябрь","Октябрь","Ноябрь","Декабрь")&amp;" "&amp;YEAR(branches[[#This Row],[Дата]])</f>
        <v>Ноябрь 2025</v>
      </c>
      <c r="E1389" t="s">
        <v>18</v>
      </c>
      <c r="F1389" t="s">
        <v>12</v>
      </c>
      <c r="G1389">
        <v>3</v>
      </c>
      <c r="H1389">
        <v>432</v>
      </c>
      <c r="I1389" t="s">
        <v>33</v>
      </c>
      <c r="J1389" t="str">
        <f>_xlfn.XLOOKUP(branches[[#This Row],[Филиал]], tbl_Filialy[Филиал], tbl_Filialy[Менеджер])</f>
        <v>Павел Ткаченко</v>
      </c>
    </row>
    <row r="1390" spans="1:10" x14ac:dyDescent="0.3">
      <c r="A1390" t="str">
        <f>_xlfn.XLOOKUP(branches[[#This Row],[Филиал]], tbl_Filialy[Филиал], tbl_Filialy[Город])</f>
        <v>Краснодар</v>
      </c>
      <c r="B1390" s="1" t="s">
        <v>31</v>
      </c>
      <c r="C1390" s="2">
        <v>45904</v>
      </c>
      <c r="D1390" s="2" t="str">
        <f>CHOOSE(MONTH(branches[[#This Row],[Дата]]),"Январь","Февраль","Март","Апрель","Май","Июнь","Июль","Август","Сентябрь","Октябрь","Ноябрь","Декабрь")&amp;" "&amp;YEAR(branches[[#This Row],[Дата]])</f>
        <v>Сентябрь 2025</v>
      </c>
      <c r="E1390" t="s">
        <v>27</v>
      </c>
      <c r="F1390" t="s">
        <v>12</v>
      </c>
      <c r="G1390">
        <v>1</v>
      </c>
      <c r="H1390">
        <v>216</v>
      </c>
      <c r="I1390" t="s">
        <v>13</v>
      </c>
      <c r="J1390" t="str">
        <f>_xlfn.XLOOKUP(branches[[#This Row],[Филиал]], tbl_Filialy[Филиал], tbl_Filialy[Менеджер])</f>
        <v>Павел Ткаченко</v>
      </c>
    </row>
    <row r="1391" spans="1:10" x14ac:dyDescent="0.3">
      <c r="A1391" t="str">
        <f>_xlfn.XLOOKUP(branches[[#This Row],[Филиал]], tbl_Filialy[Филиал], tbl_Filialy[Город])</f>
        <v>Краснодар</v>
      </c>
      <c r="B1391" s="1" t="s">
        <v>31</v>
      </c>
      <c r="C1391" s="2">
        <v>45708</v>
      </c>
      <c r="D1391" s="2" t="str">
        <f>CHOOSE(MONTH(branches[[#This Row],[Дата]]),"Январь","Февраль","Март","Апрель","Май","Июнь","Июль","Август","Сентябрь","Октябрь","Ноябрь","Декабрь")&amp;" "&amp;YEAR(branches[[#This Row],[Дата]])</f>
        <v>Февраль 2025</v>
      </c>
      <c r="E1391" t="s">
        <v>25</v>
      </c>
      <c r="F1391" t="s">
        <v>12</v>
      </c>
      <c r="G1391">
        <v>3</v>
      </c>
      <c r="H1391">
        <v>696</v>
      </c>
      <c r="I1391" t="s">
        <v>32</v>
      </c>
      <c r="J1391" t="str">
        <f>_xlfn.XLOOKUP(branches[[#This Row],[Филиал]], tbl_Filialy[Филиал], tbl_Filialy[Менеджер])</f>
        <v>Павел Ткаченко</v>
      </c>
    </row>
    <row r="1392" spans="1:10" x14ac:dyDescent="0.3">
      <c r="A1392" t="str">
        <f>_xlfn.XLOOKUP(branches[[#This Row],[Филиал]], tbl_Filialy[Филиал], tbl_Filialy[Город])</f>
        <v>Краснодар</v>
      </c>
      <c r="B1392" s="1" t="s">
        <v>31</v>
      </c>
      <c r="C1392" s="2">
        <v>45948</v>
      </c>
      <c r="D1392" s="2" t="str">
        <f>CHOOSE(MONTH(branches[[#This Row],[Дата]]),"Январь","Февраль","Март","Апрель","Май","Июнь","Июль","Август","Сентябрь","Октябрь","Ноябрь","Декабрь")&amp;" "&amp;YEAR(branches[[#This Row],[Дата]])</f>
        <v>Октябрь 2025</v>
      </c>
      <c r="E1392" t="s">
        <v>22</v>
      </c>
      <c r="F1392" t="s">
        <v>9</v>
      </c>
      <c r="G1392">
        <v>1</v>
      </c>
      <c r="H1392">
        <v>198</v>
      </c>
      <c r="I1392" t="s">
        <v>35</v>
      </c>
      <c r="J1392" t="str">
        <f>_xlfn.XLOOKUP(branches[[#This Row],[Филиал]], tbl_Filialy[Филиал], tbl_Filialy[Менеджер])</f>
        <v>Павел Ткаченко</v>
      </c>
    </row>
    <row r="1393" spans="1:10" x14ac:dyDescent="0.3">
      <c r="A1393" t="str">
        <f>_xlfn.XLOOKUP(branches[[#This Row],[Филиал]], tbl_Filialy[Филиал], tbl_Filialy[Город])</f>
        <v>Краснодар</v>
      </c>
      <c r="B1393" s="1" t="s">
        <v>31</v>
      </c>
      <c r="C1393" s="2">
        <v>45800</v>
      </c>
      <c r="D1393" s="2" t="str">
        <f>CHOOSE(MONTH(branches[[#This Row],[Дата]]),"Январь","Февраль","Март","Апрель","Май","Июнь","Июль","Август","Сентябрь","Октябрь","Ноябрь","Декабрь")&amp;" "&amp;YEAR(branches[[#This Row],[Дата]])</f>
        <v>Май 2025</v>
      </c>
      <c r="E1393" t="s">
        <v>27</v>
      </c>
      <c r="F1393" t="s">
        <v>12</v>
      </c>
      <c r="G1393">
        <v>1</v>
      </c>
      <c r="H1393">
        <v>218</v>
      </c>
      <c r="I1393" t="s">
        <v>19</v>
      </c>
      <c r="J1393" t="str">
        <f>_xlfn.XLOOKUP(branches[[#This Row],[Филиал]], tbl_Filialy[Филиал], tbl_Filialy[Менеджер])</f>
        <v>Павел Ткаченко</v>
      </c>
    </row>
    <row r="1394" spans="1:10" x14ac:dyDescent="0.3">
      <c r="A1394" t="str">
        <f>_xlfn.XLOOKUP(branches[[#This Row],[Филиал]], tbl_Filialy[Филиал], tbl_Filialy[Город])</f>
        <v>Краснодар</v>
      </c>
      <c r="B1394" s="1" t="s">
        <v>31</v>
      </c>
      <c r="C1394" s="2">
        <v>45926</v>
      </c>
      <c r="D1394" s="2" t="str">
        <f>CHOOSE(MONTH(branches[[#This Row],[Дата]]),"Январь","Февраль","Март","Апрель","Май","Июнь","Июль","Август","Сентябрь","Октябрь","Ноябрь","Декабрь")&amp;" "&amp;YEAR(branches[[#This Row],[Дата]])</f>
        <v>Сентябрь 2025</v>
      </c>
      <c r="E1394" t="s">
        <v>14</v>
      </c>
      <c r="F1394" t="s">
        <v>12</v>
      </c>
      <c r="G1394">
        <v>3</v>
      </c>
      <c r="H1394">
        <v>789</v>
      </c>
      <c r="I1394" t="s">
        <v>32</v>
      </c>
      <c r="J1394" t="str">
        <f>_xlfn.XLOOKUP(branches[[#This Row],[Филиал]], tbl_Filialy[Филиал], tbl_Filialy[Менеджер])</f>
        <v>Павел Ткаченко</v>
      </c>
    </row>
    <row r="1395" spans="1:10" x14ac:dyDescent="0.3">
      <c r="A1395" t="str">
        <f>_xlfn.XLOOKUP(branches[[#This Row],[Филиал]], tbl_Filialy[Филиал], tbl_Filialy[Город])</f>
        <v>Краснодар</v>
      </c>
      <c r="B1395" s="1" t="s">
        <v>31</v>
      </c>
      <c r="C1395" s="2">
        <v>45804</v>
      </c>
      <c r="D1395" s="2" t="str">
        <f>CHOOSE(MONTH(branches[[#This Row],[Дата]]),"Январь","Февраль","Март","Апрель","Май","Июнь","Июль","Август","Сентябрь","Октябрь","Ноябрь","Декабрь")&amp;" "&amp;YEAR(branches[[#This Row],[Дата]])</f>
        <v>Май 2025</v>
      </c>
      <c r="E1395" t="s">
        <v>11</v>
      </c>
      <c r="F1395" t="s">
        <v>12</v>
      </c>
      <c r="G1395">
        <v>1</v>
      </c>
      <c r="H1395">
        <v>183</v>
      </c>
      <c r="I1395" t="s">
        <v>32</v>
      </c>
      <c r="J1395" t="str">
        <f>_xlfn.XLOOKUP(branches[[#This Row],[Филиал]], tbl_Filialy[Филиал], tbl_Filialy[Менеджер])</f>
        <v>Павел Ткаченко</v>
      </c>
    </row>
    <row r="1396" spans="1:10" x14ac:dyDescent="0.3">
      <c r="A1396" t="str">
        <f>_xlfn.XLOOKUP(branches[[#This Row],[Филиал]], tbl_Filialy[Филиал], tbl_Filialy[Город])</f>
        <v>Краснодар</v>
      </c>
      <c r="B1396" s="1" t="s">
        <v>31</v>
      </c>
      <c r="C1396" s="2">
        <v>45958</v>
      </c>
      <c r="D1396" s="2" t="str">
        <f>CHOOSE(MONTH(branches[[#This Row],[Дата]]),"Январь","Февраль","Март","Апрель","Май","Июнь","Июль","Август","Сентябрь","Октябрь","Ноябрь","Декабрь")&amp;" "&amp;YEAR(branches[[#This Row],[Дата]])</f>
        <v>Октябрь 2025</v>
      </c>
      <c r="E1396" t="s">
        <v>18</v>
      </c>
      <c r="F1396" t="s">
        <v>12</v>
      </c>
      <c r="G1396">
        <v>1</v>
      </c>
      <c r="H1396">
        <v>152</v>
      </c>
      <c r="I1396" t="s">
        <v>34</v>
      </c>
      <c r="J1396" t="str">
        <f>_xlfn.XLOOKUP(branches[[#This Row],[Филиал]], tbl_Filialy[Филиал], tbl_Filialy[Менеджер])</f>
        <v>Павел Ткаченко</v>
      </c>
    </row>
    <row r="1397" spans="1:10" x14ac:dyDescent="0.3">
      <c r="A1397" t="str">
        <f>_xlfn.XLOOKUP(branches[[#This Row],[Филиал]], tbl_Filialy[Филиал], tbl_Filialy[Город])</f>
        <v>Краснодар</v>
      </c>
      <c r="B1397" s="1" t="s">
        <v>31</v>
      </c>
      <c r="C1397" s="2">
        <v>45996</v>
      </c>
      <c r="D1397" s="2" t="str">
        <f>CHOOSE(MONTH(branches[[#This Row],[Дата]]),"Январь","Февраль","Март","Апрель","Май","Июнь","Июль","Август","Сентябрь","Октябрь","Ноябрь","Декабрь")&amp;" "&amp;YEAR(branches[[#This Row],[Дата]])</f>
        <v>Декабрь 2025</v>
      </c>
      <c r="E1397" t="s">
        <v>14</v>
      </c>
      <c r="F1397" t="s">
        <v>12</v>
      </c>
      <c r="G1397">
        <v>2</v>
      </c>
      <c r="H1397">
        <v>528</v>
      </c>
      <c r="I1397" t="s">
        <v>13</v>
      </c>
      <c r="J1397" t="str">
        <f>_xlfn.XLOOKUP(branches[[#This Row],[Филиал]], tbl_Filialy[Филиал], tbl_Filialy[Менеджер])</f>
        <v>Павел Ткаченко</v>
      </c>
    </row>
    <row r="1398" spans="1:10" x14ac:dyDescent="0.3">
      <c r="A1398" t="str">
        <f>_xlfn.XLOOKUP(branches[[#This Row],[Филиал]], tbl_Filialy[Филиал], tbl_Filialy[Город])</f>
        <v>Краснодар</v>
      </c>
      <c r="B1398" s="1" t="s">
        <v>31</v>
      </c>
      <c r="C1398" s="2">
        <v>45709</v>
      </c>
      <c r="D1398" s="2" t="str">
        <f>CHOOSE(MONTH(branches[[#This Row],[Дата]]),"Январь","Февраль","Март","Апрель","Май","Июнь","Июль","Август","Сентябрь","Октябрь","Ноябрь","Декабрь")&amp;" "&amp;YEAR(branches[[#This Row],[Дата]])</f>
        <v>Февраль 2025</v>
      </c>
      <c r="E1398" t="s">
        <v>14</v>
      </c>
      <c r="F1398" t="s">
        <v>12</v>
      </c>
      <c r="G1398">
        <v>1</v>
      </c>
      <c r="H1398">
        <v>264</v>
      </c>
      <c r="I1398" t="s">
        <v>19</v>
      </c>
      <c r="J1398" t="str">
        <f>_xlfn.XLOOKUP(branches[[#This Row],[Филиал]], tbl_Filialy[Филиал], tbl_Filialy[Менеджер])</f>
        <v>Павел Ткаченко</v>
      </c>
    </row>
    <row r="1399" spans="1:10" x14ac:dyDescent="0.3">
      <c r="A1399" t="str">
        <f>_xlfn.XLOOKUP(branches[[#This Row],[Филиал]], tbl_Filialy[Филиал], tbl_Filialy[Город])</f>
        <v>Краснодар</v>
      </c>
      <c r="B1399" s="1" t="s">
        <v>31</v>
      </c>
      <c r="C1399" s="2">
        <v>45759</v>
      </c>
      <c r="D1399" s="2" t="str">
        <f>CHOOSE(MONTH(branches[[#This Row],[Дата]]),"Январь","Февраль","Март","Апрель","Май","Июнь","Июль","Август","Сентябрь","Октябрь","Ноябрь","Декабрь")&amp;" "&amp;YEAR(branches[[#This Row],[Дата]])</f>
        <v>Апрель 2025</v>
      </c>
      <c r="E1399" t="s">
        <v>22</v>
      </c>
      <c r="F1399" t="s">
        <v>9</v>
      </c>
      <c r="G1399">
        <v>2</v>
      </c>
      <c r="H1399">
        <v>346</v>
      </c>
      <c r="I1399" t="s">
        <v>13</v>
      </c>
      <c r="J1399" t="str">
        <f>_xlfn.XLOOKUP(branches[[#This Row],[Филиал]], tbl_Filialy[Филиал], tbl_Filialy[Менеджер])</f>
        <v>Павел Ткаченко</v>
      </c>
    </row>
    <row r="1400" spans="1:10" x14ac:dyDescent="0.3">
      <c r="A1400" t="str">
        <f>_xlfn.XLOOKUP(branches[[#This Row],[Филиал]], tbl_Filialy[Филиал], tbl_Filialy[Город])</f>
        <v>Краснодар</v>
      </c>
      <c r="B1400" s="1" t="s">
        <v>31</v>
      </c>
      <c r="C1400" s="2">
        <v>45658</v>
      </c>
      <c r="D1400" s="2" t="str">
        <f>CHOOSE(MONTH(branches[[#This Row],[Дата]]),"Январь","Февраль","Март","Апрель","Май","Июнь","Июль","Август","Сентябрь","Октябрь","Ноябрь","Декабрь")&amp;" "&amp;YEAR(branches[[#This Row],[Дата]])</f>
        <v>Январь 2025</v>
      </c>
      <c r="E1400" t="s">
        <v>16</v>
      </c>
      <c r="F1400" t="s">
        <v>17</v>
      </c>
      <c r="G1400">
        <v>1</v>
      </c>
      <c r="H1400">
        <v>337</v>
      </c>
      <c r="I1400" t="s">
        <v>33</v>
      </c>
      <c r="J1400" t="str">
        <f>_xlfn.XLOOKUP(branches[[#This Row],[Филиал]], tbl_Filialy[Филиал], tbl_Filialy[Менеджер])</f>
        <v>Павел Ткаченко</v>
      </c>
    </row>
    <row r="1401" spans="1:10" x14ac:dyDescent="0.3">
      <c r="A1401" t="str">
        <f>_xlfn.XLOOKUP(branches[[#This Row],[Филиал]], tbl_Filialy[Филиал], tbl_Filialy[Город])</f>
        <v>Краснодар</v>
      </c>
      <c r="B1401" s="1" t="s">
        <v>31</v>
      </c>
      <c r="C1401" s="2">
        <v>45786</v>
      </c>
      <c r="D1401" s="2" t="str">
        <f>CHOOSE(MONTH(branches[[#This Row],[Дата]]),"Январь","Февраль","Март","Апрель","Май","Июнь","Июль","Август","Сентябрь","Октябрь","Ноябрь","Декабрь")&amp;" "&amp;YEAR(branches[[#This Row],[Дата]])</f>
        <v>Май 2025</v>
      </c>
      <c r="E1401" t="s">
        <v>24</v>
      </c>
      <c r="F1401" t="s">
        <v>17</v>
      </c>
      <c r="G1401">
        <v>3</v>
      </c>
      <c r="H1401">
        <v>1218</v>
      </c>
      <c r="I1401" t="s">
        <v>19</v>
      </c>
      <c r="J1401" t="str">
        <f>_xlfn.XLOOKUP(branches[[#This Row],[Филиал]], tbl_Filialy[Филиал], tbl_Filialy[Менеджер])</f>
        <v>Павел Ткаченко</v>
      </c>
    </row>
    <row r="1402" spans="1:10" x14ac:dyDescent="0.3">
      <c r="A1402" t="str">
        <f>_xlfn.XLOOKUP(branches[[#This Row],[Филиал]], tbl_Filialy[Филиал], tbl_Filialy[Город])</f>
        <v>Краснодар</v>
      </c>
      <c r="B1402" s="1" t="s">
        <v>31</v>
      </c>
      <c r="C1402" s="2">
        <v>45667</v>
      </c>
      <c r="D1402" s="2" t="str">
        <f>CHOOSE(MONTH(branches[[#This Row],[Дата]]),"Январь","Февраль","Март","Апрель","Май","Июнь","Июль","Август","Сентябрь","Октябрь","Ноябрь","Декабрь")&amp;" "&amp;YEAR(branches[[#This Row],[Дата]])</f>
        <v>Январь 2025</v>
      </c>
      <c r="E1402" t="s">
        <v>14</v>
      </c>
      <c r="F1402" t="s">
        <v>12</v>
      </c>
      <c r="G1402">
        <v>1</v>
      </c>
      <c r="H1402">
        <v>239</v>
      </c>
      <c r="I1402" t="s">
        <v>19</v>
      </c>
      <c r="J1402" t="str">
        <f>_xlfn.XLOOKUP(branches[[#This Row],[Филиал]], tbl_Filialy[Филиал], tbl_Filialy[Менеджер])</f>
        <v>Павел Ткаченко</v>
      </c>
    </row>
    <row r="1403" spans="1:10" x14ac:dyDescent="0.3">
      <c r="A1403" t="str">
        <f>_xlfn.XLOOKUP(branches[[#This Row],[Филиал]], tbl_Filialy[Филиал], tbl_Filialy[Город])</f>
        <v>Краснодар</v>
      </c>
      <c r="B1403" s="1" t="s">
        <v>31</v>
      </c>
      <c r="C1403" s="2">
        <v>45787</v>
      </c>
      <c r="D1403" s="2" t="str">
        <f>CHOOSE(MONTH(branches[[#This Row],[Дата]]),"Январь","Февраль","Март","Апрель","Май","Июнь","Июль","Август","Сентябрь","Октябрь","Ноябрь","Декабрь")&amp;" "&amp;YEAR(branches[[#This Row],[Дата]])</f>
        <v>Май 2025</v>
      </c>
      <c r="E1403" t="s">
        <v>18</v>
      </c>
      <c r="F1403" t="s">
        <v>12</v>
      </c>
      <c r="G1403">
        <v>1</v>
      </c>
      <c r="H1403">
        <v>122</v>
      </c>
      <c r="I1403" t="s">
        <v>19</v>
      </c>
      <c r="J1403" t="str">
        <f>_xlfn.XLOOKUP(branches[[#This Row],[Филиал]], tbl_Filialy[Филиал], tbl_Filialy[Менеджер])</f>
        <v>Павел Ткаченко</v>
      </c>
    </row>
    <row r="1404" spans="1:10" x14ac:dyDescent="0.3">
      <c r="A1404" t="str">
        <f>_xlfn.XLOOKUP(branches[[#This Row],[Филиал]], tbl_Filialy[Филиал], tbl_Filialy[Город])</f>
        <v>Краснодар</v>
      </c>
      <c r="B1404" s="1" t="s">
        <v>31</v>
      </c>
      <c r="C1404" s="2">
        <v>45881</v>
      </c>
      <c r="D1404" s="2" t="str">
        <f>CHOOSE(MONTH(branches[[#This Row],[Дата]]),"Январь","Февраль","Март","Апрель","Май","Июнь","Июль","Август","Сентябрь","Октябрь","Ноябрь","Декабрь")&amp;" "&amp;YEAR(branches[[#This Row],[Дата]])</f>
        <v>Август 2025</v>
      </c>
      <c r="E1404" t="s">
        <v>25</v>
      </c>
      <c r="F1404" t="s">
        <v>12</v>
      </c>
      <c r="G1404">
        <v>1</v>
      </c>
      <c r="H1404">
        <v>228</v>
      </c>
      <c r="I1404" t="s">
        <v>19</v>
      </c>
      <c r="J1404" t="str">
        <f>_xlfn.XLOOKUP(branches[[#This Row],[Филиал]], tbl_Filialy[Филиал], tbl_Filialy[Менеджер])</f>
        <v>Павел Ткаченко</v>
      </c>
    </row>
    <row r="1405" spans="1:10" x14ac:dyDescent="0.3">
      <c r="A1405" t="str">
        <f>_xlfn.XLOOKUP(branches[[#This Row],[Филиал]], tbl_Filialy[Филиал], tbl_Filialy[Город])</f>
        <v>Краснодар</v>
      </c>
      <c r="B1405" s="1" t="s">
        <v>31</v>
      </c>
      <c r="C1405" s="2">
        <v>45875</v>
      </c>
      <c r="D1405" s="2" t="str">
        <f>CHOOSE(MONTH(branches[[#This Row],[Дата]]),"Январь","Февраль","Март","Апрель","Май","Июнь","Июль","Август","Сентябрь","Октябрь","Ноябрь","Декабрь")&amp;" "&amp;YEAR(branches[[#This Row],[Дата]])</f>
        <v>Август 2025</v>
      </c>
      <c r="E1405" t="s">
        <v>28</v>
      </c>
      <c r="F1405" t="s">
        <v>12</v>
      </c>
      <c r="G1405">
        <v>1</v>
      </c>
      <c r="H1405">
        <v>210</v>
      </c>
      <c r="I1405" t="s">
        <v>35</v>
      </c>
      <c r="J1405" t="str">
        <f>_xlfn.XLOOKUP(branches[[#This Row],[Филиал]], tbl_Filialy[Филиал], tbl_Filialy[Менеджер])</f>
        <v>Павел Ткаченко</v>
      </c>
    </row>
    <row r="1406" spans="1:10" x14ac:dyDescent="0.3">
      <c r="A1406" t="str">
        <f>_xlfn.XLOOKUP(branches[[#This Row],[Филиал]], tbl_Filialy[Филиал], tbl_Filialy[Город])</f>
        <v>Краснодар</v>
      </c>
      <c r="B1406" s="1" t="s">
        <v>31</v>
      </c>
      <c r="C1406" s="2">
        <v>45996</v>
      </c>
      <c r="D1406" s="2" t="str">
        <f>CHOOSE(MONTH(branches[[#This Row],[Дата]]),"Январь","Февраль","Март","Апрель","Май","Июнь","Июль","Август","Сентябрь","Октябрь","Ноябрь","Декабрь")&amp;" "&amp;YEAR(branches[[#This Row],[Дата]])</f>
        <v>Декабрь 2025</v>
      </c>
      <c r="E1406" t="s">
        <v>25</v>
      </c>
      <c r="F1406" t="s">
        <v>12</v>
      </c>
      <c r="G1406">
        <v>2</v>
      </c>
      <c r="H1406">
        <v>472</v>
      </c>
      <c r="I1406" t="s">
        <v>34</v>
      </c>
      <c r="J1406" t="str">
        <f>_xlfn.XLOOKUP(branches[[#This Row],[Филиал]], tbl_Filialy[Филиал], tbl_Filialy[Менеджер])</f>
        <v>Павел Ткаченко</v>
      </c>
    </row>
    <row r="1407" spans="1:10" x14ac:dyDescent="0.3">
      <c r="A1407" t="str">
        <f>_xlfn.XLOOKUP(branches[[#This Row],[Филиал]], tbl_Filialy[Филиал], tbl_Filialy[Город])</f>
        <v>Краснодар</v>
      </c>
      <c r="B1407" s="1" t="s">
        <v>31</v>
      </c>
      <c r="C1407" s="2">
        <v>45775</v>
      </c>
      <c r="D1407" s="2" t="str">
        <f>CHOOSE(MONTH(branches[[#This Row],[Дата]]),"Январь","Февраль","Март","Апрель","Май","Июнь","Июль","Август","Сентябрь","Октябрь","Ноябрь","Декабрь")&amp;" "&amp;YEAR(branches[[#This Row],[Дата]])</f>
        <v>Апрель 2025</v>
      </c>
      <c r="E1407" t="s">
        <v>18</v>
      </c>
      <c r="F1407" t="s">
        <v>12</v>
      </c>
      <c r="G1407">
        <v>1</v>
      </c>
      <c r="H1407">
        <v>126</v>
      </c>
      <c r="I1407" t="s">
        <v>19</v>
      </c>
      <c r="J1407" t="str">
        <f>_xlfn.XLOOKUP(branches[[#This Row],[Филиал]], tbl_Filialy[Филиал], tbl_Filialy[Менеджер])</f>
        <v>Павел Ткаченко</v>
      </c>
    </row>
    <row r="1408" spans="1:10" x14ac:dyDescent="0.3">
      <c r="A1408" t="str">
        <f>_xlfn.XLOOKUP(branches[[#This Row],[Филиал]], tbl_Filialy[Филиал], tbl_Filialy[Город])</f>
        <v>Краснодар</v>
      </c>
      <c r="B1408" s="1" t="s">
        <v>31</v>
      </c>
      <c r="C1408" s="2">
        <v>45999</v>
      </c>
      <c r="D1408" s="2" t="str">
        <f>CHOOSE(MONTH(branches[[#This Row],[Дата]]),"Январь","Февраль","Март","Апрель","Май","Июнь","Июль","Август","Сентябрь","Октябрь","Ноябрь","Декабрь")&amp;" "&amp;YEAR(branches[[#This Row],[Дата]])</f>
        <v>Декабрь 2025</v>
      </c>
      <c r="E1408" t="s">
        <v>18</v>
      </c>
      <c r="F1408" t="s">
        <v>12</v>
      </c>
      <c r="G1408">
        <v>1</v>
      </c>
      <c r="H1408">
        <v>139</v>
      </c>
      <c r="I1408" t="s">
        <v>33</v>
      </c>
      <c r="J1408" t="str">
        <f>_xlfn.XLOOKUP(branches[[#This Row],[Филиал]], tbl_Filialy[Филиал], tbl_Filialy[Менеджер])</f>
        <v>Павел Ткаченко</v>
      </c>
    </row>
    <row r="1409" spans="1:10" x14ac:dyDescent="0.3">
      <c r="A1409" t="str">
        <f>_xlfn.XLOOKUP(branches[[#This Row],[Филиал]], tbl_Filialy[Филиал], tbl_Filialy[Город])</f>
        <v>Краснодар</v>
      </c>
      <c r="B1409" s="1" t="s">
        <v>31</v>
      </c>
      <c r="C1409" s="2">
        <v>45909</v>
      </c>
      <c r="D1409" s="2" t="str">
        <f>CHOOSE(MONTH(branches[[#This Row],[Дата]]),"Январь","Февраль","Март","Апрель","Май","Июнь","Июль","Август","Сентябрь","Октябрь","Ноябрь","Декабрь")&amp;" "&amp;YEAR(branches[[#This Row],[Дата]])</f>
        <v>Сентябрь 2025</v>
      </c>
      <c r="E1409" t="s">
        <v>27</v>
      </c>
      <c r="F1409" t="s">
        <v>12</v>
      </c>
      <c r="G1409">
        <v>2</v>
      </c>
      <c r="H1409">
        <v>448</v>
      </c>
      <c r="I1409" t="s">
        <v>34</v>
      </c>
      <c r="J1409" t="str">
        <f>_xlfn.XLOOKUP(branches[[#This Row],[Филиал]], tbl_Filialy[Филиал], tbl_Filialy[Менеджер])</f>
        <v>Павел Ткаченко</v>
      </c>
    </row>
    <row r="1410" spans="1:10" x14ac:dyDescent="0.3">
      <c r="A1410" t="str">
        <f>_xlfn.XLOOKUP(branches[[#This Row],[Филиал]], tbl_Filialy[Филиал], tbl_Filialy[Город])</f>
        <v>Краснодар</v>
      </c>
      <c r="B1410" s="1" t="s">
        <v>31</v>
      </c>
      <c r="C1410" s="2">
        <v>45675</v>
      </c>
      <c r="D1410" s="2" t="str">
        <f>CHOOSE(MONTH(branches[[#This Row],[Дата]]),"Январь","Февраль","Март","Апрель","Май","Июнь","Июль","Август","Сентябрь","Октябрь","Ноябрь","Декабрь")&amp;" "&amp;YEAR(branches[[#This Row],[Дата]])</f>
        <v>Январь 2025</v>
      </c>
      <c r="E1410" t="s">
        <v>16</v>
      </c>
      <c r="F1410" t="s">
        <v>17</v>
      </c>
      <c r="G1410">
        <v>2</v>
      </c>
      <c r="H1410">
        <v>598</v>
      </c>
      <c r="I1410" t="s">
        <v>19</v>
      </c>
      <c r="J1410" t="str">
        <f>_xlfn.XLOOKUP(branches[[#This Row],[Филиал]], tbl_Filialy[Филиал], tbl_Filialy[Менеджер])</f>
        <v>Павел Ткаченко</v>
      </c>
    </row>
    <row r="1411" spans="1:10" x14ac:dyDescent="0.3">
      <c r="A1411" t="str">
        <f>_xlfn.XLOOKUP(branches[[#This Row],[Филиал]], tbl_Filialy[Филиал], tbl_Filialy[Город])</f>
        <v>Краснодар</v>
      </c>
      <c r="B1411" s="1" t="s">
        <v>31</v>
      </c>
      <c r="C1411" s="2">
        <v>45854</v>
      </c>
      <c r="D1411" s="2" t="str">
        <f>CHOOSE(MONTH(branches[[#This Row],[Дата]]),"Январь","Февраль","Март","Апрель","Май","Июнь","Июль","Август","Сентябрь","Октябрь","Ноябрь","Декабрь")&amp;" "&amp;YEAR(branches[[#This Row],[Дата]])</f>
        <v>Июль 2025</v>
      </c>
      <c r="E1411" t="s">
        <v>20</v>
      </c>
      <c r="F1411" t="s">
        <v>12</v>
      </c>
      <c r="G1411">
        <v>1</v>
      </c>
      <c r="H1411">
        <v>258</v>
      </c>
      <c r="I1411" t="s">
        <v>34</v>
      </c>
      <c r="J1411" t="str">
        <f>_xlfn.XLOOKUP(branches[[#This Row],[Филиал]], tbl_Filialy[Филиал], tbl_Filialy[Менеджер])</f>
        <v>Павел Ткаченко</v>
      </c>
    </row>
    <row r="1412" spans="1:10" x14ac:dyDescent="0.3">
      <c r="A1412" t="str">
        <f>_xlfn.XLOOKUP(branches[[#This Row],[Филиал]], tbl_Filialy[Филиал], tbl_Filialy[Город])</f>
        <v>Краснодар</v>
      </c>
      <c r="B1412" s="1" t="s">
        <v>31</v>
      </c>
      <c r="C1412" s="2">
        <v>45975</v>
      </c>
      <c r="D1412" s="2" t="str">
        <f>CHOOSE(MONTH(branches[[#This Row],[Дата]]),"Январь","Февраль","Март","Апрель","Май","Июнь","Июль","Август","Сентябрь","Октябрь","Ноябрь","Декабрь")&amp;" "&amp;YEAR(branches[[#This Row],[Дата]])</f>
        <v>Ноябрь 2025</v>
      </c>
      <c r="E1412" t="s">
        <v>11</v>
      </c>
      <c r="F1412" t="s">
        <v>12</v>
      </c>
      <c r="G1412">
        <v>2</v>
      </c>
      <c r="H1412">
        <v>358</v>
      </c>
      <c r="I1412" t="s">
        <v>35</v>
      </c>
      <c r="J1412" t="str">
        <f>_xlfn.XLOOKUP(branches[[#This Row],[Филиал]], tbl_Filialy[Филиал], tbl_Filialy[Менеджер])</f>
        <v>Павел Ткаченко</v>
      </c>
    </row>
    <row r="1413" spans="1:10" x14ac:dyDescent="0.3">
      <c r="A1413" t="str">
        <f>_xlfn.XLOOKUP(branches[[#This Row],[Филиал]], tbl_Filialy[Филиал], tbl_Filialy[Город])</f>
        <v>Краснодар</v>
      </c>
      <c r="B1413" s="1" t="s">
        <v>31</v>
      </c>
      <c r="C1413" s="2">
        <v>45849</v>
      </c>
      <c r="D1413" s="2" t="str">
        <f>CHOOSE(MONTH(branches[[#This Row],[Дата]]),"Январь","Февраль","Март","Апрель","Май","Июнь","Июль","Август","Сентябрь","Октябрь","Ноябрь","Декабрь")&amp;" "&amp;YEAR(branches[[#This Row],[Дата]])</f>
        <v>Июль 2025</v>
      </c>
      <c r="E1413" t="s">
        <v>16</v>
      </c>
      <c r="F1413" t="s">
        <v>17</v>
      </c>
      <c r="G1413">
        <v>1</v>
      </c>
      <c r="H1413">
        <v>283</v>
      </c>
      <c r="I1413" t="s">
        <v>33</v>
      </c>
      <c r="J1413" t="str">
        <f>_xlfn.XLOOKUP(branches[[#This Row],[Филиал]], tbl_Filialy[Филиал], tbl_Filialy[Менеджер])</f>
        <v>Павел Ткаченко</v>
      </c>
    </row>
    <row r="1414" spans="1:10" x14ac:dyDescent="0.3">
      <c r="A1414" t="str">
        <f>_xlfn.XLOOKUP(branches[[#This Row],[Филиал]], tbl_Filialy[Филиал], tbl_Filialy[Город])</f>
        <v>Краснодар</v>
      </c>
      <c r="B1414" s="1" t="s">
        <v>31</v>
      </c>
      <c r="C1414" s="2">
        <v>45995</v>
      </c>
      <c r="D1414" s="2" t="str">
        <f>CHOOSE(MONTH(branches[[#This Row],[Дата]]),"Январь","Февраль","Март","Апрель","Май","Июнь","Июль","Август","Сентябрь","Октябрь","Ноябрь","Декабрь")&amp;" "&amp;YEAR(branches[[#This Row],[Дата]])</f>
        <v>Декабрь 2025</v>
      </c>
      <c r="E1414" t="s">
        <v>11</v>
      </c>
      <c r="F1414" t="s">
        <v>12</v>
      </c>
      <c r="G1414">
        <v>2</v>
      </c>
      <c r="H1414">
        <v>370</v>
      </c>
      <c r="I1414" t="s">
        <v>33</v>
      </c>
      <c r="J1414" t="str">
        <f>_xlfn.XLOOKUP(branches[[#This Row],[Филиал]], tbl_Filialy[Филиал], tbl_Filialy[Менеджер])</f>
        <v>Павел Ткаченко</v>
      </c>
    </row>
    <row r="1415" spans="1:10" x14ac:dyDescent="0.3">
      <c r="A1415" t="str">
        <f>_xlfn.XLOOKUP(branches[[#This Row],[Филиал]], tbl_Filialy[Филиал], tbl_Filialy[Город])</f>
        <v>Краснодар</v>
      </c>
      <c r="B1415" s="1" t="s">
        <v>31</v>
      </c>
      <c r="C1415" s="2">
        <v>45989</v>
      </c>
      <c r="D1415" s="2" t="str">
        <f>CHOOSE(MONTH(branches[[#This Row],[Дата]]),"Январь","Февраль","Март","Апрель","Май","Июнь","Июль","Август","Сентябрь","Октябрь","Ноябрь","Декабрь")&amp;" "&amp;YEAR(branches[[#This Row],[Дата]])</f>
        <v>Ноябрь 2025</v>
      </c>
      <c r="E1415" t="s">
        <v>16</v>
      </c>
      <c r="F1415" t="s">
        <v>17</v>
      </c>
      <c r="G1415">
        <v>3</v>
      </c>
      <c r="H1415">
        <v>939</v>
      </c>
      <c r="I1415" t="s">
        <v>35</v>
      </c>
      <c r="J1415" t="str">
        <f>_xlfn.XLOOKUP(branches[[#This Row],[Филиал]], tbl_Filialy[Филиал], tbl_Filialy[Менеджер])</f>
        <v>Павел Ткаченко</v>
      </c>
    </row>
    <row r="1416" spans="1:10" x14ac:dyDescent="0.3">
      <c r="A1416" t="str">
        <f>_xlfn.XLOOKUP(branches[[#This Row],[Филиал]], tbl_Filialy[Филиал], tbl_Filialy[Город])</f>
        <v>Краснодар</v>
      </c>
      <c r="B1416" s="1" t="s">
        <v>31</v>
      </c>
      <c r="C1416" s="2">
        <v>45739</v>
      </c>
      <c r="D1416" s="2" t="str">
        <f>CHOOSE(MONTH(branches[[#This Row],[Дата]]),"Январь","Февраль","Март","Апрель","Май","Июнь","Июль","Август","Сентябрь","Октябрь","Ноябрь","Декабрь")&amp;" "&amp;YEAR(branches[[#This Row],[Дата]])</f>
        <v>Март 2025</v>
      </c>
      <c r="E1416" t="s">
        <v>16</v>
      </c>
      <c r="F1416" t="s">
        <v>17</v>
      </c>
      <c r="G1416">
        <v>3</v>
      </c>
      <c r="H1416">
        <v>978</v>
      </c>
      <c r="I1416" t="s">
        <v>34</v>
      </c>
      <c r="J1416" t="str">
        <f>_xlfn.XLOOKUP(branches[[#This Row],[Филиал]], tbl_Filialy[Филиал], tbl_Filialy[Менеджер])</f>
        <v>Павел Ткаченко</v>
      </c>
    </row>
    <row r="1417" spans="1:10" x14ac:dyDescent="0.3">
      <c r="A1417" t="str">
        <f>_xlfn.XLOOKUP(branches[[#This Row],[Филиал]], tbl_Filialy[Филиал], tbl_Filialy[Город])</f>
        <v>Краснодар</v>
      </c>
      <c r="B1417" s="1" t="s">
        <v>31</v>
      </c>
      <c r="C1417" s="2">
        <v>45715</v>
      </c>
      <c r="D1417" s="2" t="str">
        <f>CHOOSE(MONTH(branches[[#This Row],[Дата]]),"Январь","Февраль","Март","Апрель","Май","Июнь","Июль","Август","Сентябрь","Октябрь","Ноябрь","Декабрь")&amp;" "&amp;YEAR(branches[[#This Row],[Дата]])</f>
        <v>Февраль 2025</v>
      </c>
      <c r="E1417" t="s">
        <v>27</v>
      </c>
      <c r="F1417" t="s">
        <v>12</v>
      </c>
      <c r="G1417">
        <v>2</v>
      </c>
      <c r="H1417">
        <v>414</v>
      </c>
      <c r="I1417" t="s">
        <v>33</v>
      </c>
      <c r="J1417" t="str">
        <f>_xlfn.XLOOKUP(branches[[#This Row],[Филиал]], tbl_Filialy[Филиал], tbl_Filialy[Менеджер])</f>
        <v>Павел Ткаченко</v>
      </c>
    </row>
    <row r="1418" spans="1:10" x14ac:dyDescent="0.3">
      <c r="A1418" t="str">
        <f>_xlfn.XLOOKUP(branches[[#This Row],[Филиал]], tbl_Filialy[Филиал], tbl_Filialy[Город])</f>
        <v>Краснодар</v>
      </c>
      <c r="B1418" s="1" t="s">
        <v>31</v>
      </c>
      <c r="C1418" s="2">
        <v>45727</v>
      </c>
      <c r="D1418" s="2" t="str">
        <f>CHOOSE(MONTH(branches[[#This Row],[Дата]]),"Январь","Февраль","Март","Апрель","Май","Июнь","Июль","Август","Сентябрь","Октябрь","Ноябрь","Декабрь")&amp;" "&amp;YEAR(branches[[#This Row],[Дата]])</f>
        <v>Март 2025</v>
      </c>
      <c r="E1418" t="s">
        <v>14</v>
      </c>
      <c r="F1418" t="s">
        <v>12</v>
      </c>
      <c r="G1418">
        <v>1</v>
      </c>
      <c r="H1418">
        <v>282</v>
      </c>
      <c r="I1418" t="s">
        <v>34</v>
      </c>
      <c r="J1418" t="str">
        <f>_xlfn.XLOOKUP(branches[[#This Row],[Филиал]], tbl_Filialy[Филиал], tbl_Filialy[Менеджер])</f>
        <v>Павел Ткаченко</v>
      </c>
    </row>
    <row r="1419" spans="1:10" x14ac:dyDescent="0.3">
      <c r="A1419" t="str">
        <f>_xlfn.XLOOKUP(branches[[#This Row],[Филиал]], tbl_Filialy[Филиал], tbl_Filialy[Город])</f>
        <v>Краснодар</v>
      </c>
      <c r="B1419" s="1" t="s">
        <v>31</v>
      </c>
      <c r="C1419" s="2">
        <v>45810</v>
      </c>
      <c r="D1419" s="2" t="str">
        <f>CHOOSE(MONTH(branches[[#This Row],[Дата]]),"Январь","Февраль","Март","Апрель","Май","Июнь","Июль","Август","Сентябрь","Октябрь","Ноябрь","Декабрь")&amp;" "&amp;YEAR(branches[[#This Row],[Дата]])</f>
        <v>Июнь 2025</v>
      </c>
      <c r="E1419" t="s">
        <v>16</v>
      </c>
      <c r="F1419" t="s">
        <v>17</v>
      </c>
      <c r="G1419">
        <v>2</v>
      </c>
      <c r="H1419">
        <v>582</v>
      </c>
      <c r="I1419" t="s">
        <v>13</v>
      </c>
      <c r="J1419" t="str">
        <f>_xlfn.XLOOKUP(branches[[#This Row],[Филиал]], tbl_Filialy[Филиал], tbl_Filialy[Менеджер])</f>
        <v>Павел Ткаченко</v>
      </c>
    </row>
    <row r="1420" spans="1:10" x14ac:dyDescent="0.3">
      <c r="A1420" t="str">
        <f>_xlfn.XLOOKUP(branches[[#This Row],[Филиал]], tbl_Filialy[Филиал], tbl_Filialy[Город])</f>
        <v>Краснодар</v>
      </c>
      <c r="B1420" s="1" t="s">
        <v>31</v>
      </c>
      <c r="C1420" s="2">
        <v>45998</v>
      </c>
      <c r="D1420" s="2" t="str">
        <f>CHOOSE(MONTH(branches[[#This Row],[Дата]]),"Январь","Февраль","Март","Апрель","Май","Июнь","Июль","Август","Сентябрь","Октябрь","Ноябрь","Декабрь")&amp;" "&amp;YEAR(branches[[#This Row],[Дата]])</f>
        <v>Декабрь 2025</v>
      </c>
      <c r="E1420" t="s">
        <v>28</v>
      </c>
      <c r="F1420" t="s">
        <v>12</v>
      </c>
      <c r="G1420">
        <v>1</v>
      </c>
      <c r="H1420">
        <v>249</v>
      </c>
      <c r="I1420" t="s">
        <v>32</v>
      </c>
      <c r="J1420" t="str">
        <f>_xlfn.XLOOKUP(branches[[#This Row],[Филиал]], tbl_Filialy[Филиал], tbl_Filialy[Менеджер])</f>
        <v>Павел Ткаченко</v>
      </c>
    </row>
    <row r="1421" spans="1:10" x14ac:dyDescent="0.3">
      <c r="A1421" t="str">
        <f>_xlfn.XLOOKUP(branches[[#This Row],[Филиал]], tbl_Filialy[Филиал], tbl_Filialy[Город])</f>
        <v>Краснодар</v>
      </c>
      <c r="B1421" s="1" t="s">
        <v>31</v>
      </c>
      <c r="C1421" s="2">
        <v>45865</v>
      </c>
      <c r="D1421" s="2" t="str">
        <f>CHOOSE(MONTH(branches[[#This Row],[Дата]]),"Январь","Февраль","Март","Апрель","Май","Июнь","Июль","Август","Сентябрь","Октябрь","Ноябрь","Декабрь")&amp;" "&amp;YEAR(branches[[#This Row],[Дата]])</f>
        <v>Июль 2025</v>
      </c>
      <c r="E1421" t="s">
        <v>28</v>
      </c>
      <c r="F1421" t="s">
        <v>12</v>
      </c>
      <c r="G1421">
        <v>2</v>
      </c>
      <c r="H1421">
        <v>498</v>
      </c>
      <c r="I1421" t="s">
        <v>34</v>
      </c>
      <c r="J1421" t="str">
        <f>_xlfn.XLOOKUP(branches[[#This Row],[Филиал]], tbl_Filialy[Филиал], tbl_Filialy[Менеджер])</f>
        <v>Павел Ткаченко</v>
      </c>
    </row>
    <row r="1422" spans="1:10" x14ac:dyDescent="0.3">
      <c r="A1422" t="str">
        <f>_xlfn.XLOOKUP(branches[[#This Row],[Филиал]], tbl_Filialy[Филиал], tbl_Filialy[Город])</f>
        <v>Краснодар</v>
      </c>
      <c r="B1422" s="1" t="s">
        <v>31</v>
      </c>
      <c r="C1422" s="2">
        <v>45798</v>
      </c>
      <c r="D1422" s="2" t="str">
        <f>CHOOSE(MONTH(branches[[#This Row],[Дата]]),"Январь","Февраль","Март","Апрель","Май","Июнь","Июль","Август","Сентябрь","Октябрь","Ноябрь","Декабрь")&amp;" "&amp;YEAR(branches[[#This Row],[Дата]])</f>
        <v>Май 2025</v>
      </c>
      <c r="E1422" t="s">
        <v>20</v>
      </c>
      <c r="F1422" t="s">
        <v>12</v>
      </c>
      <c r="G1422">
        <v>2</v>
      </c>
      <c r="H1422">
        <v>588</v>
      </c>
      <c r="I1422" t="s">
        <v>33</v>
      </c>
      <c r="J1422" t="str">
        <f>_xlfn.XLOOKUP(branches[[#This Row],[Филиал]], tbl_Filialy[Филиал], tbl_Filialy[Менеджер])</f>
        <v>Павел Ткаченко</v>
      </c>
    </row>
    <row r="1423" spans="1:10" x14ac:dyDescent="0.3">
      <c r="A1423" t="str">
        <f>_xlfn.XLOOKUP(branches[[#This Row],[Филиал]], tbl_Filialy[Филиал], tbl_Filialy[Город])</f>
        <v>Краснодар</v>
      </c>
      <c r="B1423" s="1" t="s">
        <v>31</v>
      </c>
      <c r="C1423" s="2">
        <v>45682</v>
      </c>
      <c r="D1423" s="2" t="str">
        <f>CHOOSE(MONTH(branches[[#This Row],[Дата]]),"Январь","Февраль","Март","Апрель","Май","Июнь","Июль","Август","Сентябрь","Октябрь","Ноябрь","Декабрь")&amp;" "&amp;YEAR(branches[[#This Row],[Дата]])</f>
        <v>Январь 2025</v>
      </c>
      <c r="E1423" t="s">
        <v>24</v>
      </c>
      <c r="F1423" t="s">
        <v>17</v>
      </c>
      <c r="G1423">
        <v>1</v>
      </c>
      <c r="H1423">
        <v>360</v>
      </c>
      <c r="I1423" t="s">
        <v>34</v>
      </c>
      <c r="J1423" t="str">
        <f>_xlfn.XLOOKUP(branches[[#This Row],[Филиал]], tbl_Filialy[Филиал], tbl_Filialy[Менеджер])</f>
        <v>Павел Ткаченко</v>
      </c>
    </row>
    <row r="1424" spans="1:10" x14ac:dyDescent="0.3">
      <c r="A1424" t="str">
        <f>_xlfn.XLOOKUP(branches[[#This Row],[Филиал]], tbl_Filialy[Филиал], tbl_Filialy[Город])</f>
        <v>Краснодар</v>
      </c>
      <c r="B1424" s="1" t="s">
        <v>31</v>
      </c>
      <c r="C1424" s="2">
        <v>45938</v>
      </c>
      <c r="D1424" s="2" t="str">
        <f>CHOOSE(MONTH(branches[[#This Row],[Дата]]),"Январь","Февраль","Март","Апрель","Май","Июнь","Июль","Август","Сентябрь","Октябрь","Ноябрь","Декабрь")&amp;" "&amp;YEAR(branches[[#This Row],[Дата]])</f>
        <v>Октябрь 2025</v>
      </c>
      <c r="E1424" t="s">
        <v>11</v>
      </c>
      <c r="F1424" t="s">
        <v>12</v>
      </c>
      <c r="G1424">
        <v>1</v>
      </c>
      <c r="H1424">
        <v>177</v>
      </c>
      <c r="I1424" t="s">
        <v>32</v>
      </c>
      <c r="J1424" t="str">
        <f>_xlfn.XLOOKUP(branches[[#This Row],[Филиал]], tbl_Filialy[Филиал], tbl_Filialy[Менеджер])</f>
        <v>Павел Ткаченко</v>
      </c>
    </row>
    <row r="1425" spans="1:10" x14ac:dyDescent="0.3">
      <c r="A1425" t="str">
        <f>_xlfn.XLOOKUP(branches[[#This Row],[Филиал]], tbl_Filialy[Филиал], tbl_Filialy[Город])</f>
        <v>Краснодар</v>
      </c>
      <c r="B1425" s="1" t="s">
        <v>31</v>
      </c>
      <c r="C1425" s="2">
        <v>45847</v>
      </c>
      <c r="D1425" s="2" t="str">
        <f>CHOOSE(MONTH(branches[[#This Row],[Дата]]),"Январь","Февраль","Март","Апрель","Май","Июнь","Июль","Август","Сентябрь","Октябрь","Ноябрь","Декабрь")&amp;" "&amp;YEAR(branches[[#This Row],[Дата]])</f>
        <v>Июль 2025</v>
      </c>
      <c r="E1425" t="s">
        <v>25</v>
      </c>
      <c r="F1425" t="s">
        <v>12</v>
      </c>
      <c r="G1425">
        <v>1</v>
      </c>
      <c r="H1425">
        <v>229</v>
      </c>
      <c r="I1425" t="s">
        <v>35</v>
      </c>
      <c r="J1425" t="str">
        <f>_xlfn.XLOOKUP(branches[[#This Row],[Филиал]], tbl_Filialy[Филиал], tbl_Filialy[Менеджер])</f>
        <v>Павел Ткаченко</v>
      </c>
    </row>
    <row r="1426" spans="1:10" x14ac:dyDescent="0.3">
      <c r="A1426" t="str">
        <f>_xlfn.XLOOKUP(branches[[#This Row],[Филиал]], tbl_Filialy[Филиал], tbl_Filialy[Город])</f>
        <v>Краснодар</v>
      </c>
      <c r="B1426" s="1" t="s">
        <v>31</v>
      </c>
      <c r="C1426" s="2">
        <v>45680</v>
      </c>
      <c r="D1426" s="2" t="str">
        <f>CHOOSE(MONTH(branches[[#This Row],[Дата]]),"Январь","Февраль","Март","Апрель","Май","Июнь","Июль","Август","Сентябрь","Октябрь","Ноябрь","Декабрь")&amp;" "&amp;YEAR(branches[[#This Row],[Дата]])</f>
        <v>Январь 2025</v>
      </c>
      <c r="E1426" t="s">
        <v>18</v>
      </c>
      <c r="F1426" t="s">
        <v>12</v>
      </c>
      <c r="G1426">
        <v>2</v>
      </c>
      <c r="H1426">
        <v>294</v>
      </c>
      <c r="I1426" t="s">
        <v>19</v>
      </c>
      <c r="J1426" t="str">
        <f>_xlfn.XLOOKUP(branches[[#This Row],[Филиал]], tbl_Filialy[Филиал], tbl_Filialy[Менеджер])</f>
        <v>Павел Ткаченко</v>
      </c>
    </row>
    <row r="1427" spans="1:10" x14ac:dyDescent="0.3">
      <c r="A1427" t="str">
        <f>_xlfn.XLOOKUP(branches[[#This Row],[Филиал]], tbl_Filialy[Филиал], tbl_Filialy[Город])</f>
        <v>Краснодар</v>
      </c>
      <c r="B1427" s="1" t="s">
        <v>31</v>
      </c>
      <c r="C1427" s="2">
        <v>45755</v>
      </c>
      <c r="D1427" s="2" t="str">
        <f>CHOOSE(MONTH(branches[[#This Row],[Дата]]),"Январь","Февраль","Март","Апрель","Май","Июнь","Июль","Август","Сентябрь","Октябрь","Ноябрь","Декабрь")&amp;" "&amp;YEAR(branches[[#This Row],[Дата]])</f>
        <v>Апрель 2025</v>
      </c>
      <c r="E1427" t="s">
        <v>8</v>
      </c>
      <c r="F1427" t="s">
        <v>9</v>
      </c>
      <c r="G1427">
        <v>1</v>
      </c>
      <c r="H1427">
        <v>273</v>
      </c>
      <c r="I1427" t="s">
        <v>13</v>
      </c>
      <c r="J1427" t="str">
        <f>_xlfn.XLOOKUP(branches[[#This Row],[Филиал]], tbl_Filialy[Филиал], tbl_Filialy[Менеджер])</f>
        <v>Павел Ткаченко</v>
      </c>
    </row>
    <row r="1428" spans="1:10" x14ac:dyDescent="0.3">
      <c r="A1428" t="str">
        <f>_xlfn.XLOOKUP(branches[[#This Row],[Филиал]], tbl_Filialy[Филиал], tbl_Filialy[Город])</f>
        <v>Краснодар</v>
      </c>
      <c r="B1428" s="1" t="s">
        <v>31</v>
      </c>
      <c r="C1428" s="2">
        <v>45660</v>
      </c>
      <c r="D1428" s="2" t="str">
        <f>CHOOSE(MONTH(branches[[#This Row],[Дата]]),"Январь","Февраль","Март","Апрель","Май","Июнь","Июль","Август","Сентябрь","Октябрь","Ноябрь","Декабрь")&amp;" "&amp;YEAR(branches[[#This Row],[Дата]])</f>
        <v>Январь 2025</v>
      </c>
      <c r="E1428" t="s">
        <v>16</v>
      </c>
      <c r="F1428" t="s">
        <v>17</v>
      </c>
      <c r="G1428">
        <v>3</v>
      </c>
      <c r="H1428">
        <v>999</v>
      </c>
      <c r="I1428" t="s">
        <v>32</v>
      </c>
      <c r="J1428" t="str">
        <f>_xlfn.XLOOKUP(branches[[#This Row],[Филиал]], tbl_Filialy[Филиал], tbl_Filialy[Менеджер])</f>
        <v>Павел Ткаченко</v>
      </c>
    </row>
    <row r="1429" spans="1:10" x14ac:dyDescent="0.3">
      <c r="A1429" t="str">
        <f>_xlfn.XLOOKUP(branches[[#This Row],[Филиал]], tbl_Filialy[Филиал], tbl_Filialy[Город])</f>
        <v>Краснодар</v>
      </c>
      <c r="B1429" s="1" t="s">
        <v>31</v>
      </c>
      <c r="C1429" s="2">
        <v>45691</v>
      </c>
      <c r="D1429" s="2" t="str">
        <f>CHOOSE(MONTH(branches[[#This Row],[Дата]]),"Январь","Февраль","Март","Апрель","Май","Июнь","Июль","Август","Сентябрь","Октябрь","Ноябрь","Декабрь")&amp;" "&amp;YEAR(branches[[#This Row],[Дата]])</f>
        <v>Февраль 2025</v>
      </c>
      <c r="E1429" t="s">
        <v>24</v>
      </c>
      <c r="F1429" t="s">
        <v>17</v>
      </c>
      <c r="G1429">
        <v>2</v>
      </c>
      <c r="H1429">
        <v>792</v>
      </c>
      <c r="I1429" t="s">
        <v>35</v>
      </c>
      <c r="J1429" t="str">
        <f>_xlfn.XLOOKUP(branches[[#This Row],[Филиал]], tbl_Filialy[Филиал], tbl_Filialy[Менеджер])</f>
        <v>Павел Ткаченко</v>
      </c>
    </row>
    <row r="1430" spans="1:10" x14ac:dyDescent="0.3">
      <c r="A1430" t="str">
        <f>_xlfn.XLOOKUP(branches[[#This Row],[Филиал]], tbl_Filialy[Филиал], tbl_Filialy[Город])</f>
        <v>Краснодар</v>
      </c>
      <c r="B1430" s="1" t="s">
        <v>31</v>
      </c>
      <c r="C1430" s="2">
        <v>45936</v>
      </c>
      <c r="D1430" s="2" t="str">
        <f>CHOOSE(MONTH(branches[[#This Row],[Дата]]),"Январь","Февраль","Март","Апрель","Май","Июнь","Июль","Август","Сентябрь","Октябрь","Ноябрь","Декабрь")&amp;" "&amp;YEAR(branches[[#This Row],[Дата]])</f>
        <v>Октябрь 2025</v>
      </c>
      <c r="E1430" t="s">
        <v>24</v>
      </c>
      <c r="F1430" t="s">
        <v>17</v>
      </c>
      <c r="G1430">
        <v>1</v>
      </c>
      <c r="H1430">
        <v>393</v>
      </c>
      <c r="I1430" t="s">
        <v>35</v>
      </c>
      <c r="J1430" t="str">
        <f>_xlfn.XLOOKUP(branches[[#This Row],[Филиал]], tbl_Filialy[Филиал], tbl_Filialy[Менеджер])</f>
        <v>Павел Ткаченко</v>
      </c>
    </row>
    <row r="1431" spans="1:10" x14ac:dyDescent="0.3">
      <c r="A1431" t="str">
        <f>_xlfn.XLOOKUP(branches[[#This Row],[Филиал]], tbl_Filialy[Филиал], tbl_Filialy[Город])</f>
        <v>Краснодар</v>
      </c>
      <c r="B1431" s="1" t="s">
        <v>31</v>
      </c>
      <c r="C1431" s="2">
        <v>45682</v>
      </c>
      <c r="D1431" s="2" t="str">
        <f>CHOOSE(MONTH(branches[[#This Row],[Дата]]),"Январь","Февраль","Март","Апрель","Май","Июнь","Июль","Август","Сентябрь","Октябрь","Ноябрь","Декабрь")&amp;" "&amp;YEAR(branches[[#This Row],[Дата]])</f>
        <v>Январь 2025</v>
      </c>
      <c r="E1431" t="s">
        <v>8</v>
      </c>
      <c r="F1431" t="s">
        <v>9</v>
      </c>
      <c r="G1431">
        <v>1</v>
      </c>
      <c r="H1431">
        <v>244</v>
      </c>
      <c r="I1431" t="s">
        <v>13</v>
      </c>
      <c r="J1431" t="str">
        <f>_xlfn.XLOOKUP(branches[[#This Row],[Филиал]], tbl_Filialy[Филиал], tbl_Filialy[Менеджер])</f>
        <v>Павел Ткаченко</v>
      </c>
    </row>
    <row r="1432" spans="1:10" x14ac:dyDescent="0.3">
      <c r="A1432" t="str">
        <f>_xlfn.XLOOKUP(branches[[#This Row],[Филиал]], tbl_Filialy[Филиал], tbl_Filialy[Город])</f>
        <v>Краснодар</v>
      </c>
      <c r="B1432" s="1" t="s">
        <v>31</v>
      </c>
      <c r="C1432" s="2">
        <v>45986</v>
      </c>
      <c r="D1432" s="2" t="str">
        <f>CHOOSE(MONTH(branches[[#This Row],[Дата]]),"Январь","Февраль","Март","Апрель","Май","Июнь","Июль","Август","Сентябрь","Октябрь","Ноябрь","Декабрь")&amp;" "&amp;YEAR(branches[[#This Row],[Дата]])</f>
        <v>Ноябрь 2025</v>
      </c>
      <c r="E1432" t="s">
        <v>18</v>
      </c>
      <c r="F1432" t="s">
        <v>12</v>
      </c>
      <c r="G1432">
        <v>1</v>
      </c>
      <c r="H1432">
        <v>139</v>
      </c>
      <c r="I1432" t="s">
        <v>32</v>
      </c>
      <c r="J1432" t="str">
        <f>_xlfn.XLOOKUP(branches[[#This Row],[Филиал]], tbl_Filialy[Филиал], tbl_Filialy[Менеджер])</f>
        <v>Павел Ткаченко</v>
      </c>
    </row>
    <row r="1433" spans="1:10" x14ac:dyDescent="0.3">
      <c r="A1433" t="str">
        <f>_xlfn.XLOOKUP(branches[[#This Row],[Филиал]], tbl_Filialy[Филиал], tbl_Filialy[Город])</f>
        <v>Краснодар</v>
      </c>
      <c r="B1433" s="1" t="s">
        <v>31</v>
      </c>
      <c r="C1433" s="2">
        <v>45744</v>
      </c>
      <c r="D1433" s="2" t="str">
        <f>CHOOSE(MONTH(branches[[#This Row],[Дата]]),"Январь","Февраль","Март","Апрель","Май","Июнь","Июль","Август","Сентябрь","Октябрь","Ноябрь","Декабрь")&amp;" "&amp;YEAR(branches[[#This Row],[Дата]])</f>
        <v>Март 2025</v>
      </c>
      <c r="E1433" t="s">
        <v>16</v>
      </c>
      <c r="F1433" t="s">
        <v>17</v>
      </c>
      <c r="G1433">
        <v>1</v>
      </c>
      <c r="H1433">
        <v>314</v>
      </c>
      <c r="I1433" t="s">
        <v>32</v>
      </c>
      <c r="J1433" t="str">
        <f>_xlfn.XLOOKUP(branches[[#This Row],[Филиал]], tbl_Filialy[Филиал], tbl_Filialy[Менеджер])</f>
        <v>Павел Ткаченко</v>
      </c>
    </row>
    <row r="1434" spans="1:10" x14ac:dyDescent="0.3">
      <c r="A1434" t="str">
        <f>_xlfn.XLOOKUP(branches[[#This Row],[Филиал]], tbl_Filialy[Филиал], tbl_Filialy[Город])</f>
        <v>Краснодар</v>
      </c>
      <c r="B1434" s="1" t="s">
        <v>31</v>
      </c>
      <c r="C1434" s="2">
        <v>45823</v>
      </c>
      <c r="D1434" s="2" t="str">
        <f>CHOOSE(MONTH(branches[[#This Row],[Дата]]),"Январь","Февраль","Март","Апрель","Май","Июнь","Июль","Август","Сентябрь","Октябрь","Ноябрь","Декабрь")&amp;" "&amp;YEAR(branches[[#This Row],[Дата]])</f>
        <v>Июнь 2025</v>
      </c>
      <c r="E1434" t="s">
        <v>16</v>
      </c>
      <c r="F1434" t="s">
        <v>17</v>
      </c>
      <c r="G1434">
        <v>2</v>
      </c>
      <c r="H1434">
        <v>642</v>
      </c>
      <c r="I1434" t="s">
        <v>13</v>
      </c>
      <c r="J1434" t="str">
        <f>_xlfn.XLOOKUP(branches[[#This Row],[Филиал]], tbl_Filialy[Филиал], tbl_Filialy[Менеджер])</f>
        <v>Павел Ткаченко</v>
      </c>
    </row>
    <row r="1435" spans="1:10" x14ac:dyDescent="0.3">
      <c r="A1435" t="str">
        <f>_xlfn.XLOOKUP(branches[[#This Row],[Филиал]], tbl_Filialy[Филиал], tbl_Filialy[Город])</f>
        <v>Краснодар</v>
      </c>
      <c r="B1435" s="1" t="s">
        <v>31</v>
      </c>
      <c r="C1435" s="2">
        <v>45856</v>
      </c>
      <c r="D1435" s="2" t="str">
        <f>CHOOSE(MONTH(branches[[#This Row],[Дата]]),"Январь","Февраль","Март","Апрель","Май","Июнь","Июль","Август","Сентябрь","Октябрь","Ноябрь","Декабрь")&amp;" "&amp;YEAR(branches[[#This Row],[Дата]])</f>
        <v>Июль 2025</v>
      </c>
      <c r="E1435" t="s">
        <v>11</v>
      </c>
      <c r="F1435" t="s">
        <v>12</v>
      </c>
      <c r="G1435">
        <v>2</v>
      </c>
      <c r="H1435">
        <v>378</v>
      </c>
      <c r="I1435" t="s">
        <v>13</v>
      </c>
      <c r="J1435" t="str">
        <f>_xlfn.XLOOKUP(branches[[#This Row],[Филиал]], tbl_Filialy[Филиал], tbl_Filialy[Менеджер])</f>
        <v>Павел Ткаченко</v>
      </c>
    </row>
    <row r="1436" spans="1:10" x14ac:dyDescent="0.3">
      <c r="A1436" t="str">
        <f>_xlfn.XLOOKUP(branches[[#This Row],[Филиал]], tbl_Filialy[Филиал], tbl_Filialy[Город])</f>
        <v>Краснодар</v>
      </c>
      <c r="B1436" s="1" t="s">
        <v>31</v>
      </c>
      <c r="C1436" s="2">
        <v>45880</v>
      </c>
      <c r="D1436" s="2" t="str">
        <f>CHOOSE(MONTH(branches[[#This Row],[Дата]]),"Январь","Февраль","Март","Апрель","Май","Июнь","Июль","Август","Сентябрь","Октябрь","Ноябрь","Декабрь")&amp;" "&amp;YEAR(branches[[#This Row],[Дата]])</f>
        <v>Август 2025</v>
      </c>
      <c r="E1436" t="s">
        <v>25</v>
      </c>
      <c r="F1436" t="s">
        <v>12</v>
      </c>
      <c r="G1436">
        <v>3</v>
      </c>
      <c r="H1436">
        <v>585</v>
      </c>
      <c r="I1436" t="s">
        <v>33</v>
      </c>
      <c r="J1436" t="str">
        <f>_xlfn.XLOOKUP(branches[[#This Row],[Филиал]], tbl_Filialy[Филиал], tbl_Filialy[Менеджер])</f>
        <v>Павел Ткаченко</v>
      </c>
    </row>
    <row r="1437" spans="1:10" x14ac:dyDescent="0.3">
      <c r="A1437" t="str">
        <f>_xlfn.XLOOKUP(branches[[#This Row],[Филиал]], tbl_Filialy[Филиал], tbl_Filialy[Город])</f>
        <v>Краснодар</v>
      </c>
      <c r="B1437" s="1" t="s">
        <v>31</v>
      </c>
      <c r="C1437" s="2">
        <v>45993</v>
      </c>
      <c r="D1437" s="2" t="str">
        <f>CHOOSE(MONTH(branches[[#This Row],[Дата]]),"Январь","Февраль","Март","Апрель","Май","Июнь","Июль","Август","Сентябрь","Октябрь","Ноябрь","Декабрь")&amp;" "&amp;YEAR(branches[[#This Row],[Дата]])</f>
        <v>Декабрь 2025</v>
      </c>
      <c r="E1437" t="s">
        <v>26</v>
      </c>
      <c r="F1437" t="s">
        <v>9</v>
      </c>
      <c r="G1437">
        <v>3</v>
      </c>
      <c r="H1437">
        <v>576</v>
      </c>
      <c r="I1437" t="s">
        <v>19</v>
      </c>
      <c r="J1437" t="str">
        <f>_xlfn.XLOOKUP(branches[[#This Row],[Филиал]], tbl_Filialy[Филиал], tbl_Filialy[Менеджер])</f>
        <v>Павел Ткаченко</v>
      </c>
    </row>
    <row r="1438" spans="1:10" x14ac:dyDescent="0.3">
      <c r="A1438" t="str">
        <f>_xlfn.XLOOKUP(branches[[#This Row],[Филиал]], tbl_Filialy[Филиал], tbl_Filialy[Город])</f>
        <v>Краснодар</v>
      </c>
      <c r="B1438" s="1" t="s">
        <v>31</v>
      </c>
      <c r="C1438" s="2">
        <v>45931</v>
      </c>
      <c r="D1438" s="2" t="str">
        <f>CHOOSE(MONTH(branches[[#This Row],[Дата]]),"Январь","Февраль","Март","Апрель","Май","Июнь","Июль","Август","Сентябрь","Октябрь","Ноябрь","Декабрь")&amp;" "&amp;YEAR(branches[[#This Row],[Дата]])</f>
        <v>Октябрь 2025</v>
      </c>
      <c r="E1438" t="s">
        <v>11</v>
      </c>
      <c r="F1438" t="s">
        <v>12</v>
      </c>
      <c r="G1438">
        <v>2</v>
      </c>
      <c r="H1438">
        <v>338</v>
      </c>
      <c r="I1438" t="s">
        <v>13</v>
      </c>
      <c r="J1438" t="str">
        <f>_xlfn.XLOOKUP(branches[[#This Row],[Филиал]], tbl_Filialy[Филиал], tbl_Filialy[Менеджер])</f>
        <v>Павел Ткаченко</v>
      </c>
    </row>
    <row r="1439" spans="1:10" x14ac:dyDescent="0.3">
      <c r="A1439" t="str">
        <f>_xlfn.XLOOKUP(branches[[#This Row],[Филиал]], tbl_Filialy[Филиал], tbl_Filialy[Город])</f>
        <v>Краснодар</v>
      </c>
      <c r="B1439" s="1" t="s">
        <v>31</v>
      </c>
      <c r="C1439" s="2">
        <v>45740</v>
      </c>
      <c r="D1439" s="2" t="str">
        <f>CHOOSE(MONTH(branches[[#This Row],[Дата]]),"Январь","Февраль","Март","Апрель","Май","Июнь","Июль","Август","Сентябрь","Октябрь","Ноябрь","Декабрь")&amp;" "&amp;YEAR(branches[[#This Row],[Дата]])</f>
        <v>Март 2025</v>
      </c>
      <c r="E1439" t="s">
        <v>22</v>
      </c>
      <c r="F1439" t="s">
        <v>9</v>
      </c>
      <c r="G1439">
        <v>2</v>
      </c>
      <c r="H1439">
        <v>348</v>
      </c>
      <c r="I1439" t="s">
        <v>13</v>
      </c>
      <c r="J1439" t="str">
        <f>_xlfn.XLOOKUP(branches[[#This Row],[Филиал]], tbl_Filialy[Филиал], tbl_Filialy[Менеджер])</f>
        <v>Павел Ткаченко</v>
      </c>
    </row>
    <row r="1440" spans="1:10" x14ac:dyDescent="0.3">
      <c r="A1440" t="str">
        <f>_xlfn.XLOOKUP(branches[[#This Row],[Филиал]], tbl_Filialy[Филиал], tbl_Filialy[Город])</f>
        <v>Краснодар</v>
      </c>
      <c r="B1440" s="1" t="s">
        <v>31</v>
      </c>
      <c r="C1440" s="2">
        <v>46015</v>
      </c>
      <c r="D1440" s="2" t="str">
        <f>CHOOSE(MONTH(branches[[#This Row],[Дата]]),"Январь","Февраль","Март","Апрель","Май","Июнь","Июль","Август","Сентябрь","Октябрь","Ноябрь","Декабрь")&amp;" "&amp;YEAR(branches[[#This Row],[Дата]])</f>
        <v>Декабрь 2025</v>
      </c>
      <c r="E1440" t="s">
        <v>25</v>
      </c>
      <c r="F1440" t="s">
        <v>12</v>
      </c>
      <c r="G1440">
        <v>2</v>
      </c>
      <c r="H1440">
        <v>490</v>
      </c>
      <c r="I1440" t="s">
        <v>19</v>
      </c>
      <c r="J1440" t="str">
        <f>_xlfn.XLOOKUP(branches[[#This Row],[Филиал]], tbl_Filialy[Филиал], tbl_Filialy[Менеджер])</f>
        <v>Павел Ткаченко</v>
      </c>
    </row>
    <row r="1441" spans="1:10" x14ac:dyDescent="0.3">
      <c r="A1441" t="str">
        <f>_xlfn.XLOOKUP(branches[[#This Row],[Филиал]], tbl_Filialy[Филиал], tbl_Filialy[Город])</f>
        <v>Краснодар</v>
      </c>
      <c r="B1441" s="1" t="s">
        <v>31</v>
      </c>
      <c r="C1441" s="2">
        <v>45862</v>
      </c>
      <c r="D1441" s="2" t="str">
        <f>CHOOSE(MONTH(branches[[#This Row],[Дата]]),"Январь","Февраль","Март","Апрель","Май","Июнь","Июль","Август","Сентябрь","Октябрь","Ноябрь","Декабрь")&amp;" "&amp;YEAR(branches[[#This Row],[Дата]])</f>
        <v>Июль 2025</v>
      </c>
      <c r="E1441" t="s">
        <v>11</v>
      </c>
      <c r="F1441" t="s">
        <v>12</v>
      </c>
      <c r="G1441">
        <v>2</v>
      </c>
      <c r="H1441">
        <v>316</v>
      </c>
      <c r="I1441" t="s">
        <v>13</v>
      </c>
      <c r="J1441" t="str">
        <f>_xlfn.XLOOKUP(branches[[#This Row],[Филиал]], tbl_Filialy[Филиал], tbl_Filialy[Менеджер])</f>
        <v>Павел Ткаченко</v>
      </c>
    </row>
    <row r="1442" spans="1:10" x14ac:dyDescent="0.3">
      <c r="A1442" t="str">
        <f>_xlfn.XLOOKUP(branches[[#This Row],[Филиал]], tbl_Filialy[Филиал], tbl_Filialy[Город])</f>
        <v>Краснодар</v>
      </c>
      <c r="B1442" s="1" t="s">
        <v>31</v>
      </c>
      <c r="C1442" s="2">
        <v>45855</v>
      </c>
      <c r="D1442" s="2" t="str">
        <f>CHOOSE(MONTH(branches[[#This Row],[Дата]]),"Январь","Февраль","Март","Апрель","Май","Июнь","Июль","Август","Сентябрь","Октябрь","Ноябрь","Декабрь")&amp;" "&amp;YEAR(branches[[#This Row],[Дата]])</f>
        <v>Июль 2025</v>
      </c>
      <c r="E1442" t="s">
        <v>8</v>
      </c>
      <c r="F1442" t="s">
        <v>9</v>
      </c>
      <c r="G1442">
        <v>2</v>
      </c>
      <c r="H1442">
        <v>552</v>
      </c>
      <c r="I1442" t="s">
        <v>34</v>
      </c>
      <c r="J1442" t="str">
        <f>_xlfn.XLOOKUP(branches[[#This Row],[Филиал]], tbl_Filialy[Филиал], tbl_Filialy[Менеджер])</f>
        <v>Павел Ткаченко</v>
      </c>
    </row>
    <row r="1443" spans="1:10" x14ac:dyDescent="0.3">
      <c r="A1443" t="str">
        <f>_xlfn.XLOOKUP(branches[[#This Row],[Филиал]], tbl_Filialy[Филиал], tbl_Filialy[Город])</f>
        <v>Краснодар</v>
      </c>
      <c r="B1443" s="1" t="s">
        <v>31</v>
      </c>
      <c r="C1443" s="2">
        <v>45670</v>
      </c>
      <c r="D1443" s="2" t="str">
        <f>CHOOSE(MONTH(branches[[#This Row],[Дата]]),"Январь","Февраль","Март","Апрель","Май","Июнь","Июль","Август","Сентябрь","Октябрь","Ноябрь","Декабрь")&amp;" "&amp;YEAR(branches[[#This Row],[Дата]])</f>
        <v>Январь 2025</v>
      </c>
      <c r="E1443" t="s">
        <v>11</v>
      </c>
      <c r="F1443" t="s">
        <v>12</v>
      </c>
      <c r="G1443">
        <v>2</v>
      </c>
      <c r="H1443">
        <v>370</v>
      </c>
      <c r="I1443" t="s">
        <v>34</v>
      </c>
      <c r="J1443" t="str">
        <f>_xlfn.XLOOKUP(branches[[#This Row],[Филиал]], tbl_Filialy[Филиал], tbl_Filialy[Менеджер])</f>
        <v>Павел Ткаченко</v>
      </c>
    </row>
    <row r="1444" spans="1:10" x14ac:dyDescent="0.3">
      <c r="A1444" t="str">
        <f>_xlfn.XLOOKUP(branches[[#This Row],[Филиал]], tbl_Filialy[Филиал], tbl_Filialy[Город])</f>
        <v>Краснодар</v>
      </c>
      <c r="B1444" s="1" t="s">
        <v>31</v>
      </c>
      <c r="C1444" s="2">
        <v>45842</v>
      </c>
      <c r="D1444" s="2" t="str">
        <f>CHOOSE(MONTH(branches[[#This Row],[Дата]]),"Январь","Февраль","Март","Апрель","Май","Июнь","Июль","Август","Сентябрь","Октябрь","Ноябрь","Декабрь")&amp;" "&amp;YEAR(branches[[#This Row],[Дата]])</f>
        <v>Июль 2025</v>
      </c>
      <c r="E1444" t="s">
        <v>28</v>
      </c>
      <c r="F1444" t="s">
        <v>12</v>
      </c>
      <c r="G1444">
        <v>1</v>
      </c>
      <c r="H1444">
        <v>255</v>
      </c>
      <c r="I1444" t="s">
        <v>19</v>
      </c>
      <c r="J1444" t="str">
        <f>_xlfn.XLOOKUP(branches[[#This Row],[Филиал]], tbl_Filialy[Филиал], tbl_Filialy[Менеджер])</f>
        <v>Павел Ткаченко</v>
      </c>
    </row>
    <row r="1445" spans="1:10" x14ac:dyDescent="0.3">
      <c r="A1445" t="str">
        <f>_xlfn.XLOOKUP(branches[[#This Row],[Филиал]], tbl_Filialy[Филиал], tbl_Filialy[Город])</f>
        <v>Краснодар</v>
      </c>
      <c r="B1445" s="1" t="s">
        <v>31</v>
      </c>
      <c r="C1445" s="2">
        <v>45790</v>
      </c>
      <c r="D1445" s="2" t="str">
        <f>CHOOSE(MONTH(branches[[#This Row],[Дата]]),"Январь","Февраль","Март","Апрель","Май","Июнь","Июль","Август","Сентябрь","Октябрь","Ноябрь","Декабрь")&amp;" "&amp;YEAR(branches[[#This Row],[Дата]])</f>
        <v>Май 2025</v>
      </c>
      <c r="E1445" t="s">
        <v>18</v>
      </c>
      <c r="F1445" t="s">
        <v>12</v>
      </c>
      <c r="G1445">
        <v>1</v>
      </c>
      <c r="H1445">
        <v>159</v>
      </c>
      <c r="I1445" t="s">
        <v>32</v>
      </c>
      <c r="J1445" t="str">
        <f>_xlfn.XLOOKUP(branches[[#This Row],[Филиал]], tbl_Filialy[Филиал], tbl_Filialy[Менеджер])</f>
        <v>Павел Ткаченко</v>
      </c>
    </row>
    <row r="1446" spans="1:10" x14ac:dyDescent="0.3">
      <c r="A1446" t="str">
        <f>_xlfn.XLOOKUP(branches[[#This Row],[Филиал]], tbl_Filialy[Филиал], tbl_Filialy[Город])</f>
        <v>Краснодар</v>
      </c>
      <c r="B1446" s="1" t="s">
        <v>31</v>
      </c>
      <c r="C1446" s="2">
        <v>45998</v>
      </c>
      <c r="D1446" s="2" t="str">
        <f>CHOOSE(MONTH(branches[[#This Row],[Дата]]),"Январь","Февраль","Март","Апрель","Май","Июнь","Июль","Август","Сентябрь","Октябрь","Ноябрь","Декабрь")&amp;" "&amp;YEAR(branches[[#This Row],[Дата]])</f>
        <v>Декабрь 2025</v>
      </c>
      <c r="E1446" t="s">
        <v>18</v>
      </c>
      <c r="F1446" t="s">
        <v>12</v>
      </c>
      <c r="G1446">
        <v>1</v>
      </c>
      <c r="H1446">
        <v>153</v>
      </c>
      <c r="I1446" t="s">
        <v>32</v>
      </c>
      <c r="J1446" t="str">
        <f>_xlfn.XLOOKUP(branches[[#This Row],[Филиал]], tbl_Filialy[Филиал], tbl_Filialy[Менеджер])</f>
        <v>Павел Ткаченко</v>
      </c>
    </row>
    <row r="1447" spans="1:10" x14ac:dyDescent="0.3">
      <c r="A1447" t="str">
        <f>_xlfn.XLOOKUP(branches[[#This Row],[Филиал]], tbl_Filialy[Филиал], tbl_Filialy[Город])</f>
        <v>Краснодар</v>
      </c>
      <c r="B1447" s="1" t="s">
        <v>31</v>
      </c>
      <c r="C1447" s="2">
        <v>45847</v>
      </c>
      <c r="D1447" s="2" t="str">
        <f>CHOOSE(MONTH(branches[[#This Row],[Дата]]),"Январь","Февраль","Март","Апрель","Май","Июнь","Июль","Август","Сентябрь","Октябрь","Ноябрь","Декабрь")&amp;" "&amp;YEAR(branches[[#This Row],[Дата]])</f>
        <v>Июль 2025</v>
      </c>
      <c r="E1447" t="s">
        <v>26</v>
      </c>
      <c r="F1447" t="s">
        <v>9</v>
      </c>
      <c r="G1447">
        <v>1</v>
      </c>
      <c r="H1447">
        <v>213</v>
      </c>
      <c r="I1447" t="s">
        <v>32</v>
      </c>
      <c r="J1447" t="str">
        <f>_xlfn.XLOOKUP(branches[[#This Row],[Филиал]], tbl_Filialy[Филиал], tbl_Filialy[Менеджер])</f>
        <v>Павел Ткаченко</v>
      </c>
    </row>
    <row r="1448" spans="1:10" x14ac:dyDescent="0.3">
      <c r="A1448" t="str">
        <f>_xlfn.XLOOKUP(branches[[#This Row],[Филиал]], tbl_Filialy[Филиал], tbl_Filialy[Город])</f>
        <v>Краснодар</v>
      </c>
      <c r="B1448" s="1" t="s">
        <v>31</v>
      </c>
      <c r="C1448" s="2">
        <v>45919</v>
      </c>
      <c r="D1448" s="2" t="str">
        <f>CHOOSE(MONTH(branches[[#This Row],[Дата]]),"Январь","Февраль","Март","Апрель","Май","Июнь","Июль","Август","Сентябрь","Октябрь","Ноябрь","Декабрь")&amp;" "&amp;YEAR(branches[[#This Row],[Дата]])</f>
        <v>Сентябрь 2025</v>
      </c>
      <c r="E1448" t="s">
        <v>24</v>
      </c>
      <c r="F1448" t="s">
        <v>17</v>
      </c>
      <c r="G1448">
        <v>1</v>
      </c>
      <c r="H1448">
        <v>348</v>
      </c>
      <c r="I1448" t="s">
        <v>13</v>
      </c>
      <c r="J1448" t="str">
        <f>_xlfn.XLOOKUP(branches[[#This Row],[Филиал]], tbl_Filialy[Филиал], tbl_Filialy[Менеджер])</f>
        <v>Павел Ткаченко</v>
      </c>
    </row>
    <row r="1449" spans="1:10" x14ac:dyDescent="0.3">
      <c r="A1449" t="str">
        <f>_xlfn.XLOOKUP(branches[[#This Row],[Филиал]], tbl_Filialy[Филиал], tbl_Filialy[Город])</f>
        <v>Краснодар</v>
      </c>
      <c r="B1449" s="1" t="s">
        <v>31</v>
      </c>
      <c r="C1449" s="2">
        <v>45714</v>
      </c>
      <c r="D1449" s="2" t="str">
        <f>CHOOSE(MONTH(branches[[#This Row],[Дата]]),"Январь","Февраль","Март","Апрель","Май","Июнь","Июль","Август","Сентябрь","Октябрь","Ноябрь","Декабрь")&amp;" "&amp;YEAR(branches[[#This Row],[Дата]])</f>
        <v>Февраль 2025</v>
      </c>
      <c r="E1449" t="s">
        <v>8</v>
      </c>
      <c r="F1449" t="s">
        <v>9</v>
      </c>
      <c r="G1449">
        <v>3</v>
      </c>
      <c r="H1449">
        <v>753</v>
      </c>
      <c r="I1449" t="s">
        <v>13</v>
      </c>
      <c r="J1449" t="str">
        <f>_xlfn.XLOOKUP(branches[[#This Row],[Филиал]], tbl_Filialy[Филиал], tbl_Filialy[Менеджер])</f>
        <v>Павел Ткаченко</v>
      </c>
    </row>
    <row r="1450" spans="1:10" x14ac:dyDescent="0.3">
      <c r="A1450" t="str">
        <f>_xlfn.XLOOKUP(branches[[#This Row],[Филиал]], tbl_Filialy[Филиал], tbl_Filialy[Город])</f>
        <v>Краснодар</v>
      </c>
      <c r="B1450" s="1" t="s">
        <v>31</v>
      </c>
      <c r="C1450" s="2">
        <v>45840</v>
      </c>
      <c r="D1450" s="2" t="str">
        <f>CHOOSE(MONTH(branches[[#This Row],[Дата]]),"Январь","Февраль","Март","Апрель","Май","Июнь","Июль","Август","Сентябрь","Октябрь","Ноябрь","Декабрь")&amp;" "&amp;YEAR(branches[[#This Row],[Дата]])</f>
        <v>Июль 2025</v>
      </c>
      <c r="E1450" t="s">
        <v>27</v>
      </c>
      <c r="F1450" t="s">
        <v>12</v>
      </c>
      <c r="G1450">
        <v>2</v>
      </c>
      <c r="H1450">
        <v>388</v>
      </c>
      <c r="I1450" t="s">
        <v>13</v>
      </c>
      <c r="J1450" t="str">
        <f>_xlfn.XLOOKUP(branches[[#This Row],[Филиал]], tbl_Filialy[Филиал], tbl_Filialy[Менеджер])</f>
        <v>Павел Ткаченко</v>
      </c>
    </row>
    <row r="1451" spans="1:10" x14ac:dyDescent="0.3">
      <c r="A1451" t="str">
        <f>_xlfn.XLOOKUP(branches[[#This Row],[Филиал]], tbl_Filialy[Филиал], tbl_Filialy[Город])</f>
        <v>Краснодар</v>
      </c>
      <c r="B1451" s="1" t="s">
        <v>31</v>
      </c>
      <c r="C1451" s="2">
        <v>45926</v>
      </c>
      <c r="D1451" s="2" t="str">
        <f>CHOOSE(MONTH(branches[[#This Row],[Дата]]),"Январь","Февраль","Март","Апрель","Май","Июнь","Июль","Август","Сентябрь","Октябрь","Ноябрь","Декабрь")&amp;" "&amp;YEAR(branches[[#This Row],[Дата]])</f>
        <v>Сентябрь 2025</v>
      </c>
      <c r="E1451" t="s">
        <v>25</v>
      </c>
      <c r="F1451" t="s">
        <v>12</v>
      </c>
      <c r="G1451">
        <v>1</v>
      </c>
      <c r="H1451">
        <v>225</v>
      </c>
      <c r="I1451" t="s">
        <v>34</v>
      </c>
      <c r="J1451" t="str">
        <f>_xlfn.XLOOKUP(branches[[#This Row],[Филиал]], tbl_Filialy[Филиал], tbl_Filialy[Менеджер])</f>
        <v>Павел Ткаченко</v>
      </c>
    </row>
    <row r="1452" spans="1:10" x14ac:dyDescent="0.3">
      <c r="A1452" t="str">
        <f>_xlfn.XLOOKUP(branches[[#This Row],[Филиал]], tbl_Filialy[Филиал], tbl_Filialy[Город])</f>
        <v>Краснодар</v>
      </c>
      <c r="B1452" s="1" t="s">
        <v>31</v>
      </c>
      <c r="C1452" s="2">
        <v>45714</v>
      </c>
      <c r="D1452" s="2" t="str">
        <f>CHOOSE(MONTH(branches[[#This Row],[Дата]]),"Январь","Февраль","Март","Апрель","Май","Июнь","Июль","Август","Сентябрь","Октябрь","Ноябрь","Декабрь")&amp;" "&amp;YEAR(branches[[#This Row],[Дата]])</f>
        <v>Февраль 2025</v>
      </c>
      <c r="E1452" t="s">
        <v>24</v>
      </c>
      <c r="F1452" t="s">
        <v>17</v>
      </c>
      <c r="G1452">
        <v>1</v>
      </c>
      <c r="H1452">
        <v>399</v>
      </c>
      <c r="I1452" t="s">
        <v>19</v>
      </c>
      <c r="J1452" t="str">
        <f>_xlfn.XLOOKUP(branches[[#This Row],[Филиал]], tbl_Filialy[Филиал], tbl_Filialy[Менеджер])</f>
        <v>Павел Ткаченко</v>
      </c>
    </row>
    <row r="1453" spans="1:10" x14ac:dyDescent="0.3">
      <c r="A1453" t="str">
        <f>_xlfn.XLOOKUP(branches[[#This Row],[Филиал]], tbl_Filialy[Филиал], tbl_Filialy[Город])</f>
        <v>Краснодар</v>
      </c>
      <c r="B1453" s="1" t="s">
        <v>31</v>
      </c>
      <c r="C1453" s="2">
        <v>45897</v>
      </c>
      <c r="D1453" s="2" t="str">
        <f>CHOOSE(MONTH(branches[[#This Row],[Дата]]),"Январь","Февраль","Март","Апрель","Май","Июнь","Июль","Август","Сентябрь","Октябрь","Ноябрь","Декабрь")&amp;" "&amp;YEAR(branches[[#This Row],[Дата]])</f>
        <v>Август 2025</v>
      </c>
      <c r="E1453" t="s">
        <v>24</v>
      </c>
      <c r="F1453" t="s">
        <v>17</v>
      </c>
      <c r="G1453">
        <v>2</v>
      </c>
      <c r="H1453">
        <v>816</v>
      </c>
      <c r="I1453" t="s">
        <v>35</v>
      </c>
      <c r="J1453" t="str">
        <f>_xlfn.XLOOKUP(branches[[#This Row],[Филиал]], tbl_Filialy[Филиал], tbl_Filialy[Менеджер])</f>
        <v>Павел Ткаченко</v>
      </c>
    </row>
    <row r="1454" spans="1:10" x14ac:dyDescent="0.3">
      <c r="A1454" t="str">
        <f>_xlfn.XLOOKUP(branches[[#This Row],[Филиал]], tbl_Filialy[Филиал], tbl_Filialy[Город])</f>
        <v>Краснодар</v>
      </c>
      <c r="B1454" s="1" t="s">
        <v>31</v>
      </c>
      <c r="C1454" s="2">
        <v>45818</v>
      </c>
      <c r="D1454" s="2" t="str">
        <f>CHOOSE(MONTH(branches[[#This Row],[Дата]]),"Январь","Февраль","Март","Апрель","Май","Июнь","Июль","Август","Сентябрь","Октябрь","Ноябрь","Декабрь")&amp;" "&amp;YEAR(branches[[#This Row],[Дата]])</f>
        <v>Июнь 2025</v>
      </c>
      <c r="E1454" t="s">
        <v>22</v>
      </c>
      <c r="F1454" t="s">
        <v>9</v>
      </c>
      <c r="G1454">
        <v>1</v>
      </c>
      <c r="H1454">
        <v>192</v>
      </c>
      <c r="I1454" t="s">
        <v>32</v>
      </c>
      <c r="J1454" t="str">
        <f>_xlfn.XLOOKUP(branches[[#This Row],[Филиал]], tbl_Filialy[Филиал], tbl_Filialy[Менеджер])</f>
        <v>Павел Ткаченко</v>
      </c>
    </row>
    <row r="1455" spans="1:10" x14ac:dyDescent="0.3">
      <c r="A1455" t="str">
        <f>_xlfn.XLOOKUP(branches[[#This Row],[Филиал]], tbl_Filialy[Филиал], tbl_Filialy[Город])</f>
        <v>Краснодар</v>
      </c>
      <c r="B1455" s="1" t="s">
        <v>31</v>
      </c>
      <c r="C1455" s="2">
        <v>45668</v>
      </c>
      <c r="D1455" s="2" t="str">
        <f>CHOOSE(MONTH(branches[[#This Row],[Дата]]),"Январь","Февраль","Март","Апрель","Май","Июнь","Июль","Август","Сентябрь","Октябрь","Ноябрь","Декабрь")&amp;" "&amp;YEAR(branches[[#This Row],[Дата]])</f>
        <v>Январь 2025</v>
      </c>
      <c r="E1455" t="s">
        <v>11</v>
      </c>
      <c r="F1455" t="s">
        <v>12</v>
      </c>
      <c r="G1455">
        <v>2</v>
      </c>
      <c r="H1455">
        <v>330</v>
      </c>
      <c r="I1455" t="s">
        <v>33</v>
      </c>
      <c r="J1455" t="str">
        <f>_xlfn.XLOOKUP(branches[[#This Row],[Филиал]], tbl_Filialy[Филиал], tbl_Filialy[Менеджер])</f>
        <v>Павел Ткаченко</v>
      </c>
    </row>
    <row r="1456" spans="1:10" x14ac:dyDescent="0.3">
      <c r="A1456" t="str">
        <f>_xlfn.XLOOKUP(branches[[#This Row],[Филиал]], tbl_Filialy[Филиал], tbl_Filialy[Город])</f>
        <v>Краснодар</v>
      </c>
      <c r="B1456" s="1" t="s">
        <v>31</v>
      </c>
      <c r="C1456" s="2">
        <v>45996</v>
      </c>
      <c r="D1456" s="2" t="str">
        <f>CHOOSE(MONTH(branches[[#This Row],[Дата]]),"Январь","Февраль","Март","Апрель","Май","Июнь","Июль","Август","Сентябрь","Октябрь","Ноябрь","Декабрь")&amp;" "&amp;YEAR(branches[[#This Row],[Дата]])</f>
        <v>Декабрь 2025</v>
      </c>
      <c r="E1456" t="s">
        <v>20</v>
      </c>
      <c r="F1456" t="s">
        <v>12</v>
      </c>
      <c r="G1456">
        <v>2</v>
      </c>
      <c r="H1456">
        <v>520</v>
      </c>
      <c r="I1456" t="s">
        <v>35</v>
      </c>
      <c r="J1456" t="str">
        <f>_xlfn.XLOOKUP(branches[[#This Row],[Филиал]], tbl_Filialy[Филиал], tbl_Filialy[Менеджер])</f>
        <v>Павел Ткаченко</v>
      </c>
    </row>
    <row r="1457" spans="1:10" x14ac:dyDescent="0.3">
      <c r="A1457" t="str">
        <f>_xlfn.XLOOKUP(branches[[#This Row],[Филиал]], tbl_Filialy[Филиал], tbl_Filialy[Город])</f>
        <v>Краснодар</v>
      </c>
      <c r="B1457" s="1" t="s">
        <v>31</v>
      </c>
      <c r="C1457" s="2">
        <v>45847</v>
      </c>
      <c r="D1457" s="2" t="str">
        <f>CHOOSE(MONTH(branches[[#This Row],[Дата]]),"Январь","Февраль","Март","Апрель","Май","Июнь","Июль","Август","Сентябрь","Октябрь","Ноябрь","Декабрь")&amp;" "&amp;YEAR(branches[[#This Row],[Дата]])</f>
        <v>Июль 2025</v>
      </c>
      <c r="E1457" t="s">
        <v>18</v>
      </c>
      <c r="F1457" t="s">
        <v>12</v>
      </c>
      <c r="G1457">
        <v>3</v>
      </c>
      <c r="H1457">
        <v>471</v>
      </c>
      <c r="I1457" t="s">
        <v>33</v>
      </c>
      <c r="J1457" t="str">
        <f>_xlfn.XLOOKUP(branches[[#This Row],[Филиал]], tbl_Filialy[Филиал], tbl_Filialy[Менеджер])</f>
        <v>Павел Ткаченко</v>
      </c>
    </row>
    <row r="1458" spans="1:10" x14ac:dyDescent="0.3">
      <c r="A1458" t="str">
        <f>_xlfn.XLOOKUP(branches[[#This Row],[Филиал]], tbl_Filialy[Филиал], tbl_Filialy[Город])</f>
        <v>Краснодар</v>
      </c>
      <c r="B1458" s="1" t="s">
        <v>31</v>
      </c>
      <c r="C1458" s="2">
        <v>45935</v>
      </c>
      <c r="D1458" s="2" t="str">
        <f>CHOOSE(MONTH(branches[[#This Row],[Дата]]),"Январь","Февраль","Март","Апрель","Май","Июнь","Июль","Август","Сентябрь","Октябрь","Ноябрь","Декабрь")&amp;" "&amp;YEAR(branches[[#This Row],[Дата]])</f>
        <v>Октябрь 2025</v>
      </c>
      <c r="E1458" t="s">
        <v>16</v>
      </c>
      <c r="F1458" t="s">
        <v>17</v>
      </c>
      <c r="G1458">
        <v>1</v>
      </c>
      <c r="H1458">
        <v>335</v>
      </c>
      <c r="I1458" t="s">
        <v>35</v>
      </c>
      <c r="J1458" t="str">
        <f>_xlfn.XLOOKUP(branches[[#This Row],[Филиал]], tbl_Filialy[Филиал], tbl_Filialy[Менеджер])</f>
        <v>Павел Ткаченко</v>
      </c>
    </row>
    <row r="1459" spans="1:10" x14ac:dyDescent="0.3">
      <c r="A1459" t="str">
        <f>_xlfn.XLOOKUP(branches[[#This Row],[Филиал]], tbl_Filialy[Филиал], tbl_Filialy[Город])</f>
        <v>Краснодар</v>
      </c>
      <c r="B1459" s="1" t="s">
        <v>31</v>
      </c>
      <c r="C1459" s="2">
        <v>45994</v>
      </c>
      <c r="D1459" s="2" t="str">
        <f>CHOOSE(MONTH(branches[[#This Row],[Дата]]),"Январь","Февраль","Март","Апрель","Май","Июнь","Июль","Август","Сентябрь","Октябрь","Ноябрь","Декабрь")&amp;" "&amp;YEAR(branches[[#This Row],[Дата]])</f>
        <v>Декабрь 2025</v>
      </c>
      <c r="E1459" t="s">
        <v>26</v>
      </c>
      <c r="F1459" t="s">
        <v>9</v>
      </c>
      <c r="G1459">
        <v>2</v>
      </c>
      <c r="H1459">
        <v>418</v>
      </c>
      <c r="I1459" t="s">
        <v>19</v>
      </c>
      <c r="J1459" t="str">
        <f>_xlfn.XLOOKUP(branches[[#This Row],[Филиал]], tbl_Filialy[Филиал], tbl_Filialy[Менеджер])</f>
        <v>Павел Ткаченко</v>
      </c>
    </row>
    <row r="1460" spans="1:10" x14ac:dyDescent="0.3">
      <c r="A1460" t="str">
        <f>_xlfn.XLOOKUP(branches[[#This Row],[Филиал]], tbl_Filialy[Филиал], tbl_Filialy[Город])</f>
        <v>Краснодар</v>
      </c>
      <c r="B1460" s="1" t="s">
        <v>31</v>
      </c>
      <c r="C1460" s="2">
        <v>45969</v>
      </c>
      <c r="D1460" s="2" t="str">
        <f>CHOOSE(MONTH(branches[[#This Row],[Дата]]),"Январь","Февраль","Март","Апрель","Май","Июнь","Июль","Август","Сентябрь","Октябрь","Ноябрь","Декабрь")&amp;" "&amp;YEAR(branches[[#This Row],[Дата]])</f>
        <v>Ноябрь 2025</v>
      </c>
      <c r="E1460" t="s">
        <v>8</v>
      </c>
      <c r="F1460" t="s">
        <v>9</v>
      </c>
      <c r="G1460">
        <v>2</v>
      </c>
      <c r="H1460">
        <v>502</v>
      </c>
      <c r="I1460" t="s">
        <v>34</v>
      </c>
      <c r="J1460" t="str">
        <f>_xlfn.XLOOKUP(branches[[#This Row],[Филиал]], tbl_Filialy[Филиал], tbl_Filialy[Менеджер])</f>
        <v>Павел Ткаченко</v>
      </c>
    </row>
    <row r="1461" spans="1:10" x14ac:dyDescent="0.3">
      <c r="A1461" t="str">
        <f>_xlfn.XLOOKUP(branches[[#This Row],[Филиал]], tbl_Filialy[Филиал], tbl_Filialy[Город])</f>
        <v>Краснодар</v>
      </c>
      <c r="B1461" s="1" t="s">
        <v>31</v>
      </c>
      <c r="C1461" s="2">
        <v>45670</v>
      </c>
      <c r="D1461" s="2" t="str">
        <f>CHOOSE(MONTH(branches[[#This Row],[Дата]]),"Январь","Февраль","Март","Апрель","Май","Июнь","Июль","Август","Сентябрь","Октябрь","Ноябрь","Декабрь")&amp;" "&amp;YEAR(branches[[#This Row],[Дата]])</f>
        <v>Январь 2025</v>
      </c>
      <c r="E1461" t="s">
        <v>24</v>
      </c>
      <c r="F1461" t="s">
        <v>17</v>
      </c>
      <c r="G1461">
        <v>1</v>
      </c>
      <c r="H1461">
        <v>393</v>
      </c>
      <c r="I1461" t="s">
        <v>34</v>
      </c>
      <c r="J1461" t="str">
        <f>_xlfn.XLOOKUP(branches[[#This Row],[Филиал]], tbl_Filialy[Филиал], tbl_Filialy[Менеджер])</f>
        <v>Павел Ткаченко</v>
      </c>
    </row>
    <row r="1462" spans="1:10" x14ac:dyDescent="0.3">
      <c r="A1462" t="str">
        <f>_xlfn.XLOOKUP(branches[[#This Row],[Филиал]], tbl_Filialy[Филиал], tbl_Filialy[Город])</f>
        <v>Краснодар</v>
      </c>
      <c r="B1462" s="1" t="s">
        <v>31</v>
      </c>
      <c r="C1462" s="2">
        <v>45792</v>
      </c>
      <c r="D1462" s="2" t="str">
        <f>CHOOSE(MONTH(branches[[#This Row],[Дата]]),"Январь","Февраль","Март","Апрель","Май","Июнь","Июль","Август","Сентябрь","Октябрь","Ноябрь","Декабрь")&amp;" "&amp;YEAR(branches[[#This Row],[Дата]])</f>
        <v>Май 2025</v>
      </c>
      <c r="E1462" t="s">
        <v>8</v>
      </c>
      <c r="F1462" t="s">
        <v>9</v>
      </c>
      <c r="G1462">
        <v>2</v>
      </c>
      <c r="H1462">
        <v>454</v>
      </c>
      <c r="I1462" t="s">
        <v>33</v>
      </c>
      <c r="J1462" t="str">
        <f>_xlfn.XLOOKUP(branches[[#This Row],[Филиал]], tbl_Filialy[Филиал], tbl_Filialy[Менеджер])</f>
        <v>Павел Ткаченко</v>
      </c>
    </row>
    <row r="1463" spans="1:10" x14ac:dyDescent="0.3">
      <c r="A1463" t="str">
        <f>_xlfn.XLOOKUP(branches[[#This Row],[Филиал]], tbl_Filialy[Филиал], tbl_Filialy[Город])</f>
        <v>Краснодар</v>
      </c>
      <c r="B1463" s="1" t="s">
        <v>31</v>
      </c>
      <c r="C1463" s="2">
        <v>45933</v>
      </c>
      <c r="D1463" s="2" t="str">
        <f>CHOOSE(MONTH(branches[[#This Row],[Дата]]),"Январь","Февраль","Март","Апрель","Май","Июнь","Июль","Август","Сентябрь","Октябрь","Ноябрь","Декабрь")&amp;" "&amp;YEAR(branches[[#This Row],[Дата]])</f>
        <v>Октябрь 2025</v>
      </c>
      <c r="E1463" t="s">
        <v>25</v>
      </c>
      <c r="F1463" t="s">
        <v>12</v>
      </c>
      <c r="G1463">
        <v>1</v>
      </c>
      <c r="H1463">
        <v>201</v>
      </c>
      <c r="I1463" t="s">
        <v>34</v>
      </c>
      <c r="J1463" t="str">
        <f>_xlfn.XLOOKUP(branches[[#This Row],[Филиал]], tbl_Filialy[Филиал], tbl_Filialy[Менеджер])</f>
        <v>Павел Ткаченко</v>
      </c>
    </row>
    <row r="1464" spans="1:10" x14ac:dyDescent="0.3">
      <c r="A1464" t="str">
        <f>_xlfn.XLOOKUP(branches[[#This Row],[Филиал]], tbl_Filialy[Филиал], tbl_Filialy[Город])</f>
        <v>Краснодар</v>
      </c>
      <c r="B1464" s="1" t="s">
        <v>31</v>
      </c>
      <c r="C1464" s="2">
        <v>45767</v>
      </c>
      <c r="D1464" s="2" t="str">
        <f>CHOOSE(MONTH(branches[[#This Row],[Дата]]),"Январь","Февраль","Март","Апрель","Май","Июнь","Июль","Август","Сентябрь","Октябрь","Ноябрь","Декабрь")&amp;" "&amp;YEAR(branches[[#This Row],[Дата]])</f>
        <v>Апрель 2025</v>
      </c>
      <c r="E1464" t="s">
        <v>25</v>
      </c>
      <c r="F1464" t="s">
        <v>12</v>
      </c>
      <c r="G1464">
        <v>1</v>
      </c>
      <c r="H1464">
        <v>229</v>
      </c>
      <c r="I1464" t="s">
        <v>19</v>
      </c>
      <c r="J1464" t="str">
        <f>_xlfn.XLOOKUP(branches[[#This Row],[Филиал]], tbl_Filialy[Филиал], tbl_Filialy[Менеджер])</f>
        <v>Павел Ткаченко</v>
      </c>
    </row>
    <row r="1465" spans="1:10" x14ac:dyDescent="0.3">
      <c r="A1465" t="str">
        <f>_xlfn.XLOOKUP(branches[[#This Row],[Филиал]], tbl_Filialy[Филиал], tbl_Filialy[Город])</f>
        <v>Краснодар</v>
      </c>
      <c r="B1465" s="1" t="s">
        <v>31</v>
      </c>
      <c r="C1465" s="2">
        <v>45935</v>
      </c>
      <c r="D1465" s="2" t="str">
        <f>CHOOSE(MONTH(branches[[#This Row],[Дата]]),"Январь","Февраль","Март","Апрель","Май","Июнь","Июль","Август","Сентябрь","Октябрь","Ноябрь","Декабрь")&amp;" "&amp;YEAR(branches[[#This Row],[Дата]])</f>
        <v>Октябрь 2025</v>
      </c>
      <c r="E1465" t="s">
        <v>18</v>
      </c>
      <c r="F1465" t="s">
        <v>12</v>
      </c>
      <c r="G1465">
        <v>1</v>
      </c>
      <c r="H1465">
        <v>132</v>
      </c>
      <c r="I1465" t="s">
        <v>32</v>
      </c>
      <c r="J1465" t="str">
        <f>_xlfn.XLOOKUP(branches[[#This Row],[Филиал]], tbl_Filialy[Филиал], tbl_Filialy[Менеджер])</f>
        <v>Павел Ткаченко</v>
      </c>
    </row>
    <row r="1466" spans="1:10" x14ac:dyDescent="0.3">
      <c r="A1466" t="str">
        <f>_xlfn.XLOOKUP(branches[[#This Row],[Филиал]], tbl_Filialy[Филиал], tbl_Filialy[Город])</f>
        <v>Краснодар</v>
      </c>
      <c r="B1466" s="1" t="s">
        <v>31</v>
      </c>
      <c r="C1466" s="2">
        <v>45760</v>
      </c>
      <c r="D1466" s="2" t="str">
        <f>CHOOSE(MONTH(branches[[#This Row],[Дата]]),"Январь","Февраль","Март","Апрель","Май","Июнь","Июль","Август","Сентябрь","Октябрь","Ноябрь","Декабрь")&amp;" "&amp;YEAR(branches[[#This Row],[Дата]])</f>
        <v>Апрель 2025</v>
      </c>
      <c r="E1466" t="s">
        <v>22</v>
      </c>
      <c r="F1466" t="s">
        <v>9</v>
      </c>
      <c r="G1466">
        <v>3</v>
      </c>
      <c r="H1466">
        <v>483</v>
      </c>
      <c r="I1466" t="s">
        <v>34</v>
      </c>
      <c r="J1466" t="str">
        <f>_xlfn.XLOOKUP(branches[[#This Row],[Филиал]], tbl_Filialy[Филиал], tbl_Filialy[Менеджер])</f>
        <v>Павел Ткаченко</v>
      </c>
    </row>
    <row r="1467" spans="1:10" x14ac:dyDescent="0.3">
      <c r="A1467" t="str">
        <f>_xlfn.XLOOKUP(branches[[#This Row],[Филиал]], tbl_Filialy[Филиал], tbl_Filialy[Город])</f>
        <v>Краснодар</v>
      </c>
      <c r="B1467" s="1" t="s">
        <v>31</v>
      </c>
      <c r="C1467" s="2">
        <v>45903</v>
      </c>
      <c r="D1467" s="2" t="str">
        <f>CHOOSE(MONTH(branches[[#This Row],[Дата]]),"Январь","Февраль","Март","Апрель","Май","Июнь","Июль","Август","Сентябрь","Октябрь","Ноябрь","Декабрь")&amp;" "&amp;YEAR(branches[[#This Row],[Дата]])</f>
        <v>Сентябрь 2025</v>
      </c>
      <c r="E1467" t="s">
        <v>20</v>
      </c>
      <c r="F1467" t="s">
        <v>12</v>
      </c>
      <c r="G1467">
        <v>1</v>
      </c>
      <c r="H1467">
        <v>260</v>
      </c>
      <c r="I1467" t="s">
        <v>32</v>
      </c>
      <c r="J1467" t="str">
        <f>_xlfn.XLOOKUP(branches[[#This Row],[Филиал]], tbl_Filialy[Филиал], tbl_Filialy[Менеджер])</f>
        <v>Павел Ткаченко</v>
      </c>
    </row>
    <row r="1468" spans="1:10" x14ac:dyDescent="0.3">
      <c r="A1468" t="str">
        <f>_xlfn.XLOOKUP(branches[[#This Row],[Филиал]], tbl_Filialy[Филиал], tbl_Filialy[Город])</f>
        <v>Краснодар</v>
      </c>
      <c r="B1468" s="1" t="s">
        <v>31</v>
      </c>
      <c r="C1468" s="2">
        <v>45916</v>
      </c>
      <c r="D1468" s="2" t="str">
        <f>CHOOSE(MONTH(branches[[#This Row],[Дата]]),"Январь","Февраль","Март","Апрель","Май","Июнь","Июль","Август","Сентябрь","Октябрь","Ноябрь","Декабрь")&amp;" "&amp;YEAR(branches[[#This Row],[Дата]])</f>
        <v>Сентябрь 2025</v>
      </c>
      <c r="E1468" t="s">
        <v>14</v>
      </c>
      <c r="F1468" t="s">
        <v>12</v>
      </c>
      <c r="G1468">
        <v>3</v>
      </c>
      <c r="H1468">
        <v>804</v>
      </c>
      <c r="I1468" t="s">
        <v>19</v>
      </c>
      <c r="J1468" t="str">
        <f>_xlfn.XLOOKUP(branches[[#This Row],[Филиал]], tbl_Filialy[Филиал], tbl_Filialy[Менеджер])</f>
        <v>Павел Ткаченко</v>
      </c>
    </row>
    <row r="1469" spans="1:10" x14ac:dyDescent="0.3">
      <c r="A1469" t="str">
        <f>_xlfn.XLOOKUP(branches[[#This Row],[Филиал]], tbl_Filialy[Филиал], tbl_Filialy[Город])</f>
        <v>Краснодар</v>
      </c>
      <c r="B1469" s="1" t="s">
        <v>31</v>
      </c>
      <c r="C1469" s="2">
        <v>45801</v>
      </c>
      <c r="D1469" s="2" t="str">
        <f>CHOOSE(MONTH(branches[[#This Row],[Дата]]),"Январь","Февраль","Март","Апрель","Май","Июнь","Июль","Август","Сентябрь","Октябрь","Ноябрь","Декабрь")&amp;" "&amp;YEAR(branches[[#This Row],[Дата]])</f>
        <v>Май 2025</v>
      </c>
      <c r="E1469" t="s">
        <v>22</v>
      </c>
      <c r="F1469" t="s">
        <v>9</v>
      </c>
      <c r="G1469">
        <v>2</v>
      </c>
      <c r="H1469">
        <v>366</v>
      </c>
      <c r="I1469" t="s">
        <v>13</v>
      </c>
      <c r="J1469" t="str">
        <f>_xlfn.XLOOKUP(branches[[#This Row],[Филиал]], tbl_Filialy[Филиал], tbl_Filialy[Менеджер])</f>
        <v>Павел Ткаченко</v>
      </c>
    </row>
    <row r="1470" spans="1:10" x14ac:dyDescent="0.3">
      <c r="A1470" t="str">
        <f>_xlfn.XLOOKUP(branches[[#This Row],[Филиал]], tbl_Filialy[Филиал], tbl_Filialy[Город])</f>
        <v>Краснодар</v>
      </c>
      <c r="B1470" s="1" t="s">
        <v>31</v>
      </c>
      <c r="C1470" s="2">
        <v>45684</v>
      </c>
      <c r="D1470" s="2" t="str">
        <f>CHOOSE(MONTH(branches[[#This Row],[Дата]]),"Январь","Февраль","Март","Апрель","Май","Июнь","Июль","Август","Сентябрь","Октябрь","Ноябрь","Декабрь")&amp;" "&amp;YEAR(branches[[#This Row],[Дата]])</f>
        <v>Январь 2025</v>
      </c>
      <c r="E1470" t="s">
        <v>8</v>
      </c>
      <c r="F1470" t="s">
        <v>9</v>
      </c>
      <c r="G1470">
        <v>2</v>
      </c>
      <c r="H1470">
        <v>460</v>
      </c>
      <c r="I1470" t="s">
        <v>13</v>
      </c>
      <c r="J1470" t="str">
        <f>_xlfn.XLOOKUP(branches[[#This Row],[Филиал]], tbl_Filialy[Филиал], tbl_Filialy[Менеджер])</f>
        <v>Павел Ткаченко</v>
      </c>
    </row>
    <row r="1471" spans="1:10" x14ac:dyDescent="0.3">
      <c r="A1471" t="str">
        <f>_xlfn.XLOOKUP(branches[[#This Row],[Филиал]], tbl_Filialy[Филиал], tbl_Filialy[Город])</f>
        <v>Краснодар</v>
      </c>
      <c r="B1471" s="1" t="s">
        <v>31</v>
      </c>
      <c r="C1471" s="2">
        <v>45914</v>
      </c>
      <c r="D1471" s="2" t="str">
        <f>CHOOSE(MONTH(branches[[#This Row],[Дата]]),"Январь","Февраль","Март","Апрель","Май","Июнь","Июль","Август","Сентябрь","Октябрь","Ноябрь","Декабрь")&amp;" "&amp;YEAR(branches[[#This Row],[Дата]])</f>
        <v>Сентябрь 2025</v>
      </c>
      <c r="E1471" t="s">
        <v>11</v>
      </c>
      <c r="F1471" t="s">
        <v>12</v>
      </c>
      <c r="G1471">
        <v>2</v>
      </c>
      <c r="H1471">
        <v>364</v>
      </c>
      <c r="I1471" t="s">
        <v>34</v>
      </c>
      <c r="J1471" t="str">
        <f>_xlfn.XLOOKUP(branches[[#This Row],[Филиал]], tbl_Filialy[Филиал], tbl_Filialy[Менеджер])</f>
        <v>Павел Ткаченко</v>
      </c>
    </row>
    <row r="1472" spans="1:10" x14ac:dyDescent="0.3">
      <c r="A1472" t="str">
        <f>_xlfn.XLOOKUP(branches[[#This Row],[Филиал]], tbl_Filialy[Филиал], tbl_Filialy[Город])</f>
        <v>Краснодар</v>
      </c>
      <c r="B1472" s="1" t="s">
        <v>31</v>
      </c>
      <c r="C1472" s="2">
        <v>45999</v>
      </c>
      <c r="D1472" s="2" t="str">
        <f>CHOOSE(MONTH(branches[[#This Row],[Дата]]),"Январь","Февраль","Март","Апрель","Май","Июнь","Июль","Август","Сентябрь","Октябрь","Ноябрь","Декабрь")&amp;" "&amp;YEAR(branches[[#This Row],[Дата]])</f>
        <v>Декабрь 2025</v>
      </c>
      <c r="E1472" t="s">
        <v>27</v>
      </c>
      <c r="F1472" t="s">
        <v>12</v>
      </c>
      <c r="G1472">
        <v>3</v>
      </c>
      <c r="H1472">
        <v>609</v>
      </c>
      <c r="I1472" t="s">
        <v>35</v>
      </c>
      <c r="J1472" t="str">
        <f>_xlfn.XLOOKUP(branches[[#This Row],[Филиал]], tbl_Filialy[Филиал], tbl_Filialy[Менеджер])</f>
        <v>Павел Ткаченко</v>
      </c>
    </row>
    <row r="1473" spans="1:10" x14ac:dyDescent="0.3">
      <c r="A1473" t="str">
        <f>_xlfn.XLOOKUP(branches[[#This Row],[Филиал]], tbl_Filialy[Филиал], tbl_Filialy[Город])</f>
        <v>Краснодар</v>
      </c>
      <c r="B1473" s="1" t="s">
        <v>31</v>
      </c>
      <c r="C1473" s="2">
        <v>45752</v>
      </c>
      <c r="D1473" s="2" t="str">
        <f>CHOOSE(MONTH(branches[[#This Row],[Дата]]),"Январь","Февраль","Март","Апрель","Май","Июнь","Июль","Август","Сентябрь","Октябрь","Ноябрь","Декабрь")&amp;" "&amp;YEAR(branches[[#This Row],[Дата]])</f>
        <v>Апрель 2025</v>
      </c>
      <c r="E1473" t="s">
        <v>24</v>
      </c>
      <c r="F1473" t="s">
        <v>17</v>
      </c>
      <c r="G1473">
        <v>2</v>
      </c>
      <c r="H1473">
        <v>782</v>
      </c>
      <c r="I1473" t="s">
        <v>35</v>
      </c>
      <c r="J1473" t="str">
        <f>_xlfn.XLOOKUP(branches[[#This Row],[Филиал]], tbl_Filialy[Филиал], tbl_Filialy[Менеджер])</f>
        <v>Павел Ткаченко</v>
      </c>
    </row>
    <row r="1474" spans="1:10" x14ac:dyDescent="0.3">
      <c r="A1474" t="str">
        <f>_xlfn.XLOOKUP(branches[[#This Row],[Филиал]], tbl_Filialy[Филиал], tbl_Filialy[Город])</f>
        <v>Краснодар</v>
      </c>
      <c r="B1474" s="1" t="s">
        <v>31</v>
      </c>
      <c r="C1474" s="2">
        <v>45871</v>
      </c>
      <c r="D1474" s="2" t="str">
        <f>CHOOSE(MONTH(branches[[#This Row],[Дата]]),"Январь","Февраль","Март","Апрель","Май","Июнь","Июль","Август","Сентябрь","Октябрь","Ноябрь","Декабрь")&amp;" "&amp;YEAR(branches[[#This Row],[Дата]])</f>
        <v>Август 2025</v>
      </c>
      <c r="E1474" t="s">
        <v>28</v>
      </c>
      <c r="F1474" t="s">
        <v>12</v>
      </c>
      <c r="G1474">
        <v>2</v>
      </c>
      <c r="H1474">
        <v>502</v>
      </c>
      <c r="I1474" t="s">
        <v>35</v>
      </c>
      <c r="J1474" t="str">
        <f>_xlfn.XLOOKUP(branches[[#This Row],[Филиал]], tbl_Filialy[Филиал], tbl_Filialy[Менеджер])</f>
        <v>Павел Ткаченко</v>
      </c>
    </row>
    <row r="1475" spans="1:10" x14ac:dyDescent="0.3">
      <c r="A1475" t="str">
        <f>_xlfn.XLOOKUP(branches[[#This Row],[Филиал]], tbl_Filialy[Филиал], tbl_Filialy[Город])</f>
        <v>Краснодар</v>
      </c>
      <c r="B1475" s="1" t="s">
        <v>31</v>
      </c>
      <c r="C1475" s="2">
        <v>45724</v>
      </c>
      <c r="D1475" s="2" t="str">
        <f>CHOOSE(MONTH(branches[[#This Row],[Дата]]),"Январь","Февраль","Март","Апрель","Май","Июнь","Июль","Август","Сентябрь","Октябрь","Ноябрь","Декабрь")&amp;" "&amp;YEAR(branches[[#This Row],[Дата]])</f>
        <v>Март 2025</v>
      </c>
      <c r="E1475" t="s">
        <v>16</v>
      </c>
      <c r="F1475" t="s">
        <v>17</v>
      </c>
      <c r="G1475">
        <v>2</v>
      </c>
      <c r="H1475">
        <v>686</v>
      </c>
      <c r="I1475" t="s">
        <v>35</v>
      </c>
      <c r="J1475" t="str">
        <f>_xlfn.XLOOKUP(branches[[#This Row],[Филиал]], tbl_Filialy[Филиал], tbl_Filialy[Менеджер])</f>
        <v>Павел Ткаченко</v>
      </c>
    </row>
    <row r="1476" spans="1:10" x14ac:dyDescent="0.3">
      <c r="A1476" t="str">
        <f>_xlfn.XLOOKUP(branches[[#This Row],[Филиал]], tbl_Filialy[Филиал], tbl_Filialy[Город])</f>
        <v>Краснодар</v>
      </c>
      <c r="B1476" s="1" t="s">
        <v>31</v>
      </c>
      <c r="C1476" s="2">
        <v>45698</v>
      </c>
      <c r="D1476" s="2" t="str">
        <f>CHOOSE(MONTH(branches[[#This Row],[Дата]]),"Январь","Февраль","Март","Апрель","Май","Июнь","Июль","Август","Сентябрь","Октябрь","Ноябрь","Декабрь")&amp;" "&amp;YEAR(branches[[#This Row],[Дата]])</f>
        <v>Февраль 2025</v>
      </c>
      <c r="E1476" t="s">
        <v>27</v>
      </c>
      <c r="F1476" t="s">
        <v>12</v>
      </c>
      <c r="G1476">
        <v>1</v>
      </c>
      <c r="H1476">
        <v>181</v>
      </c>
      <c r="I1476" t="s">
        <v>19</v>
      </c>
      <c r="J1476" t="str">
        <f>_xlfn.XLOOKUP(branches[[#This Row],[Филиал]], tbl_Filialy[Филиал], tbl_Filialy[Менеджер])</f>
        <v>Павел Ткаченко</v>
      </c>
    </row>
    <row r="1477" spans="1:10" x14ac:dyDescent="0.3">
      <c r="A1477" t="str">
        <f>_xlfn.XLOOKUP(branches[[#This Row],[Филиал]], tbl_Filialy[Филиал], tbl_Filialy[Город])</f>
        <v>Краснодар</v>
      </c>
      <c r="B1477" s="1" t="s">
        <v>31</v>
      </c>
      <c r="C1477" s="2">
        <v>45973</v>
      </c>
      <c r="D1477" s="2" t="str">
        <f>CHOOSE(MONTH(branches[[#This Row],[Дата]]),"Январь","Февраль","Март","Апрель","Май","Июнь","Июль","Август","Сентябрь","Октябрь","Ноябрь","Декабрь")&amp;" "&amp;YEAR(branches[[#This Row],[Дата]])</f>
        <v>Ноябрь 2025</v>
      </c>
      <c r="E1477" t="s">
        <v>11</v>
      </c>
      <c r="F1477" t="s">
        <v>12</v>
      </c>
      <c r="G1477">
        <v>1</v>
      </c>
      <c r="H1477">
        <v>193</v>
      </c>
      <c r="I1477" t="s">
        <v>32</v>
      </c>
      <c r="J1477" t="str">
        <f>_xlfn.XLOOKUP(branches[[#This Row],[Филиал]], tbl_Filialy[Филиал], tbl_Filialy[Менеджер])</f>
        <v>Павел Ткаченко</v>
      </c>
    </row>
    <row r="1478" spans="1:10" x14ac:dyDescent="0.3">
      <c r="A1478" t="str">
        <f>_xlfn.XLOOKUP(branches[[#This Row],[Филиал]], tbl_Filialy[Филиал], tbl_Filialy[Город])</f>
        <v>Краснодар</v>
      </c>
      <c r="B1478" s="1" t="s">
        <v>31</v>
      </c>
      <c r="C1478" s="2">
        <v>45885</v>
      </c>
      <c r="D1478" s="2" t="str">
        <f>CHOOSE(MONTH(branches[[#This Row],[Дата]]),"Январь","Февраль","Март","Апрель","Май","Июнь","Июль","Август","Сентябрь","Октябрь","Ноябрь","Декабрь")&amp;" "&amp;YEAR(branches[[#This Row],[Дата]])</f>
        <v>Август 2025</v>
      </c>
      <c r="E1478" t="s">
        <v>28</v>
      </c>
      <c r="F1478" t="s">
        <v>12</v>
      </c>
      <c r="G1478">
        <v>2</v>
      </c>
      <c r="H1478">
        <v>404</v>
      </c>
      <c r="I1478" t="s">
        <v>32</v>
      </c>
      <c r="J1478" t="str">
        <f>_xlfn.XLOOKUP(branches[[#This Row],[Филиал]], tbl_Filialy[Филиал], tbl_Filialy[Менеджер])</f>
        <v>Павел Ткаченко</v>
      </c>
    </row>
    <row r="1479" spans="1:10" x14ac:dyDescent="0.3">
      <c r="A1479" t="str">
        <f>_xlfn.XLOOKUP(branches[[#This Row],[Филиал]], tbl_Filialy[Филиал], tbl_Filialy[Город])</f>
        <v>Краснодар</v>
      </c>
      <c r="B1479" s="1" t="s">
        <v>31</v>
      </c>
      <c r="C1479" s="2">
        <v>45667</v>
      </c>
      <c r="D1479" s="2" t="str">
        <f>CHOOSE(MONTH(branches[[#This Row],[Дата]]),"Январь","Февраль","Март","Апрель","Май","Июнь","Июль","Август","Сентябрь","Октябрь","Ноябрь","Декабрь")&amp;" "&amp;YEAR(branches[[#This Row],[Дата]])</f>
        <v>Январь 2025</v>
      </c>
      <c r="E1479" t="s">
        <v>16</v>
      </c>
      <c r="F1479" t="s">
        <v>17</v>
      </c>
      <c r="G1479">
        <v>3</v>
      </c>
      <c r="H1479">
        <v>1077</v>
      </c>
      <c r="I1479" t="s">
        <v>32</v>
      </c>
      <c r="J1479" t="str">
        <f>_xlfn.XLOOKUP(branches[[#This Row],[Филиал]], tbl_Filialy[Филиал], tbl_Filialy[Менеджер])</f>
        <v>Павел Ткаченко</v>
      </c>
    </row>
    <row r="1480" spans="1:10" x14ac:dyDescent="0.3">
      <c r="A1480" t="str">
        <f>_xlfn.XLOOKUP(branches[[#This Row],[Филиал]], tbl_Filialy[Филиал], tbl_Filialy[Город])</f>
        <v>Краснодар</v>
      </c>
      <c r="B1480" s="1" t="s">
        <v>31</v>
      </c>
      <c r="C1480" s="2">
        <v>45700</v>
      </c>
      <c r="D1480" s="2" t="str">
        <f>CHOOSE(MONTH(branches[[#This Row],[Дата]]),"Январь","Февраль","Март","Апрель","Май","Июнь","Июль","Август","Сентябрь","Октябрь","Ноябрь","Декабрь")&amp;" "&amp;YEAR(branches[[#This Row],[Дата]])</f>
        <v>Февраль 2025</v>
      </c>
      <c r="E1480" t="s">
        <v>22</v>
      </c>
      <c r="F1480" t="s">
        <v>9</v>
      </c>
      <c r="G1480">
        <v>2</v>
      </c>
      <c r="H1480">
        <v>340</v>
      </c>
      <c r="I1480" t="s">
        <v>35</v>
      </c>
      <c r="J1480" t="str">
        <f>_xlfn.XLOOKUP(branches[[#This Row],[Филиал]], tbl_Filialy[Филиал], tbl_Filialy[Менеджер])</f>
        <v>Павел Ткаченко</v>
      </c>
    </row>
    <row r="1481" spans="1:10" x14ac:dyDescent="0.3">
      <c r="A1481" t="str">
        <f>_xlfn.XLOOKUP(branches[[#This Row],[Филиал]], tbl_Filialy[Филиал], tbl_Filialy[Город])</f>
        <v>Краснодар</v>
      </c>
      <c r="B1481" s="1" t="s">
        <v>31</v>
      </c>
      <c r="C1481" s="2">
        <v>45993</v>
      </c>
      <c r="D1481" s="2" t="str">
        <f>CHOOSE(MONTH(branches[[#This Row],[Дата]]),"Январь","Февраль","Март","Апрель","Май","Июнь","Июль","Август","Сентябрь","Октябрь","Ноябрь","Декабрь")&amp;" "&amp;YEAR(branches[[#This Row],[Дата]])</f>
        <v>Декабрь 2025</v>
      </c>
      <c r="E1481" t="s">
        <v>26</v>
      </c>
      <c r="F1481" t="s">
        <v>9</v>
      </c>
      <c r="G1481">
        <v>1</v>
      </c>
      <c r="H1481">
        <v>186</v>
      </c>
      <c r="I1481" t="s">
        <v>19</v>
      </c>
      <c r="J1481" t="str">
        <f>_xlfn.XLOOKUP(branches[[#This Row],[Филиал]], tbl_Filialy[Филиал], tbl_Filialy[Менеджер])</f>
        <v>Павел Ткаченко</v>
      </c>
    </row>
    <row r="1482" spans="1:10" x14ac:dyDescent="0.3">
      <c r="A1482" t="str">
        <f>_xlfn.XLOOKUP(branches[[#This Row],[Филиал]], tbl_Filialy[Филиал], tbl_Filialy[Город])</f>
        <v>Краснодар</v>
      </c>
      <c r="B1482" s="1" t="s">
        <v>31</v>
      </c>
      <c r="C1482" s="2">
        <v>45749</v>
      </c>
      <c r="D1482" s="2" t="str">
        <f>CHOOSE(MONTH(branches[[#This Row],[Дата]]),"Январь","Февраль","Март","Апрель","Май","Июнь","Июль","Август","Сентябрь","Октябрь","Ноябрь","Декабрь")&amp;" "&amp;YEAR(branches[[#This Row],[Дата]])</f>
        <v>Апрель 2025</v>
      </c>
      <c r="E1482" t="s">
        <v>27</v>
      </c>
      <c r="F1482" t="s">
        <v>12</v>
      </c>
      <c r="G1482">
        <v>2</v>
      </c>
      <c r="H1482">
        <v>406</v>
      </c>
      <c r="I1482" t="s">
        <v>13</v>
      </c>
      <c r="J1482" t="str">
        <f>_xlfn.XLOOKUP(branches[[#This Row],[Филиал]], tbl_Filialy[Филиал], tbl_Filialy[Менеджер])</f>
        <v>Павел Ткаченко</v>
      </c>
    </row>
    <row r="1483" spans="1:10" x14ac:dyDescent="0.3">
      <c r="A1483" t="str">
        <f>_xlfn.XLOOKUP(branches[[#This Row],[Филиал]], tbl_Filialy[Филиал], tbl_Filialy[Город])</f>
        <v>Краснодар</v>
      </c>
      <c r="B1483" s="1" t="s">
        <v>31</v>
      </c>
      <c r="C1483" s="2">
        <v>45681</v>
      </c>
      <c r="D1483" s="2" t="str">
        <f>CHOOSE(MONTH(branches[[#This Row],[Дата]]),"Январь","Февраль","Март","Апрель","Май","Июнь","Июль","Август","Сентябрь","Октябрь","Ноябрь","Декабрь")&amp;" "&amp;YEAR(branches[[#This Row],[Дата]])</f>
        <v>Январь 2025</v>
      </c>
      <c r="E1483" t="s">
        <v>8</v>
      </c>
      <c r="F1483" t="s">
        <v>9</v>
      </c>
      <c r="G1483">
        <v>1</v>
      </c>
      <c r="H1483">
        <v>241</v>
      </c>
      <c r="I1483" t="s">
        <v>32</v>
      </c>
      <c r="J1483" t="str">
        <f>_xlfn.XLOOKUP(branches[[#This Row],[Филиал]], tbl_Filialy[Филиал], tbl_Filialy[Менеджер])</f>
        <v>Павел Ткаченко</v>
      </c>
    </row>
    <row r="1484" spans="1:10" x14ac:dyDescent="0.3">
      <c r="A1484" t="str">
        <f>_xlfn.XLOOKUP(branches[[#This Row],[Филиал]], tbl_Filialy[Филиал], tbl_Filialy[Город])</f>
        <v>Краснодар</v>
      </c>
      <c r="B1484" s="1" t="s">
        <v>31</v>
      </c>
      <c r="C1484" s="2">
        <v>45931</v>
      </c>
      <c r="D1484" s="2" t="str">
        <f>CHOOSE(MONTH(branches[[#This Row],[Дата]]),"Январь","Февраль","Март","Апрель","Май","Июнь","Июль","Август","Сентябрь","Октябрь","Ноябрь","Декабрь")&amp;" "&amp;YEAR(branches[[#This Row],[Дата]])</f>
        <v>Октябрь 2025</v>
      </c>
      <c r="E1484" t="s">
        <v>20</v>
      </c>
      <c r="F1484" t="s">
        <v>12</v>
      </c>
      <c r="G1484">
        <v>2</v>
      </c>
      <c r="H1484">
        <v>532</v>
      </c>
      <c r="I1484" t="s">
        <v>35</v>
      </c>
      <c r="J1484" t="str">
        <f>_xlfn.XLOOKUP(branches[[#This Row],[Филиал]], tbl_Filialy[Филиал], tbl_Filialy[Менеджер])</f>
        <v>Павел Ткаченко</v>
      </c>
    </row>
    <row r="1485" spans="1:10" x14ac:dyDescent="0.3">
      <c r="A1485" t="str">
        <f>_xlfn.XLOOKUP(branches[[#This Row],[Филиал]], tbl_Filialy[Филиал], tbl_Filialy[Город])</f>
        <v>Краснодар</v>
      </c>
      <c r="B1485" s="1" t="s">
        <v>31</v>
      </c>
      <c r="C1485" s="2">
        <v>45766</v>
      </c>
      <c r="D1485" s="2" t="str">
        <f>CHOOSE(MONTH(branches[[#This Row],[Дата]]),"Январь","Февраль","Март","Апрель","Май","Июнь","Июль","Август","Сентябрь","Октябрь","Ноябрь","Декабрь")&amp;" "&amp;YEAR(branches[[#This Row],[Дата]])</f>
        <v>Апрель 2025</v>
      </c>
      <c r="E1485" t="s">
        <v>27</v>
      </c>
      <c r="F1485" t="s">
        <v>12</v>
      </c>
      <c r="G1485">
        <v>3</v>
      </c>
      <c r="H1485">
        <v>717</v>
      </c>
      <c r="I1485" t="s">
        <v>13</v>
      </c>
      <c r="J1485" t="str">
        <f>_xlfn.XLOOKUP(branches[[#This Row],[Филиал]], tbl_Filialy[Филиал], tbl_Filialy[Менеджер])</f>
        <v>Павел Ткаченко</v>
      </c>
    </row>
    <row r="1486" spans="1:10" x14ac:dyDescent="0.3">
      <c r="A1486" t="str">
        <f>_xlfn.XLOOKUP(branches[[#This Row],[Филиал]], tbl_Filialy[Филиал], tbl_Filialy[Город])</f>
        <v>Краснодар</v>
      </c>
      <c r="B1486" s="1" t="s">
        <v>31</v>
      </c>
      <c r="C1486" s="2">
        <v>45986</v>
      </c>
      <c r="D1486" s="2" t="str">
        <f>CHOOSE(MONTH(branches[[#This Row],[Дата]]),"Январь","Февраль","Март","Апрель","Май","Июнь","Июль","Август","Сентябрь","Октябрь","Ноябрь","Декабрь")&amp;" "&amp;YEAR(branches[[#This Row],[Дата]])</f>
        <v>Ноябрь 2025</v>
      </c>
      <c r="E1486" t="s">
        <v>26</v>
      </c>
      <c r="F1486" t="s">
        <v>9</v>
      </c>
      <c r="G1486">
        <v>1</v>
      </c>
      <c r="H1486">
        <v>206</v>
      </c>
      <c r="I1486" t="s">
        <v>33</v>
      </c>
      <c r="J1486" t="str">
        <f>_xlfn.XLOOKUP(branches[[#This Row],[Филиал]], tbl_Filialy[Филиал], tbl_Filialy[Менеджер])</f>
        <v>Павел Ткаченко</v>
      </c>
    </row>
    <row r="1487" spans="1:10" x14ac:dyDescent="0.3">
      <c r="A1487" t="str">
        <f>_xlfn.XLOOKUP(branches[[#This Row],[Филиал]], tbl_Filialy[Филиал], tbl_Filialy[Город])</f>
        <v>Краснодар</v>
      </c>
      <c r="B1487" s="1" t="s">
        <v>31</v>
      </c>
      <c r="C1487" s="2">
        <v>45701</v>
      </c>
      <c r="D1487" s="2" t="str">
        <f>CHOOSE(MONTH(branches[[#This Row],[Дата]]),"Январь","Февраль","Март","Апрель","Май","Июнь","Июль","Август","Сентябрь","Октябрь","Ноябрь","Декабрь")&amp;" "&amp;YEAR(branches[[#This Row],[Дата]])</f>
        <v>Февраль 2025</v>
      </c>
      <c r="E1487" t="s">
        <v>25</v>
      </c>
      <c r="F1487" t="s">
        <v>12</v>
      </c>
      <c r="G1487">
        <v>1</v>
      </c>
      <c r="H1487">
        <v>232</v>
      </c>
      <c r="I1487" t="s">
        <v>32</v>
      </c>
      <c r="J1487" t="str">
        <f>_xlfn.XLOOKUP(branches[[#This Row],[Филиал]], tbl_Filialy[Филиал], tbl_Filialy[Менеджер])</f>
        <v>Павел Ткаченко</v>
      </c>
    </row>
    <row r="1488" spans="1:10" x14ac:dyDescent="0.3">
      <c r="A1488" t="str">
        <f>_xlfn.XLOOKUP(branches[[#This Row],[Филиал]], tbl_Filialy[Филиал], tbl_Filialy[Город])</f>
        <v>Краснодар</v>
      </c>
      <c r="B1488" s="1" t="s">
        <v>31</v>
      </c>
      <c r="C1488" s="2">
        <v>45971</v>
      </c>
      <c r="D1488" s="2" t="str">
        <f>CHOOSE(MONTH(branches[[#This Row],[Дата]]),"Январь","Февраль","Март","Апрель","Май","Июнь","Июль","Август","Сентябрь","Октябрь","Ноябрь","Декабрь")&amp;" "&amp;YEAR(branches[[#This Row],[Дата]])</f>
        <v>Ноябрь 2025</v>
      </c>
      <c r="E1488" t="s">
        <v>20</v>
      </c>
      <c r="F1488" t="s">
        <v>12</v>
      </c>
      <c r="G1488">
        <v>2</v>
      </c>
      <c r="H1488">
        <v>536</v>
      </c>
      <c r="I1488" t="s">
        <v>13</v>
      </c>
      <c r="J1488" t="str">
        <f>_xlfn.XLOOKUP(branches[[#This Row],[Филиал]], tbl_Filialy[Филиал], tbl_Filialy[Менеджер])</f>
        <v>Павел Ткаченко</v>
      </c>
    </row>
    <row r="1489" spans="1:10" x14ac:dyDescent="0.3">
      <c r="A1489" t="str">
        <f>_xlfn.XLOOKUP(branches[[#This Row],[Филиал]], tbl_Filialy[Филиал], tbl_Filialy[Город])</f>
        <v>Краснодар</v>
      </c>
      <c r="B1489" s="1" t="s">
        <v>31</v>
      </c>
      <c r="C1489" s="2">
        <v>45997</v>
      </c>
      <c r="D1489" s="2" t="str">
        <f>CHOOSE(MONTH(branches[[#This Row],[Дата]]),"Январь","Февраль","Март","Апрель","Май","Июнь","Июль","Август","Сентябрь","Октябрь","Ноябрь","Декабрь")&amp;" "&amp;YEAR(branches[[#This Row],[Дата]])</f>
        <v>Декабрь 2025</v>
      </c>
      <c r="E1489" t="s">
        <v>26</v>
      </c>
      <c r="F1489" t="s">
        <v>9</v>
      </c>
      <c r="G1489">
        <v>1</v>
      </c>
      <c r="H1489">
        <v>210</v>
      </c>
      <c r="I1489" t="s">
        <v>19</v>
      </c>
      <c r="J1489" t="str">
        <f>_xlfn.XLOOKUP(branches[[#This Row],[Филиал]], tbl_Filialy[Филиал], tbl_Filialy[Менеджер])</f>
        <v>Павел Ткаченко</v>
      </c>
    </row>
    <row r="1490" spans="1:10" x14ac:dyDescent="0.3">
      <c r="A1490" t="str">
        <f>_xlfn.XLOOKUP(branches[[#This Row],[Филиал]], tbl_Filialy[Филиал], tbl_Filialy[Город])</f>
        <v>Краснодар</v>
      </c>
      <c r="B1490" s="1" t="s">
        <v>31</v>
      </c>
      <c r="C1490" s="2">
        <v>45738</v>
      </c>
      <c r="D1490" s="2" t="str">
        <f>CHOOSE(MONTH(branches[[#This Row],[Дата]]),"Январь","Февраль","Март","Апрель","Май","Июнь","Июль","Август","Сентябрь","Октябрь","Ноябрь","Декабрь")&amp;" "&amp;YEAR(branches[[#This Row],[Дата]])</f>
        <v>Март 2025</v>
      </c>
      <c r="E1490" t="s">
        <v>28</v>
      </c>
      <c r="F1490" t="s">
        <v>12</v>
      </c>
      <c r="G1490">
        <v>1</v>
      </c>
      <c r="H1490">
        <v>216</v>
      </c>
      <c r="I1490" t="s">
        <v>32</v>
      </c>
      <c r="J1490" t="str">
        <f>_xlfn.XLOOKUP(branches[[#This Row],[Филиал]], tbl_Filialy[Филиал], tbl_Filialy[Менеджер])</f>
        <v>Павел Ткаченко</v>
      </c>
    </row>
    <row r="1491" spans="1:10" x14ac:dyDescent="0.3">
      <c r="A1491" t="str">
        <f>_xlfn.XLOOKUP(branches[[#This Row],[Филиал]], tbl_Filialy[Филиал], tbl_Filialy[Город])</f>
        <v>Краснодар</v>
      </c>
      <c r="B1491" s="1" t="s">
        <v>31</v>
      </c>
      <c r="C1491" s="2">
        <v>45827</v>
      </c>
      <c r="D1491" s="2" t="str">
        <f>CHOOSE(MONTH(branches[[#This Row],[Дата]]),"Январь","Февраль","Март","Апрель","Май","Июнь","Июль","Август","Сентябрь","Октябрь","Ноябрь","Декабрь")&amp;" "&amp;YEAR(branches[[#This Row],[Дата]])</f>
        <v>Июнь 2025</v>
      </c>
      <c r="E1491" t="s">
        <v>11</v>
      </c>
      <c r="F1491" t="s">
        <v>12</v>
      </c>
      <c r="G1491">
        <v>2</v>
      </c>
      <c r="H1491">
        <v>330</v>
      </c>
      <c r="I1491" t="s">
        <v>33</v>
      </c>
      <c r="J1491" t="str">
        <f>_xlfn.XLOOKUP(branches[[#This Row],[Филиал]], tbl_Filialy[Филиал], tbl_Filialy[Менеджер])</f>
        <v>Павел Ткаченко</v>
      </c>
    </row>
    <row r="1492" spans="1:10" x14ac:dyDescent="0.3">
      <c r="A1492" t="str">
        <f>_xlfn.XLOOKUP(branches[[#This Row],[Филиал]], tbl_Filialy[Филиал], tbl_Filialy[Город])</f>
        <v>Краснодар</v>
      </c>
      <c r="B1492" s="1" t="s">
        <v>31</v>
      </c>
      <c r="C1492" s="2">
        <v>45956</v>
      </c>
      <c r="D1492" s="2" t="str">
        <f>CHOOSE(MONTH(branches[[#This Row],[Дата]]),"Январь","Февраль","Март","Апрель","Май","Июнь","Июль","Август","Сентябрь","Октябрь","Ноябрь","Декабрь")&amp;" "&amp;YEAR(branches[[#This Row],[Дата]])</f>
        <v>Октябрь 2025</v>
      </c>
      <c r="E1492" t="s">
        <v>28</v>
      </c>
      <c r="F1492" t="s">
        <v>12</v>
      </c>
      <c r="G1492">
        <v>2</v>
      </c>
      <c r="H1492">
        <v>414</v>
      </c>
      <c r="I1492" t="s">
        <v>35</v>
      </c>
      <c r="J1492" t="str">
        <f>_xlfn.XLOOKUP(branches[[#This Row],[Филиал]], tbl_Filialy[Филиал], tbl_Filialy[Менеджер])</f>
        <v>Павел Ткаченко</v>
      </c>
    </row>
    <row r="1493" spans="1:10" x14ac:dyDescent="0.3">
      <c r="A1493" t="str">
        <f>_xlfn.XLOOKUP(branches[[#This Row],[Филиал]], tbl_Filialy[Филиал], tbl_Filialy[Город])</f>
        <v>Краснодар</v>
      </c>
      <c r="B1493" s="1" t="s">
        <v>31</v>
      </c>
      <c r="C1493" s="2">
        <v>45660</v>
      </c>
      <c r="D1493" s="2" t="str">
        <f>CHOOSE(MONTH(branches[[#This Row],[Дата]]),"Январь","Февраль","Март","Апрель","Май","Июнь","Июль","Август","Сентябрь","Октябрь","Ноябрь","Декабрь")&amp;" "&amp;YEAR(branches[[#This Row],[Дата]])</f>
        <v>Январь 2025</v>
      </c>
      <c r="E1493" t="s">
        <v>20</v>
      </c>
      <c r="F1493" t="s">
        <v>12</v>
      </c>
      <c r="G1493">
        <v>1</v>
      </c>
      <c r="H1493">
        <v>288</v>
      </c>
      <c r="I1493" t="s">
        <v>33</v>
      </c>
      <c r="J1493" t="str">
        <f>_xlfn.XLOOKUP(branches[[#This Row],[Филиал]], tbl_Filialy[Филиал], tbl_Filialy[Менеджер])</f>
        <v>Павел Ткаченко</v>
      </c>
    </row>
    <row r="1494" spans="1:10" x14ac:dyDescent="0.3">
      <c r="A1494" t="str">
        <f>_xlfn.XLOOKUP(branches[[#This Row],[Филиал]], tbl_Filialy[Филиал], tbl_Filialy[Город])</f>
        <v>Краснодар</v>
      </c>
      <c r="B1494" s="1" t="s">
        <v>31</v>
      </c>
      <c r="C1494" s="2">
        <v>45914</v>
      </c>
      <c r="D1494" s="2" t="str">
        <f>CHOOSE(MONTH(branches[[#This Row],[Дата]]),"Январь","Февраль","Март","Апрель","Май","Июнь","Июль","Август","Сентябрь","Октябрь","Ноябрь","Декабрь")&amp;" "&amp;YEAR(branches[[#This Row],[Дата]])</f>
        <v>Сентябрь 2025</v>
      </c>
      <c r="E1494" t="s">
        <v>22</v>
      </c>
      <c r="F1494" t="s">
        <v>9</v>
      </c>
      <c r="G1494">
        <v>2</v>
      </c>
      <c r="H1494">
        <v>354</v>
      </c>
      <c r="I1494" t="s">
        <v>19</v>
      </c>
      <c r="J1494" t="str">
        <f>_xlfn.XLOOKUP(branches[[#This Row],[Филиал]], tbl_Filialy[Филиал], tbl_Filialy[Менеджер])</f>
        <v>Павел Ткаченко</v>
      </c>
    </row>
    <row r="1495" spans="1:10" x14ac:dyDescent="0.3">
      <c r="A1495" t="str">
        <f>_xlfn.XLOOKUP(branches[[#This Row],[Филиал]], tbl_Filialy[Филиал], tbl_Filialy[Город])</f>
        <v>Краснодар</v>
      </c>
      <c r="B1495" s="1" t="s">
        <v>31</v>
      </c>
      <c r="C1495" s="2">
        <v>45827</v>
      </c>
      <c r="D1495" s="2" t="str">
        <f>CHOOSE(MONTH(branches[[#This Row],[Дата]]),"Январь","Февраль","Март","Апрель","Май","Июнь","Июль","Август","Сентябрь","Октябрь","Ноябрь","Декабрь")&amp;" "&amp;YEAR(branches[[#This Row],[Дата]])</f>
        <v>Июнь 2025</v>
      </c>
      <c r="E1495" t="s">
        <v>24</v>
      </c>
      <c r="F1495" t="s">
        <v>17</v>
      </c>
      <c r="G1495">
        <v>2</v>
      </c>
      <c r="H1495">
        <v>682</v>
      </c>
      <c r="I1495" t="s">
        <v>32</v>
      </c>
      <c r="J1495" t="str">
        <f>_xlfn.XLOOKUP(branches[[#This Row],[Филиал]], tbl_Filialy[Филиал], tbl_Filialy[Менеджер])</f>
        <v>Павел Ткаченко</v>
      </c>
    </row>
    <row r="1496" spans="1:10" x14ac:dyDescent="0.3">
      <c r="A1496" t="str">
        <f>_xlfn.XLOOKUP(branches[[#This Row],[Филиал]], tbl_Filialy[Филиал], tbl_Filialy[Город])</f>
        <v>Краснодар</v>
      </c>
      <c r="B1496" s="1" t="s">
        <v>31</v>
      </c>
      <c r="C1496" s="2">
        <v>45786</v>
      </c>
      <c r="D1496" s="2" t="str">
        <f>CHOOSE(MONTH(branches[[#This Row],[Дата]]),"Январь","Февраль","Март","Апрель","Май","Июнь","Июль","Август","Сентябрь","Октябрь","Ноябрь","Декабрь")&amp;" "&amp;YEAR(branches[[#This Row],[Дата]])</f>
        <v>Май 2025</v>
      </c>
      <c r="E1496" t="s">
        <v>24</v>
      </c>
      <c r="F1496" t="s">
        <v>17</v>
      </c>
      <c r="G1496">
        <v>3</v>
      </c>
      <c r="H1496">
        <v>1248</v>
      </c>
      <c r="I1496" t="s">
        <v>13</v>
      </c>
      <c r="J1496" t="str">
        <f>_xlfn.XLOOKUP(branches[[#This Row],[Филиал]], tbl_Filialy[Филиал], tbl_Filialy[Менеджер])</f>
        <v>Павел Ткаченко</v>
      </c>
    </row>
    <row r="1497" spans="1:10" x14ac:dyDescent="0.3">
      <c r="A1497" t="str">
        <f>_xlfn.XLOOKUP(branches[[#This Row],[Филиал]], tbl_Filialy[Филиал], tbl_Filialy[Город])</f>
        <v>Краснодар</v>
      </c>
      <c r="B1497" s="1" t="s">
        <v>31</v>
      </c>
      <c r="C1497" s="2">
        <v>45662</v>
      </c>
      <c r="D1497" s="2" t="str">
        <f>CHOOSE(MONTH(branches[[#This Row],[Дата]]),"Январь","Февраль","Март","Апрель","Май","Июнь","Июль","Август","Сентябрь","Октябрь","Ноябрь","Декабрь")&amp;" "&amp;YEAR(branches[[#This Row],[Дата]])</f>
        <v>Январь 2025</v>
      </c>
      <c r="E1497" t="s">
        <v>27</v>
      </c>
      <c r="F1497" t="s">
        <v>12</v>
      </c>
      <c r="G1497">
        <v>1</v>
      </c>
      <c r="H1497">
        <v>199</v>
      </c>
      <c r="I1497" t="s">
        <v>32</v>
      </c>
      <c r="J1497" t="str">
        <f>_xlfn.XLOOKUP(branches[[#This Row],[Филиал]], tbl_Filialy[Филиал], tbl_Filialy[Менеджер])</f>
        <v>Павел Ткаченко</v>
      </c>
    </row>
    <row r="1498" spans="1:10" x14ac:dyDescent="0.3">
      <c r="A1498" t="str">
        <f>_xlfn.XLOOKUP(branches[[#This Row],[Филиал]], tbl_Filialy[Филиал], tbl_Filialy[Город])</f>
        <v>Краснодар</v>
      </c>
      <c r="B1498" s="1" t="s">
        <v>31</v>
      </c>
      <c r="C1498" s="2">
        <v>45988</v>
      </c>
      <c r="D1498" s="2" t="str">
        <f>CHOOSE(MONTH(branches[[#This Row],[Дата]]),"Январь","Февраль","Март","Апрель","Май","Июнь","Июль","Август","Сентябрь","Октябрь","Ноябрь","Декабрь")&amp;" "&amp;YEAR(branches[[#This Row],[Дата]])</f>
        <v>Ноябрь 2025</v>
      </c>
      <c r="E1498" t="s">
        <v>14</v>
      </c>
      <c r="F1498" t="s">
        <v>12</v>
      </c>
      <c r="G1498">
        <v>3</v>
      </c>
      <c r="H1498">
        <v>744</v>
      </c>
      <c r="I1498" t="s">
        <v>34</v>
      </c>
      <c r="J1498" t="str">
        <f>_xlfn.XLOOKUP(branches[[#This Row],[Филиал]], tbl_Filialy[Филиал], tbl_Filialy[Менеджер])</f>
        <v>Павел Ткаченко</v>
      </c>
    </row>
    <row r="1499" spans="1:10" x14ac:dyDescent="0.3">
      <c r="A1499" t="str">
        <f>_xlfn.XLOOKUP(branches[[#This Row],[Филиал]], tbl_Filialy[Филиал], tbl_Filialy[Город])</f>
        <v>Краснодар</v>
      </c>
      <c r="B1499" s="1" t="s">
        <v>31</v>
      </c>
      <c r="C1499" s="2">
        <v>45783</v>
      </c>
      <c r="D1499" s="2" t="str">
        <f>CHOOSE(MONTH(branches[[#This Row],[Дата]]),"Январь","Февраль","Март","Апрель","Май","Июнь","Июль","Август","Сентябрь","Октябрь","Ноябрь","Декабрь")&amp;" "&amp;YEAR(branches[[#This Row],[Дата]])</f>
        <v>Май 2025</v>
      </c>
      <c r="E1499" t="s">
        <v>22</v>
      </c>
      <c r="F1499" t="s">
        <v>9</v>
      </c>
      <c r="G1499">
        <v>1</v>
      </c>
      <c r="H1499">
        <v>189</v>
      </c>
      <c r="I1499" t="s">
        <v>35</v>
      </c>
      <c r="J1499" t="str">
        <f>_xlfn.XLOOKUP(branches[[#This Row],[Филиал]], tbl_Filialy[Филиал], tbl_Filialy[Менеджер])</f>
        <v>Павел Ткаченко</v>
      </c>
    </row>
    <row r="1500" spans="1:10" x14ac:dyDescent="0.3">
      <c r="A1500" t="str">
        <f>_xlfn.XLOOKUP(branches[[#This Row],[Филиал]], tbl_Filialy[Филиал], tbl_Filialy[Город])</f>
        <v>Краснодар</v>
      </c>
      <c r="B1500" s="1" t="s">
        <v>31</v>
      </c>
      <c r="C1500" s="2">
        <v>45791</v>
      </c>
      <c r="D1500" s="2" t="str">
        <f>CHOOSE(MONTH(branches[[#This Row],[Дата]]),"Январь","Февраль","Март","Апрель","Май","Июнь","Июль","Август","Сентябрь","Октябрь","Ноябрь","Декабрь")&amp;" "&amp;YEAR(branches[[#This Row],[Дата]])</f>
        <v>Май 2025</v>
      </c>
      <c r="E1500" t="s">
        <v>18</v>
      </c>
      <c r="F1500" t="s">
        <v>12</v>
      </c>
      <c r="G1500">
        <v>2</v>
      </c>
      <c r="H1500">
        <v>256</v>
      </c>
      <c r="I1500" t="s">
        <v>19</v>
      </c>
      <c r="J1500" t="str">
        <f>_xlfn.XLOOKUP(branches[[#This Row],[Филиал]], tbl_Filialy[Филиал], tbl_Filialy[Менеджер])</f>
        <v>Павел Ткаченко</v>
      </c>
    </row>
    <row r="1501" spans="1:10" x14ac:dyDescent="0.3">
      <c r="A1501" t="str">
        <f>_xlfn.XLOOKUP(branches[[#This Row],[Филиал]], tbl_Filialy[Филиал], tbl_Filialy[Город])</f>
        <v>Краснодар</v>
      </c>
      <c r="B1501" s="1" t="s">
        <v>31</v>
      </c>
      <c r="C1501" s="2">
        <v>45992</v>
      </c>
      <c r="D1501" s="2" t="str">
        <f>CHOOSE(MONTH(branches[[#This Row],[Дата]]),"Январь","Февраль","Март","Апрель","Май","Июнь","Июль","Август","Сентябрь","Октябрь","Ноябрь","Декабрь")&amp;" "&amp;YEAR(branches[[#This Row],[Дата]])</f>
        <v>Декабрь 2025</v>
      </c>
      <c r="E1501" t="s">
        <v>22</v>
      </c>
      <c r="F1501" t="s">
        <v>9</v>
      </c>
      <c r="G1501">
        <v>1</v>
      </c>
      <c r="H1501">
        <v>160</v>
      </c>
      <c r="I1501" t="s">
        <v>35</v>
      </c>
      <c r="J1501" t="str">
        <f>_xlfn.XLOOKUP(branches[[#This Row],[Филиал]], tbl_Filialy[Филиал], tbl_Filialy[Менеджер])</f>
        <v>Павел Ткаченко</v>
      </c>
    </row>
    <row r="1502" spans="1:10" x14ac:dyDescent="0.3">
      <c r="A1502" t="str">
        <f>_xlfn.XLOOKUP(branches[[#This Row],[Филиал]], tbl_Filialy[Филиал], tbl_Filialy[Город])</f>
        <v>Краснодар</v>
      </c>
      <c r="B1502" s="1" t="s">
        <v>31</v>
      </c>
      <c r="C1502" s="2">
        <v>45909</v>
      </c>
      <c r="D1502" s="2" t="str">
        <f>CHOOSE(MONTH(branches[[#This Row],[Дата]]),"Январь","Февраль","Март","Апрель","Май","Июнь","Июль","Август","Сентябрь","Октябрь","Ноябрь","Декабрь")&amp;" "&amp;YEAR(branches[[#This Row],[Дата]])</f>
        <v>Сентябрь 2025</v>
      </c>
      <c r="E1502" t="s">
        <v>24</v>
      </c>
      <c r="F1502" t="s">
        <v>17</v>
      </c>
      <c r="G1502">
        <v>1</v>
      </c>
      <c r="H1502">
        <v>401</v>
      </c>
      <c r="I1502" t="s">
        <v>35</v>
      </c>
      <c r="J1502" t="str">
        <f>_xlfn.XLOOKUP(branches[[#This Row],[Филиал]], tbl_Filialy[Филиал], tbl_Filialy[Менеджер])</f>
        <v>Павел Ткаченко</v>
      </c>
    </row>
    <row r="1503" spans="1:10" x14ac:dyDescent="0.3">
      <c r="A1503" t="str">
        <f>_xlfn.XLOOKUP(branches[[#This Row],[Филиал]], tbl_Filialy[Филиал], tbl_Filialy[Город])</f>
        <v>Краснодар</v>
      </c>
      <c r="B1503" s="1" t="s">
        <v>31</v>
      </c>
      <c r="C1503" s="2">
        <v>45950</v>
      </c>
      <c r="D1503" s="2" t="str">
        <f>CHOOSE(MONTH(branches[[#This Row],[Дата]]),"Январь","Февраль","Март","Апрель","Май","Июнь","Июль","Август","Сентябрь","Октябрь","Ноябрь","Декабрь")&amp;" "&amp;YEAR(branches[[#This Row],[Дата]])</f>
        <v>Октябрь 2025</v>
      </c>
      <c r="E1503" t="s">
        <v>11</v>
      </c>
      <c r="F1503" t="s">
        <v>12</v>
      </c>
      <c r="G1503">
        <v>1</v>
      </c>
      <c r="H1503">
        <v>177</v>
      </c>
      <c r="I1503" t="s">
        <v>19</v>
      </c>
      <c r="J1503" t="str">
        <f>_xlfn.XLOOKUP(branches[[#This Row],[Филиал]], tbl_Filialy[Филиал], tbl_Filialy[Менеджер])</f>
        <v>Павел Ткаченко</v>
      </c>
    </row>
    <row r="1504" spans="1:10" x14ac:dyDescent="0.3">
      <c r="A1504" t="str">
        <f>_xlfn.XLOOKUP(branches[[#This Row],[Филиал]], tbl_Filialy[Филиал], tbl_Filialy[Город])</f>
        <v>Краснодар</v>
      </c>
      <c r="B1504" s="1" t="s">
        <v>31</v>
      </c>
      <c r="C1504" s="2">
        <v>45987</v>
      </c>
      <c r="D1504" s="2" t="str">
        <f>CHOOSE(MONTH(branches[[#This Row],[Дата]]),"Январь","Февраль","Март","Апрель","Май","Июнь","Июль","Август","Сентябрь","Октябрь","Ноябрь","Декабрь")&amp;" "&amp;YEAR(branches[[#This Row],[Дата]])</f>
        <v>Ноябрь 2025</v>
      </c>
      <c r="E1504" t="s">
        <v>25</v>
      </c>
      <c r="F1504" t="s">
        <v>12</v>
      </c>
      <c r="G1504">
        <v>3</v>
      </c>
      <c r="H1504">
        <v>627</v>
      </c>
      <c r="I1504" t="s">
        <v>13</v>
      </c>
      <c r="J1504" t="str">
        <f>_xlfn.XLOOKUP(branches[[#This Row],[Филиал]], tbl_Filialy[Филиал], tbl_Filialy[Менеджер])</f>
        <v>Павел Ткаченко</v>
      </c>
    </row>
    <row r="1505" spans="1:10" x14ac:dyDescent="0.3">
      <c r="A1505" t="str">
        <f>_xlfn.XLOOKUP(branches[[#This Row],[Филиал]], tbl_Filialy[Филиал], tbl_Filialy[Город])</f>
        <v>Краснодар</v>
      </c>
      <c r="B1505" s="1" t="s">
        <v>31</v>
      </c>
      <c r="C1505" s="2">
        <v>45906</v>
      </c>
      <c r="D1505" s="2" t="str">
        <f>CHOOSE(MONTH(branches[[#This Row],[Дата]]),"Январь","Февраль","Март","Апрель","Май","Июнь","Июль","Август","Сентябрь","Октябрь","Ноябрь","Декабрь")&amp;" "&amp;YEAR(branches[[#This Row],[Дата]])</f>
        <v>Сентябрь 2025</v>
      </c>
      <c r="E1505" t="s">
        <v>27</v>
      </c>
      <c r="F1505" t="s">
        <v>12</v>
      </c>
      <c r="G1505">
        <v>2</v>
      </c>
      <c r="H1505">
        <v>418</v>
      </c>
      <c r="I1505" t="s">
        <v>19</v>
      </c>
      <c r="J1505" t="str">
        <f>_xlfn.XLOOKUP(branches[[#This Row],[Филиал]], tbl_Filialy[Филиал], tbl_Filialy[Менеджер])</f>
        <v>Павел Ткаченко</v>
      </c>
    </row>
    <row r="1506" spans="1:10" x14ac:dyDescent="0.3">
      <c r="A1506" t="str">
        <f>_xlfn.XLOOKUP(branches[[#This Row],[Филиал]], tbl_Filialy[Филиал], tbl_Filialy[Город])</f>
        <v>Краснодар</v>
      </c>
      <c r="B1506" s="1" t="s">
        <v>31</v>
      </c>
      <c r="C1506" s="2">
        <v>45952</v>
      </c>
      <c r="D1506" s="2" t="str">
        <f>CHOOSE(MONTH(branches[[#This Row],[Дата]]),"Январь","Февраль","Март","Апрель","Май","Июнь","Июль","Август","Сентябрь","Октябрь","Ноябрь","Декабрь")&amp;" "&amp;YEAR(branches[[#This Row],[Дата]])</f>
        <v>Октябрь 2025</v>
      </c>
      <c r="E1506" t="s">
        <v>24</v>
      </c>
      <c r="F1506" t="s">
        <v>17</v>
      </c>
      <c r="G1506">
        <v>2</v>
      </c>
      <c r="H1506">
        <v>812</v>
      </c>
      <c r="I1506" t="s">
        <v>34</v>
      </c>
      <c r="J1506" t="str">
        <f>_xlfn.XLOOKUP(branches[[#This Row],[Филиал]], tbl_Filialy[Филиал], tbl_Filialy[Менеджер])</f>
        <v>Павел Ткаченко</v>
      </c>
    </row>
    <row r="1507" spans="1:10" x14ac:dyDescent="0.3">
      <c r="A1507" t="str">
        <f>_xlfn.XLOOKUP(branches[[#This Row],[Филиал]], tbl_Filialy[Филиал], tbl_Filialy[Город])</f>
        <v>Краснодар</v>
      </c>
      <c r="B1507" s="1" t="s">
        <v>31</v>
      </c>
      <c r="C1507" s="2">
        <v>45821</v>
      </c>
      <c r="D1507" s="2" t="str">
        <f>CHOOSE(MONTH(branches[[#This Row],[Дата]]),"Январь","Февраль","Март","Апрель","Май","Июнь","Июль","Август","Сентябрь","Октябрь","Ноябрь","Декабрь")&amp;" "&amp;YEAR(branches[[#This Row],[Дата]])</f>
        <v>Июнь 2025</v>
      </c>
      <c r="E1507" t="s">
        <v>25</v>
      </c>
      <c r="F1507" t="s">
        <v>12</v>
      </c>
      <c r="G1507">
        <v>2</v>
      </c>
      <c r="H1507">
        <v>416</v>
      </c>
      <c r="I1507" t="s">
        <v>33</v>
      </c>
      <c r="J1507" t="str">
        <f>_xlfn.XLOOKUP(branches[[#This Row],[Филиал]], tbl_Filialy[Филиал], tbl_Filialy[Менеджер])</f>
        <v>Павел Ткаченко</v>
      </c>
    </row>
    <row r="1508" spans="1:10" x14ac:dyDescent="0.3">
      <c r="A1508" t="str">
        <f>_xlfn.XLOOKUP(branches[[#This Row],[Филиал]], tbl_Filialy[Филиал], tbl_Filialy[Город])</f>
        <v>Краснодар</v>
      </c>
      <c r="B1508" s="1" t="s">
        <v>31</v>
      </c>
      <c r="C1508" s="2">
        <v>45685</v>
      </c>
      <c r="D1508" s="2" t="str">
        <f>CHOOSE(MONTH(branches[[#This Row],[Дата]]),"Январь","Февраль","Март","Апрель","Май","Июнь","Июль","Август","Сентябрь","Октябрь","Ноябрь","Декабрь")&amp;" "&amp;YEAR(branches[[#This Row],[Дата]])</f>
        <v>Январь 2025</v>
      </c>
      <c r="E1508" t="s">
        <v>24</v>
      </c>
      <c r="F1508" t="s">
        <v>17</v>
      </c>
      <c r="G1508">
        <v>1</v>
      </c>
      <c r="H1508">
        <v>381</v>
      </c>
      <c r="I1508" t="s">
        <v>19</v>
      </c>
      <c r="J1508" t="str">
        <f>_xlfn.XLOOKUP(branches[[#This Row],[Филиал]], tbl_Filialy[Филиал], tbl_Filialy[Менеджер])</f>
        <v>Павел Ткаченко</v>
      </c>
    </row>
    <row r="1509" spans="1:10" x14ac:dyDescent="0.3">
      <c r="A1509" t="str">
        <f>_xlfn.XLOOKUP(branches[[#This Row],[Филиал]], tbl_Filialy[Филиал], tbl_Filialy[Город])</f>
        <v>Краснодар</v>
      </c>
      <c r="B1509" s="1" t="s">
        <v>31</v>
      </c>
      <c r="C1509" s="2">
        <v>45912</v>
      </c>
      <c r="D1509" s="2" t="str">
        <f>CHOOSE(MONTH(branches[[#This Row],[Дата]]),"Январь","Февраль","Март","Апрель","Май","Июнь","Июль","Август","Сентябрь","Октябрь","Ноябрь","Декабрь")&amp;" "&amp;YEAR(branches[[#This Row],[Дата]])</f>
        <v>Сентябрь 2025</v>
      </c>
      <c r="E1509" t="s">
        <v>20</v>
      </c>
      <c r="F1509" t="s">
        <v>12</v>
      </c>
      <c r="G1509">
        <v>1</v>
      </c>
      <c r="H1509">
        <v>288</v>
      </c>
      <c r="I1509" t="s">
        <v>33</v>
      </c>
      <c r="J1509" t="str">
        <f>_xlfn.XLOOKUP(branches[[#This Row],[Филиал]], tbl_Filialy[Филиал], tbl_Filialy[Менеджер])</f>
        <v>Павел Ткаченко</v>
      </c>
    </row>
    <row r="1510" spans="1:10" x14ac:dyDescent="0.3">
      <c r="A1510" t="str">
        <f>_xlfn.XLOOKUP(branches[[#This Row],[Филиал]], tbl_Filialy[Филиал], tbl_Filialy[Город])</f>
        <v>Краснодар</v>
      </c>
      <c r="B1510" s="1" t="s">
        <v>31</v>
      </c>
      <c r="C1510" s="2">
        <v>45802</v>
      </c>
      <c r="D1510" s="2" t="str">
        <f>CHOOSE(MONTH(branches[[#This Row],[Дата]]),"Январь","Февраль","Март","Апрель","Май","Июнь","Июль","Август","Сентябрь","Октябрь","Ноябрь","Декабрь")&amp;" "&amp;YEAR(branches[[#This Row],[Дата]])</f>
        <v>Май 2025</v>
      </c>
      <c r="E1510" t="s">
        <v>8</v>
      </c>
      <c r="F1510" t="s">
        <v>9</v>
      </c>
      <c r="G1510">
        <v>1</v>
      </c>
      <c r="H1510">
        <v>262</v>
      </c>
      <c r="I1510" t="s">
        <v>34</v>
      </c>
      <c r="J1510" t="str">
        <f>_xlfn.XLOOKUP(branches[[#This Row],[Филиал]], tbl_Filialy[Филиал], tbl_Filialy[Менеджер])</f>
        <v>Павел Ткаченко</v>
      </c>
    </row>
    <row r="1511" spans="1:10" x14ac:dyDescent="0.3">
      <c r="A1511" t="str">
        <f>_xlfn.XLOOKUP(branches[[#This Row],[Филиал]], tbl_Filialy[Филиал], tbl_Filialy[Город])</f>
        <v>Краснодар</v>
      </c>
      <c r="B1511" s="1" t="s">
        <v>31</v>
      </c>
      <c r="C1511" s="2">
        <v>45919</v>
      </c>
      <c r="D1511" s="2" t="str">
        <f>CHOOSE(MONTH(branches[[#This Row],[Дата]]),"Январь","Февраль","Март","Апрель","Май","Июнь","Июль","Август","Сентябрь","Октябрь","Ноябрь","Декабрь")&amp;" "&amp;YEAR(branches[[#This Row],[Дата]])</f>
        <v>Сентябрь 2025</v>
      </c>
      <c r="E1511" t="s">
        <v>27</v>
      </c>
      <c r="F1511" t="s">
        <v>12</v>
      </c>
      <c r="G1511">
        <v>1</v>
      </c>
      <c r="H1511">
        <v>180</v>
      </c>
      <c r="I1511" t="s">
        <v>33</v>
      </c>
      <c r="J1511" t="str">
        <f>_xlfn.XLOOKUP(branches[[#This Row],[Филиал]], tbl_Filialy[Филиал], tbl_Filialy[Менеджер])</f>
        <v>Павел Ткаченко</v>
      </c>
    </row>
    <row r="1512" spans="1:10" x14ac:dyDescent="0.3">
      <c r="A1512" t="str">
        <f>_xlfn.XLOOKUP(branches[[#This Row],[Филиал]], tbl_Filialy[Филиал], tbl_Filialy[Город])</f>
        <v>Краснодар</v>
      </c>
      <c r="B1512" s="1" t="s">
        <v>31</v>
      </c>
      <c r="C1512" s="2">
        <v>45974</v>
      </c>
      <c r="D1512" s="2" t="str">
        <f>CHOOSE(MONTH(branches[[#This Row],[Дата]]),"Январь","Февраль","Март","Апрель","Май","Июнь","Июль","Август","Сентябрь","Октябрь","Ноябрь","Декабрь")&amp;" "&amp;YEAR(branches[[#This Row],[Дата]])</f>
        <v>Ноябрь 2025</v>
      </c>
      <c r="E1512" t="s">
        <v>22</v>
      </c>
      <c r="F1512" t="s">
        <v>9</v>
      </c>
      <c r="G1512">
        <v>1</v>
      </c>
      <c r="H1512">
        <v>168</v>
      </c>
      <c r="I1512" t="s">
        <v>35</v>
      </c>
      <c r="J1512" t="str">
        <f>_xlfn.XLOOKUP(branches[[#This Row],[Филиал]], tbl_Filialy[Филиал], tbl_Filialy[Менеджер])</f>
        <v>Павел Ткаченко</v>
      </c>
    </row>
    <row r="1513" spans="1:10" x14ac:dyDescent="0.3">
      <c r="A1513" t="str">
        <f>_xlfn.XLOOKUP(branches[[#This Row],[Филиал]], tbl_Filialy[Филиал], tbl_Filialy[Город])</f>
        <v>Краснодар</v>
      </c>
      <c r="B1513" s="1" t="s">
        <v>31</v>
      </c>
      <c r="C1513" s="2">
        <v>45717</v>
      </c>
      <c r="D1513" s="2" t="str">
        <f>CHOOSE(MONTH(branches[[#This Row],[Дата]]),"Январь","Февраль","Март","Апрель","Май","Июнь","Июль","Август","Сентябрь","Октябрь","Ноябрь","Декабрь")&amp;" "&amp;YEAR(branches[[#This Row],[Дата]])</f>
        <v>Март 2025</v>
      </c>
      <c r="E1513" t="s">
        <v>20</v>
      </c>
      <c r="F1513" t="s">
        <v>12</v>
      </c>
      <c r="G1513">
        <v>3</v>
      </c>
      <c r="H1513">
        <v>900</v>
      </c>
      <c r="I1513" t="s">
        <v>35</v>
      </c>
      <c r="J1513" t="str">
        <f>_xlfn.XLOOKUP(branches[[#This Row],[Филиал]], tbl_Filialy[Филиал], tbl_Filialy[Менеджер])</f>
        <v>Павел Ткаченко</v>
      </c>
    </row>
    <row r="1514" spans="1:10" x14ac:dyDescent="0.3">
      <c r="A1514" t="str">
        <f>_xlfn.XLOOKUP(branches[[#This Row],[Филиал]], tbl_Filialy[Филиал], tbl_Filialy[Город])</f>
        <v>Краснодар</v>
      </c>
      <c r="B1514" s="1" t="s">
        <v>31</v>
      </c>
      <c r="C1514" s="2">
        <v>45775</v>
      </c>
      <c r="D1514" s="2" t="str">
        <f>CHOOSE(MONTH(branches[[#This Row],[Дата]]),"Январь","Февраль","Март","Апрель","Май","Июнь","Июль","Август","Сентябрь","Октябрь","Ноябрь","Декабрь")&amp;" "&amp;YEAR(branches[[#This Row],[Дата]])</f>
        <v>Апрель 2025</v>
      </c>
      <c r="E1514" t="s">
        <v>28</v>
      </c>
      <c r="F1514" t="s">
        <v>12</v>
      </c>
      <c r="G1514">
        <v>1</v>
      </c>
      <c r="H1514">
        <v>215</v>
      </c>
      <c r="I1514" t="s">
        <v>33</v>
      </c>
      <c r="J1514" t="str">
        <f>_xlfn.XLOOKUP(branches[[#This Row],[Филиал]], tbl_Filialy[Филиал], tbl_Filialy[Менеджер])</f>
        <v>Павел Ткаченко</v>
      </c>
    </row>
    <row r="1515" spans="1:10" x14ac:dyDescent="0.3">
      <c r="A1515" t="str">
        <f>_xlfn.XLOOKUP(branches[[#This Row],[Филиал]], tbl_Filialy[Филиал], tbl_Filialy[Город])</f>
        <v>Краснодар</v>
      </c>
      <c r="B1515" s="1" t="s">
        <v>31</v>
      </c>
      <c r="C1515" s="2">
        <v>45675</v>
      </c>
      <c r="D1515" s="2" t="str">
        <f>CHOOSE(MONTH(branches[[#This Row],[Дата]]),"Январь","Февраль","Март","Апрель","Май","Июнь","Июль","Август","Сентябрь","Октябрь","Ноябрь","Декабрь")&amp;" "&amp;YEAR(branches[[#This Row],[Дата]])</f>
        <v>Январь 2025</v>
      </c>
      <c r="E1515" t="s">
        <v>22</v>
      </c>
      <c r="F1515" t="s">
        <v>9</v>
      </c>
      <c r="G1515">
        <v>1</v>
      </c>
      <c r="H1515">
        <v>198</v>
      </c>
      <c r="I1515" t="s">
        <v>13</v>
      </c>
      <c r="J1515" t="str">
        <f>_xlfn.XLOOKUP(branches[[#This Row],[Филиал]], tbl_Filialy[Филиал], tbl_Filialy[Менеджер])</f>
        <v>Павел Ткаченко</v>
      </c>
    </row>
    <row r="1516" spans="1:10" x14ac:dyDescent="0.3">
      <c r="A1516" t="str">
        <f>_xlfn.XLOOKUP(branches[[#This Row],[Филиал]], tbl_Filialy[Филиал], tbl_Filialy[Город])</f>
        <v>Краснодар</v>
      </c>
      <c r="B1516" s="1" t="s">
        <v>31</v>
      </c>
      <c r="C1516" s="2">
        <v>45992</v>
      </c>
      <c r="D1516" s="2" t="str">
        <f>CHOOSE(MONTH(branches[[#This Row],[Дата]]),"Январь","Февраль","Март","Апрель","Май","Июнь","Июль","Август","Сентябрь","Октябрь","Ноябрь","Декабрь")&amp;" "&amp;YEAR(branches[[#This Row],[Дата]])</f>
        <v>Декабрь 2025</v>
      </c>
      <c r="E1516" t="s">
        <v>26</v>
      </c>
      <c r="F1516" t="s">
        <v>9</v>
      </c>
      <c r="G1516">
        <v>1</v>
      </c>
      <c r="H1516">
        <v>207</v>
      </c>
      <c r="I1516" t="s">
        <v>34</v>
      </c>
      <c r="J1516" t="str">
        <f>_xlfn.XLOOKUP(branches[[#This Row],[Филиал]], tbl_Filialy[Филиал], tbl_Filialy[Менеджер])</f>
        <v>Павел Ткаченко</v>
      </c>
    </row>
    <row r="1517" spans="1:10" x14ac:dyDescent="0.3">
      <c r="A1517" t="str">
        <f>_xlfn.XLOOKUP(branches[[#This Row],[Филиал]], tbl_Filialy[Филиал], tbl_Filialy[Город])</f>
        <v>Краснодар</v>
      </c>
      <c r="B1517" s="1" t="s">
        <v>31</v>
      </c>
      <c r="C1517" s="2">
        <v>45751</v>
      </c>
      <c r="D1517" s="2" t="str">
        <f>CHOOSE(MONTH(branches[[#This Row],[Дата]]),"Январь","Февраль","Март","Апрель","Май","Июнь","Июль","Август","Сентябрь","Октябрь","Ноябрь","Декабрь")&amp;" "&amp;YEAR(branches[[#This Row],[Дата]])</f>
        <v>Апрель 2025</v>
      </c>
      <c r="E1517" t="s">
        <v>28</v>
      </c>
      <c r="F1517" t="s">
        <v>12</v>
      </c>
      <c r="G1517">
        <v>1</v>
      </c>
      <c r="H1517">
        <v>211</v>
      </c>
      <c r="I1517" t="s">
        <v>32</v>
      </c>
      <c r="J1517" t="str">
        <f>_xlfn.XLOOKUP(branches[[#This Row],[Филиал]], tbl_Filialy[Филиал], tbl_Filialy[Менеджер])</f>
        <v>Павел Ткаченко</v>
      </c>
    </row>
    <row r="1518" spans="1:10" x14ac:dyDescent="0.3">
      <c r="A1518" t="str">
        <f>_xlfn.XLOOKUP(branches[[#This Row],[Филиал]], tbl_Filialy[Филиал], tbl_Filialy[Город])</f>
        <v>Краснодар</v>
      </c>
      <c r="B1518" s="1" t="s">
        <v>31</v>
      </c>
      <c r="C1518" s="2">
        <v>45924</v>
      </c>
      <c r="D1518" s="2" t="str">
        <f>CHOOSE(MONTH(branches[[#This Row],[Дата]]),"Январь","Февраль","Март","Апрель","Май","Июнь","Июль","Август","Сентябрь","Октябрь","Ноябрь","Декабрь")&amp;" "&amp;YEAR(branches[[#This Row],[Дата]])</f>
        <v>Сентябрь 2025</v>
      </c>
      <c r="E1518" t="s">
        <v>25</v>
      </c>
      <c r="F1518" t="s">
        <v>12</v>
      </c>
      <c r="G1518">
        <v>2</v>
      </c>
      <c r="H1518">
        <v>414</v>
      </c>
      <c r="I1518" t="s">
        <v>32</v>
      </c>
      <c r="J1518" t="str">
        <f>_xlfn.XLOOKUP(branches[[#This Row],[Филиал]], tbl_Filialy[Филиал], tbl_Filialy[Менеджер])</f>
        <v>Павел Ткаченко</v>
      </c>
    </row>
    <row r="1519" spans="1:10" x14ac:dyDescent="0.3">
      <c r="A1519" t="str">
        <f>_xlfn.XLOOKUP(branches[[#This Row],[Филиал]], tbl_Filialy[Филиал], tbl_Filialy[Город])</f>
        <v>Краснодар</v>
      </c>
      <c r="B1519" s="1" t="s">
        <v>31</v>
      </c>
      <c r="C1519" s="2">
        <v>45830</v>
      </c>
      <c r="D1519" s="2" t="str">
        <f>CHOOSE(MONTH(branches[[#This Row],[Дата]]),"Январь","Февраль","Март","Апрель","Май","Июнь","Июль","Август","Сентябрь","Октябрь","Ноябрь","Декабрь")&amp;" "&amp;YEAR(branches[[#This Row],[Дата]])</f>
        <v>Июнь 2025</v>
      </c>
      <c r="E1519" t="s">
        <v>24</v>
      </c>
      <c r="F1519" t="s">
        <v>17</v>
      </c>
      <c r="G1519">
        <v>3</v>
      </c>
      <c r="H1519">
        <v>1167</v>
      </c>
      <c r="I1519" t="s">
        <v>32</v>
      </c>
      <c r="J1519" t="str">
        <f>_xlfn.XLOOKUP(branches[[#This Row],[Филиал]], tbl_Filialy[Филиал], tbl_Filialy[Менеджер])</f>
        <v>Павел Ткаченко</v>
      </c>
    </row>
    <row r="1520" spans="1:10" x14ac:dyDescent="0.3">
      <c r="A1520" t="str">
        <f>_xlfn.XLOOKUP(branches[[#This Row],[Филиал]], tbl_Filialy[Филиал], tbl_Filialy[Город])</f>
        <v>Краснодар</v>
      </c>
      <c r="B1520" s="1" t="s">
        <v>31</v>
      </c>
      <c r="C1520" s="2">
        <v>45698</v>
      </c>
      <c r="D1520" s="2" t="str">
        <f>CHOOSE(MONTH(branches[[#This Row],[Дата]]),"Январь","Февраль","Март","Апрель","Май","Июнь","Июль","Август","Сентябрь","Октябрь","Ноябрь","Декабрь")&amp;" "&amp;YEAR(branches[[#This Row],[Дата]])</f>
        <v>Февраль 2025</v>
      </c>
      <c r="E1520" t="s">
        <v>11</v>
      </c>
      <c r="F1520" t="s">
        <v>12</v>
      </c>
      <c r="G1520">
        <v>1</v>
      </c>
      <c r="H1520">
        <v>189</v>
      </c>
      <c r="I1520" t="s">
        <v>13</v>
      </c>
      <c r="J1520" t="str">
        <f>_xlfn.XLOOKUP(branches[[#This Row],[Филиал]], tbl_Filialy[Филиал], tbl_Filialy[Менеджер])</f>
        <v>Павел Ткаченко</v>
      </c>
    </row>
    <row r="1521" spans="1:10" x14ac:dyDescent="0.3">
      <c r="A1521" t="str">
        <f>_xlfn.XLOOKUP(branches[[#This Row],[Филиал]], tbl_Filialy[Филиал], tbl_Filialy[Город])</f>
        <v>Краснодар</v>
      </c>
      <c r="B1521" s="1" t="s">
        <v>31</v>
      </c>
      <c r="C1521" s="2">
        <v>45811</v>
      </c>
      <c r="D1521" s="2" t="str">
        <f>CHOOSE(MONTH(branches[[#This Row],[Дата]]),"Январь","Февраль","Март","Апрель","Май","Июнь","Июль","Август","Сентябрь","Октябрь","Ноябрь","Декабрь")&amp;" "&amp;YEAR(branches[[#This Row],[Дата]])</f>
        <v>Июнь 2025</v>
      </c>
      <c r="E1521" t="s">
        <v>26</v>
      </c>
      <c r="F1521" t="s">
        <v>9</v>
      </c>
      <c r="G1521">
        <v>1</v>
      </c>
      <c r="H1521">
        <v>193</v>
      </c>
      <c r="I1521" t="s">
        <v>33</v>
      </c>
      <c r="J1521" t="str">
        <f>_xlfn.XLOOKUP(branches[[#This Row],[Филиал]], tbl_Filialy[Филиал], tbl_Filialy[Менеджер])</f>
        <v>Павел Ткаченко</v>
      </c>
    </row>
    <row r="1522" spans="1:10" x14ac:dyDescent="0.3">
      <c r="A1522" t="str">
        <f>_xlfn.XLOOKUP(branches[[#This Row],[Филиал]], tbl_Filialy[Филиал], tbl_Filialy[Город])</f>
        <v>Краснодар</v>
      </c>
      <c r="B1522" s="1" t="s">
        <v>31</v>
      </c>
      <c r="C1522" s="2">
        <v>45671</v>
      </c>
      <c r="D1522" s="2" t="str">
        <f>CHOOSE(MONTH(branches[[#This Row],[Дата]]),"Январь","Февраль","Март","Апрель","Май","Июнь","Июль","Август","Сентябрь","Октябрь","Ноябрь","Декабрь")&amp;" "&amp;YEAR(branches[[#This Row],[Дата]])</f>
        <v>Январь 2025</v>
      </c>
      <c r="E1522" t="s">
        <v>20</v>
      </c>
      <c r="F1522" t="s">
        <v>12</v>
      </c>
      <c r="G1522">
        <v>1</v>
      </c>
      <c r="H1522">
        <v>269</v>
      </c>
      <c r="I1522" t="s">
        <v>35</v>
      </c>
      <c r="J1522" t="str">
        <f>_xlfn.XLOOKUP(branches[[#This Row],[Филиал]], tbl_Filialy[Филиал], tbl_Filialy[Менеджер])</f>
        <v>Павел Ткаченко</v>
      </c>
    </row>
    <row r="1523" spans="1:10" x14ac:dyDescent="0.3">
      <c r="A1523" t="str">
        <f>_xlfn.XLOOKUP(branches[[#This Row],[Филиал]], tbl_Filialy[Филиал], tbl_Filialy[Город])</f>
        <v>Краснодар</v>
      </c>
      <c r="B1523" s="1" t="s">
        <v>31</v>
      </c>
      <c r="C1523" s="2">
        <v>46005</v>
      </c>
      <c r="D1523" s="2" t="str">
        <f>CHOOSE(MONTH(branches[[#This Row],[Дата]]),"Январь","Февраль","Март","Апрель","Май","Июнь","Июль","Август","Сентябрь","Октябрь","Ноябрь","Декабрь")&amp;" "&amp;YEAR(branches[[#This Row],[Дата]])</f>
        <v>Декабрь 2025</v>
      </c>
      <c r="E1523" t="s">
        <v>26</v>
      </c>
      <c r="F1523" t="s">
        <v>9</v>
      </c>
      <c r="G1523">
        <v>2</v>
      </c>
      <c r="H1523">
        <v>414</v>
      </c>
      <c r="I1523" t="s">
        <v>35</v>
      </c>
      <c r="J1523" t="str">
        <f>_xlfn.XLOOKUP(branches[[#This Row],[Филиал]], tbl_Filialy[Филиал], tbl_Filialy[Менеджер])</f>
        <v>Павел Ткаченко</v>
      </c>
    </row>
    <row r="1524" spans="1:10" x14ac:dyDescent="0.3">
      <c r="A1524" t="str">
        <f>_xlfn.XLOOKUP(branches[[#This Row],[Филиал]], tbl_Filialy[Филиал], tbl_Filialy[Город])</f>
        <v>Краснодар</v>
      </c>
      <c r="B1524" s="1" t="s">
        <v>31</v>
      </c>
      <c r="C1524" s="2">
        <v>45814</v>
      </c>
      <c r="D1524" s="2" t="str">
        <f>CHOOSE(MONTH(branches[[#This Row],[Дата]]),"Январь","Февраль","Март","Апрель","Май","Июнь","Июль","Август","Сентябрь","Октябрь","Ноябрь","Декабрь")&amp;" "&amp;YEAR(branches[[#This Row],[Дата]])</f>
        <v>Июнь 2025</v>
      </c>
      <c r="E1524" t="s">
        <v>27</v>
      </c>
      <c r="F1524" t="s">
        <v>12</v>
      </c>
      <c r="G1524">
        <v>1</v>
      </c>
      <c r="H1524">
        <v>204</v>
      </c>
      <c r="I1524" t="s">
        <v>33</v>
      </c>
      <c r="J1524" t="str">
        <f>_xlfn.XLOOKUP(branches[[#This Row],[Филиал]], tbl_Filialy[Филиал], tbl_Filialy[Менеджер])</f>
        <v>Павел Ткаченко</v>
      </c>
    </row>
    <row r="1525" spans="1:10" x14ac:dyDescent="0.3">
      <c r="A1525" t="str">
        <f>_xlfn.XLOOKUP(branches[[#This Row],[Филиал]], tbl_Filialy[Филиал], tbl_Filialy[Город])</f>
        <v>Краснодар</v>
      </c>
      <c r="B1525" s="1" t="s">
        <v>31</v>
      </c>
      <c r="C1525" s="2">
        <v>45946</v>
      </c>
      <c r="D1525" s="2" t="str">
        <f>CHOOSE(MONTH(branches[[#This Row],[Дата]]),"Январь","Февраль","Март","Апрель","Май","Июнь","Июль","Август","Сентябрь","Октябрь","Ноябрь","Декабрь")&amp;" "&amp;YEAR(branches[[#This Row],[Дата]])</f>
        <v>Октябрь 2025</v>
      </c>
      <c r="E1525" t="s">
        <v>28</v>
      </c>
      <c r="F1525" t="s">
        <v>12</v>
      </c>
      <c r="G1525">
        <v>3</v>
      </c>
      <c r="H1525">
        <v>636</v>
      </c>
      <c r="I1525" t="s">
        <v>19</v>
      </c>
      <c r="J1525" t="str">
        <f>_xlfn.XLOOKUP(branches[[#This Row],[Филиал]], tbl_Filialy[Филиал], tbl_Filialy[Менеджер])</f>
        <v>Павел Ткаченко</v>
      </c>
    </row>
    <row r="1526" spans="1:10" x14ac:dyDescent="0.3">
      <c r="A1526" t="str">
        <f>_xlfn.XLOOKUP(branches[[#This Row],[Филиал]], tbl_Filialy[Филиал], tbl_Filialy[Город])</f>
        <v>Краснодар</v>
      </c>
      <c r="B1526" s="1" t="s">
        <v>31</v>
      </c>
      <c r="C1526" s="2">
        <v>45730</v>
      </c>
      <c r="D1526" s="2" t="str">
        <f>CHOOSE(MONTH(branches[[#This Row],[Дата]]),"Январь","Февраль","Март","Апрель","Май","Июнь","Июль","Август","Сентябрь","Октябрь","Ноябрь","Декабрь")&amp;" "&amp;YEAR(branches[[#This Row],[Дата]])</f>
        <v>Март 2025</v>
      </c>
      <c r="E1526" t="s">
        <v>16</v>
      </c>
      <c r="F1526" t="s">
        <v>17</v>
      </c>
      <c r="G1526">
        <v>2</v>
      </c>
      <c r="H1526">
        <v>586</v>
      </c>
      <c r="I1526" t="s">
        <v>33</v>
      </c>
      <c r="J1526" t="str">
        <f>_xlfn.XLOOKUP(branches[[#This Row],[Филиал]], tbl_Filialy[Филиал], tbl_Filialy[Менеджер])</f>
        <v>Павел Ткаченко</v>
      </c>
    </row>
    <row r="1527" spans="1:10" x14ac:dyDescent="0.3">
      <c r="A1527" t="str">
        <f>_xlfn.XLOOKUP(branches[[#This Row],[Филиал]], tbl_Filialy[Филиал], tbl_Filialy[Город])</f>
        <v>Краснодар</v>
      </c>
      <c r="B1527" s="1" t="s">
        <v>31</v>
      </c>
      <c r="C1527" s="2">
        <v>46017</v>
      </c>
      <c r="D1527" s="2" t="str">
        <f>CHOOSE(MONTH(branches[[#This Row],[Дата]]),"Январь","Февраль","Март","Апрель","Май","Июнь","Июль","Август","Сентябрь","Октябрь","Ноябрь","Декабрь")&amp;" "&amp;YEAR(branches[[#This Row],[Дата]])</f>
        <v>Декабрь 2025</v>
      </c>
      <c r="E1527" t="s">
        <v>20</v>
      </c>
      <c r="F1527" t="s">
        <v>12</v>
      </c>
      <c r="G1527">
        <v>1</v>
      </c>
      <c r="H1527">
        <v>315</v>
      </c>
      <c r="I1527" t="s">
        <v>13</v>
      </c>
      <c r="J1527" t="str">
        <f>_xlfn.XLOOKUP(branches[[#This Row],[Филиал]], tbl_Filialy[Филиал], tbl_Filialy[Менеджер])</f>
        <v>Павел Ткаченко</v>
      </c>
    </row>
    <row r="1528" spans="1:10" x14ac:dyDescent="0.3">
      <c r="A1528" t="str">
        <f>_xlfn.XLOOKUP(branches[[#This Row],[Филиал]], tbl_Filialy[Филиал], tbl_Filialy[Город])</f>
        <v>Краснодар</v>
      </c>
      <c r="B1528" s="1" t="s">
        <v>31</v>
      </c>
      <c r="C1528" s="2">
        <v>45800</v>
      </c>
      <c r="D1528" s="2" t="str">
        <f>CHOOSE(MONTH(branches[[#This Row],[Дата]]),"Январь","Февраль","Март","Апрель","Май","Июнь","Июль","Август","Сентябрь","Октябрь","Ноябрь","Декабрь")&amp;" "&amp;YEAR(branches[[#This Row],[Дата]])</f>
        <v>Май 2025</v>
      </c>
      <c r="E1528" t="s">
        <v>22</v>
      </c>
      <c r="F1528" t="s">
        <v>9</v>
      </c>
      <c r="G1528">
        <v>2</v>
      </c>
      <c r="H1528">
        <v>378</v>
      </c>
      <c r="I1528" t="s">
        <v>33</v>
      </c>
      <c r="J1528" t="str">
        <f>_xlfn.XLOOKUP(branches[[#This Row],[Филиал]], tbl_Filialy[Филиал], tbl_Filialy[Менеджер])</f>
        <v>Павел Ткаченко</v>
      </c>
    </row>
    <row r="1529" spans="1:10" x14ac:dyDescent="0.3">
      <c r="A1529" t="str">
        <f>_xlfn.XLOOKUP(branches[[#This Row],[Филиал]], tbl_Filialy[Филиал], tbl_Filialy[Город])</f>
        <v>Краснодар</v>
      </c>
      <c r="B1529" s="1" t="s">
        <v>31</v>
      </c>
      <c r="C1529" s="2">
        <v>46016</v>
      </c>
      <c r="D1529" s="2" t="str">
        <f>CHOOSE(MONTH(branches[[#This Row],[Дата]]),"Январь","Февраль","Март","Апрель","Май","Июнь","Июль","Август","Сентябрь","Октябрь","Ноябрь","Декабрь")&amp;" "&amp;YEAR(branches[[#This Row],[Дата]])</f>
        <v>Декабрь 2025</v>
      </c>
      <c r="E1529" t="s">
        <v>27</v>
      </c>
      <c r="F1529" t="s">
        <v>12</v>
      </c>
      <c r="G1529">
        <v>2</v>
      </c>
      <c r="H1529">
        <v>412</v>
      </c>
      <c r="I1529" t="s">
        <v>13</v>
      </c>
      <c r="J1529" t="str">
        <f>_xlfn.XLOOKUP(branches[[#This Row],[Филиал]], tbl_Filialy[Филиал], tbl_Filialy[Менеджер])</f>
        <v>Павел Ткаченко</v>
      </c>
    </row>
    <row r="1530" spans="1:10" x14ac:dyDescent="0.3">
      <c r="A1530" t="str">
        <f>_xlfn.XLOOKUP(branches[[#This Row],[Филиал]], tbl_Filialy[Филиал], tbl_Filialy[Город])</f>
        <v>Краснодар</v>
      </c>
      <c r="B1530" s="1" t="s">
        <v>31</v>
      </c>
      <c r="C1530" s="2">
        <v>45739</v>
      </c>
      <c r="D1530" s="2" t="str">
        <f>CHOOSE(MONTH(branches[[#This Row],[Дата]]),"Январь","Февраль","Март","Апрель","Май","Июнь","Июль","Август","Сентябрь","Октябрь","Ноябрь","Декабрь")&amp;" "&amp;YEAR(branches[[#This Row],[Дата]])</f>
        <v>Март 2025</v>
      </c>
      <c r="E1530" t="s">
        <v>14</v>
      </c>
      <c r="F1530" t="s">
        <v>12</v>
      </c>
      <c r="G1530">
        <v>2</v>
      </c>
      <c r="H1530">
        <v>530</v>
      </c>
      <c r="I1530" t="s">
        <v>33</v>
      </c>
      <c r="J1530" t="str">
        <f>_xlfn.XLOOKUP(branches[[#This Row],[Филиал]], tbl_Filialy[Филиал], tbl_Filialy[Менеджер])</f>
        <v>Павел Ткаченко</v>
      </c>
    </row>
    <row r="1531" spans="1:10" x14ac:dyDescent="0.3">
      <c r="A1531" t="str">
        <f>_xlfn.XLOOKUP(branches[[#This Row],[Филиал]], tbl_Filialy[Филиал], tbl_Filialy[Город])</f>
        <v>Краснодар</v>
      </c>
      <c r="B1531" s="1" t="s">
        <v>31</v>
      </c>
      <c r="C1531" s="2">
        <v>46012</v>
      </c>
      <c r="D1531" s="2" t="str">
        <f>CHOOSE(MONTH(branches[[#This Row],[Дата]]),"Январь","Февраль","Март","Апрель","Май","Июнь","Июль","Август","Сентябрь","Октябрь","Ноябрь","Декабрь")&amp;" "&amp;YEAR(branches[[#This Row],[Дата]])</f>
        <v>Декабрь 2025</v>
      </c>
      <c r="E1531" t="s">
        <v>8</v>
      </c>
      <c r="F1531" t="s">
        <v>9</v>
      </c>
      <c r="G1531">
        <v>1</v>
      </c>
      <c r="H1531">
        <v>259</v>
      </c>
      <c r="I1531" t="s">
        <v>32</v>
      </c>
      <c r="J1531" t="str">
        <f>_xlfn.XLOOKUP(branches[[#This Row],[Филиал]], tbl_Filialy[Филиал], tbl_Filialy[Менеджер])</f>
        <v>Павел Ткаченко</v>
      </c>
    </row>
    <row r="1532" spans="1:10" x14ac:dyDescent="0.3">
      <c r="A1532" t="str">
        <f>_xlfn.XLOOKUP(branches[[#This Row],[Филиал]], tbl_Filialy[Филиал], tbl_Filialy[Город])</f>
        <v>Краснодар</v>
      </c>
      <c r="B1532" s="1" t="s">
        <v>31</v>
      </c>
      <c r="C1532" s="2">
        <v>45844</v>
      </c>
      <c r="D1532" s="2" t="str">
        <f>CHOOSE(MONTH(branches[[#This Row],[Дата]]),"Январь","Февраль","Март","Апрель","Май","Июнь","Июль","Август","Сентябрь","Октябрь","Ноябрь","Декабрь")&amp;" "&amp;YEAR(branches[[#This Row],[Дата]])</f>
        <v>Июль 2025</v>
      </c>
      <c r="E1532" t="s">
        <v>26</v>
      </c>
      <c r="F1532" t="s">
        <v>9</v>
      </c>
      <c r="G1532">
        <v>1</v>
      </c>
      <c r="H1532">
        <v>189</v>
      </c>
      <c r="I1532" t="s">
        <v>13</v>
      </c>
      <c r="J1532" t="str">
        <f>_xlfn.XLOOKUP(branches[[#This Row],[Филиал]], tbl_Filialy[Филиал], tbl_Filialy[Менеджер])</f>
        <v>Павел Ткаченко</v>
      </c>
    </row>
    <row r="1533" spans="1:10" x14ac:dyDescent="0.3">
      <c r="A1533" t="str">
        <f>_xlfn.XLOOKUP(branches[[#This Row],[Филиал]], tbl_Filialy[Филиал], tbl_Filialy[Город])</f>
        <v>Краснодар</v>
      </c>
      <c r="B1533" s="1" t="s">
        <v>31</v>
      </c>
      <c r="C1533" s="2">
        <v>45913</v>
      </c>
      <c r="D1533" s="2" t="str">
        <f>CHOOSE(MONTH(branches[[#This Row],[Дата]]),"Январь","Февраль","Март","Апрель","Май","Июнь","Июль","Август","Сентябрь","Октябрь","Ноябрь","Декабрь")&amp;" "&amp;YEAR(branches[[#This Row],[Дата]])</f>
        <v>Сентябрь 2025</v>
      </c>
      <c r="E1533" t="s">
        <v>24</v>
      </c>
      <c r="F1533" t="s">
        <v>17</v>
      </c>
      <c r="G1533">
        <v>1</v>
      </c>
      <c r="H1533">
        <v>422</v>
      </c>
      <c r="I1533" t="s">
        <v>13</v>
      </c>
      <c r="J1533" t="str">
        <f>_xlfn.XLOOKUP(branches[[#This Row],[Филиал]], tbl_Filialy[Филиал], tbl_Filialy[Менеджер])</f>
        <v>Павел Ткаченко</v>
      </c>
    </row>
    <row r="1534" spans="1:10" x14ac:dyDescent="0.3">
      <c r="A1534" t="str">
        <f>_xlfn.XLOOKUP(branches[[#This Row],[Филиал]], tbl_Filialy[Филиал], tbl_Filialy[Город])</f>
        <v>Краснодар</v>
      </c>
      <c r="B1534" s="1" t="s">
        <v>31</v>
      </c>
      <c r="C1534" s="2">
        <v>45906</v>
      </c>
      <c r="D1534" s="2" t="str">
        <f>CHOOSE(MONTH(branches[[#This Row],[Дата]]),"Январь","Февраль","Март","Апрель","Май","Июнь","Июль","Август","Сентябрь","Октябрь","Ноябрь","Декабрь")&amp;" "&amp;YEAR(branches[[#This Row],[Дата]])</f>
        <v>Сентябрь 2025</v>
      </c>
      <c r="E1534" t="s">
        <v>27</v>
      </c>
      <c r="F1534" t="s">
        <v>12</v>
      </c>
      <c r="G1534">
        <v>2</v>
      </c>
      <c r="H1534">
        <v>384</v>
      </c>
      <c r="I1534" t="s">
        <v>19</v>
      </c>
      <c r="J1534" t="str">
        <f>_xlfn.XLOOKUP(branches[[#This Row],[Филиал]], tbl_Filialy[Филиал], tbl_Filialy[Менеджер])</f>
        <v>Павел Ткаченко</v>
      </c>
    </row>
    <row r="1535" spans="1:10" x14ac:dyDescent="0.3">
      <c r="A1535" t="str">
        <f>_xlfn.XLOOKUP(branches[[#This Row],[Филиал]], tbl_Filialy[Филиал], tbl_Filialy[Город])</f>
        <v>Краснодар</v>
      </c>
      <c r="B1535" s="1" t="s">
        <v>31</v>
      </c>
      <c r="C1535" s="2">
        <v>45953</v>
      </c>
      <c r="D1535" s="2" t="str">
        <f>CHOOSE(MONTH(branches[[#This Row],[Дата]]),"Январь","Февраль","Март","Апрель","Май","Июнь","Июль","Август","Сентябрь","Октябрь","Ноябрь","Декабрь")&amp;" "&amp;YEAR(branches[[#This Row],[Дата]])</f>
        <v>Октябрь 2025</v>
      </c>
      <c r="E1535" t="s">
        <v>28</v>
      </c>
      <c r="F1535" t="s">
        <v>12</v>
      </c>
      <c r="G1535">
        <v>2</v>
      </c>
      <c r="H1535">
        <v>428</v>
      </c>
      <c r="I1535" t="s">
        <v>13</v>
      </c>
      <c r="J1535" t="str">
        <f>_xlfn.XLOOKUP(branches[[#This Row],[Филиал]], tbl_Filialy[Филиал], tbl_Filialy[Менеджер])</f>
        <v>Павел Ткаченко</v>
      </c>
    </row>
    <row r="1536" spans="1:10" x14ac:dyDescent="0.3">
      <c r="A1536" t="str">
        <f>_xlfn.XLOOKUP(branches[[#This Row],[Филиал]], tbl_Filialy[Филиал], tbl_Filialy[Город])</f>
        <v>Краснодар</v>
      </c>
      <c r="B1536" s="1" t="s">
        <v>31</v>
      </c>
      <c r="C1536" s="2">
        <v>45970</v>
      </c>
      <c r="D1536" s="2" t="str">
        <f>CHOOSE(MONTH(branches[[#This Row],[Дата]]),"Январь","Февраль","Март","Апрель","Май","Июнь","Июль","Август","Сентябрь","Октябрь","Ноябрь","Декабрь")&amp;" "&amp;YEAR(branches[[#This Row],[Дата]])</f>
        <v>Ноябрь 2025</v>
      </c>
      <c r="E1536" t="s">
        <v>28</v>
      </c>
      <c r="F1536" t="s">
        <v>12</v>
      </c>
      <c r="G1536">
        <v>1</v>
      </c>
      <c r="H1536">
        <v>228</v>
      </c>
      <c r="I1536" t="s">
        <v>32</v>
      </c>
      <c r="J1536" t="str">
        <f>_xlfn.XLOOKUP(branches[[#This Row],[Филиал]], tbl_Filialy[Филиал], tbl_Filialy[Менеджер])</f>
        <v>Павел Ткаченко</v>
      </c>
    </row>
    <row r="1537" spans="1:10" x14ac:dyDescent="0.3">
      <c r="A1537" t="str">
        <f>_xlfn.XLOOKUP(branches[[#This Row],[Филиал]], tbl_Filialy[Филиал], tbl_Filialy[Город])</f>
        <v>Краснодар</v>
      </c>
      <c r="B1537" s="1" t="s">
        <v>31</v>
      </c>
      <c r="C1537" s="2">
        <v>45955</v>
      </c>
      <c r="D1537" s="2" t="str">
        <f>CHOOSE(MONTH(branches[[#This Row],[Дата]]),"Январь","Февраль","Март","Апрель","Май","Июнь","Июль","Август","Сентябрь","Октябрь","Ноябрь","Декабрь")&amp;" "&amp;YEAR(branches[[#This Row],[Дата]])</f>
        <v>Октябрь 2025</v>
      </c>
      <c r="E1537" t="s">
        <v>8</v>
      </c>
      <c r="F1537" t="s">
        <v>9</v>
      </c>
      <c r="G1537">
        <v>3</v>
      </c>
      <c r="H1537">
        <v>714</v>
      </c>
      <c r="I1537" t="s">
        <v>32</v>
      </c>
      <c r="J1537" t="str">
        <f>_xlfn.XLOOKUP(branches[[#This Row],[Филиал]], tbl_Filialy[Филиал], tbl_Filialy[Менеджер])</f>
        <v>Павел Ткаченко</v>
      </c>
    </row>
    <row r="1538" spans="1:10" x14ac:dyDescent="0.3">
      <c r="A1538" t="str">
        <f>_xlfn.XLOOKUP(branches[[#This Row],[Филиал]], tbl_Filialy[Филиал], tbl_Filialy[Город])</f>
        <v>Краснодар</v>
      </c>
      <c r="B1538" s="1" t="s">
        <v>31</v>
      </c>
      <c r="C1538" s="2">
        <v>45919</v>
      </c>
      <c r="D1538" s="2" t="str">
        <f>CHOOSE(MONTH(branches[[#This Row],[Дата]]),"Январь","Февраль","Март","Апрель","Май","Июнь","Июль","Август","Сентябрь","Октябрь","Ноябрь","Декабрь")&amp;" "&amp;YEAR(branches[[#This Row],[Дата]])</f>
        <v>Сентябрь 2025</v>
      </c>
      <c r="E1538" t="s">
        <v>16</v>
      </c>
      <c r="F1538" t="s">
        <v>17</v>
      </c>
      <c r="G1538">
        <v>2</v>
      </c>
      <c r="H1538">
        <v>714</v>
      </c>
      <c r="I1538" t="s">
        <v>34</v>
      </c>
      <c r="J1538" t="str">
        <f>_xlfn.XLOOKUP(branches[[#This Row],[Филиал]], tbl_Filialy[Филиал], tbl_Filialy[Менеджер])</f>
        <v>Павел Ткаченко</v>
      </c>
    </row>
    <row r="1539" spans="1:10" x14ac:dyDescent="0.3">
      <c r="A1539" t="str">
        <f>_xlfn.XLOOKUP(branches[[#This Row],[Филиал]], tbl_Filialy[Филиал], tbl_Filialy[Город])</f>
        <v>Краснодар</v>
      </c>
      <c r="B1539" s="1" t="s">
        <v>31</v>
      </c>
      <c r="C1539" s="2">
        <v>45753</v>
      </c>
      <c r="D1539" s="2" t="str">
        <f>CHOOSE(MONTH(branches[[#This Row],[Дата]]),"Январь","Февраль","Март","Апрель","Май","Июнь","Июль","Август","Сентябрь","Октябрь","Ноябрь","Декабрь")&amp;" "&amp;YEAR(branches[[#This Row],[Дата]])</f>
        <v>Апрель 2025</v>
      </c>
      <c r="E1539" t="s">
        <v>18</v>
      </c>
      <c r="F1539" t="s">
        <v>12</v>
      </c>
      <c r="G1539">
        <v>2</v>
      </c>
      <c r="H1539">
        <v>318</v>
      </c>
      <c r="I1539" t="s">
        <v>13</v>
      </c>
      <c r="J1539" t="str">
        <f>_xlfn.XLOOKUP(branches[[#This Row],[Филиал]], tbl_Filialy[Филиал], tbl_Filialy[Менеджер])</f>
        <v>Павел Ткаченко</v>
      </c>
    </row>
    <row r="1540" spans="1:10" x14ac:dyDescent="0.3">
      <c r="A1540" t="str">
        <f>_xlfn.XLOOKUP(branches[[#This Row],[Филиал]], tbl_Filialy[Филиал], tbl_Filialy[Город])</f>
        <v>Краснодар</v>
      </c>
      <c r="B1540" s="1" t="s">
        <v>31</v>
      </c>
      <c r="C1540" s="2">
        <v>45822</v>
      </c>
      <c r="D1540" s="2" t="str">
        <f>CHOOSE(MONTH(branches[[#This Row],[Дата]]),"Январь","Февраль","Март","Апрель","Май","Июнь","Июль","Август","Сентябрь","Октябрь","Ноябрь","Декабрь")&amp;" "&amp;YEAR(branches[[#This Row],[Дата]])</f>
        <v>Июнь 2025</v>
      </c>
      <c r="E1540" t="s">
        <v>27</v>
      </c>
      <c r="F1540" t="s">
        <v>12</v>
      </c>
      <c r="G1540">
        <v>1</v>
      </c>
      <c r="H1540">
        <v>196</v>
      </c>
      <c r="I1540" t="s">
        <v>19</v>
      </c>
      <c r="J1540" t="str">
        <f>_xlfn.XLOOKUP(branches[[#This Row],[Филиал]], tbl_Filialy[Филиал], tbl_Filialy[Менеджер])</f>
        <v>Павел Ткаченко</v>
      </c>
    </row>
    <row r="1541" spans="1:10" x14ac:dyDescent="0.3">
      <c r="A1541" t="str">
        <f>_xlfn.XLOOKUP(branches[[#This Row],[Филиал]], tbl_Filialy[Филиал], tbl_Filialy[Город])</f>
        <v>Краснодар</v>
      </c>
      <c r="B1541" s="1" t="s">
        <v>31</v>
      </c>
      <c r="C1541" s="2">
        <v>45852</v>
      </c>
      <c r="D1541" s="2" t="str">
        <f>CHOOSE(MONTH(branches[[#This Row],[Дата]]),"Январь","Февраль","Март","Апрель","Май","Июнь","Июль","Август","Сентябрь","Октябрь","Ноябрь","Декабрь")&amp;" "&amp;YEAR(branches[[#This Row],[Дата]])</f>
        <v>Июль 2025</v>
      </c>
      <c r="E1541" t="s">
        <v>18</v>
      </c>
      <c r="F1541" t="s">
        <v>12</v>
      </c>
      <c r="G1541">
        <v>2</v>
      </c>
      <c r="H1541">
        <v>240</v>
      </c>
      <c r="I1541" t="s">
        <v>19</v>
      </c>
      <c r="J1541" t="str">
        <f>_xlfn.XLOOKUP(branches[[#This Row],[Филиал]], tbl_Filialy[Филиал], tbl_Filialy[Менеджер])</f>
        <v>Павел Ткаченко</v>
      </c>
    </row>
    <row r="1542" spans="1:10" x14ac:dyDescent="0.3">
      <c r="A1542" t="str">
        <f>_xlfn.XLOOKUP(branches[[#This Row],[Филиал]], tbl_Filialy[Филиал], tbl_Filialy[Город])</f>
        <v>Краснодар</v>
      </c>
      <c r="B1542" s="1" t="s">
        <v>31</v>
      </c>
      <c r="C1542" s="2">
        <v>45981</v>
      </c>
      <c r="D1542" s="2" t="str">
        <f>CHOOSE(MONTH(branches[[#This Row],[Дата]]),"Январь","Февраль","Март","Апрель","Май","Июнь","Июль","Август","Сентябрь","Октябрь","Ноябрь","Декабрь")&amp;" "&amp;YEAR(branches[[#This Row],[Дата]])</f>
        <v>Ноябрь 2025</v>
      </c>
      <c r="E1542" t="s">
        <v>24</v>
      </c>
      <c r="F1542" t="s">
        <v>17</v>
      </c>
      <c r="G1542">
        <v>2</v>
      </c>
      <c r="H1542">
        <v>670</v>
      </c>
      <c r="I1542" t="s">
        <v>35</v>
      </c>
      <c r="J1542" t="str">
        <f>_xlfn.XLOOKUP(branches[[#This Row],[Филиал]], tbl_Filialy[Филиал], tbl_Filialy[Менеджер])</f>
        <v>Павел Ткаченко</v>
      </c>
    </row>
    <row r="1543" spans="1:10" x14ac:dyDescent="0.3">
      <c r="A1543" t="str">
        <f>_xlfn.XLOOKUP(branches[[#This Row],[Филиал]], tbl_Filialy[Филиал], tbl_Filialy[Город])</f>
        <v>Краснодар</v>
      </c>
      <c r="B1543" s="1" t="s">
        <v>31</v>
      </c>
      <c r="C1543" s="2">
        <v>45788</v>
      </c>
      <c r="D1543" s="2" t="str">
        <f>CHOOSE(MONTH(branches[[#This Row],[Дата]]),"Январь","Февраль","Март","Апрель","Май","Июнь","Июль","Август","Сентябрь","Октябрь","Ноябрь","Декабрь")&amp;" "&amp;YEAR(branches[[#This Row],[Дата]])</f>
        <v>Май 2025</v>
      </c>
      <c r="E1543" t="s">
        <v>14</v>
      </c>
      <c r="F1543" t="s">
        <v>12</v>
      </c>
      <c r="G1543">
        <v>1</v>
      </c>
      <c r="H1543">
        <v>231</v>
      </c>
      <c r="I1543" t="s">
        <v>33</v>
      </c>
      <c r="J1543" t="str">
        <f>_xlfn.XLOOKUP(branches[[#This Row],[Филиал]], tbl_Filialy[Филиал], tbl_Filialy[Менеджер])</f>
        <v>Павел Ткаченко</v>
      </c>
    </row>
    <row r="1544" spans="1:10" x14ac:dyDescent="0.3">
      <c r="A1544" t="str">
        <f>_xlfn.XLOOKUP(branches[[#This Row],[Филиал]], tbl_Filialy[Филиал], tbl_Filialy[Город])</f>
        <v>Краснодар</v>
      </c>
      <c r="B1544" s="1" t="s">
        <v>31</v>
      </c>
      <c r="C1544" s="2">
        <v>45831</v>
      </c>
      <c r="D1544" s="2" t="str">
        <f>CHOOSE(MONTH(branches[[#This Row],[Дата]]),"Январь","Февраль","Март","Апрель","Май","Июнь","Июль","Август","Сентябрь","Октябрь","Ноябрь","Декабрь")&amp;" "&amp;YEAR(branches[[#This Row],[Дата]])</f>
        <v>Июнь 2025</v>
      </c>
      <c r="E1544" t="s">
        <v>22</v>
      </c>
      <c r="F1544" t="s">
        <v>9</v>
      </c>
      <c r="G1544">
        <v>2</v>
      </c>
      <c r="H1544">
        <v>348</v>
      </c>
      <c r="I1544" t="s">
        <v>32</v>
      </c>
      <c r="J1544" t="str">
        <f>_xlfn.XLOOKUP(branches[[#This Row],[Филиал]], tbl_Filialy[Филиал], tbl_Filialy[Менеджер])</f>
        <v>Павел Ткаченко</v>
      </c>
    </row>
    <row r="1545" spans="1:10" x14ac:dyDescent="0.3">
      <c r="A1545" t="str">
        <f>_xlfn.XLOOKUP(branches[[#This Row],[Филиал]], tbl_Filialy[Филиал], tbl_Filialy[Город])</f>
        <v>Краснодар</v>
      </c>
      <c r="B1545" s="1" t="s">
        <v>31</v>
      </c>
      <c r="C1545" s="2">
        <v>45722</v>
      </c>
      <c r="D1545" s="2" t="str">
        <f>CHOOSE(MONTH(branches[[#This Row],[Дата]]),"Январь","Февраль","Март","Апрель","Май","Июнь","Июль","Август","Сентябрь","Октябрь","Ноябрь","Декабрь")&amp;" "&amp;YEAR(branches[[#This Row],[Дата]])</f>
        <v>Март 2025</v>
      </c>
      <c r="E1545" t="s">
        <v>8</v>
      </c>
      <c r="F1545" t="s">
        <v>9</v>
      </c>
      <c r="G1545">
        <v>1</v>
      </c>
      <c r="H1545">
        <v>256</v>
      </c>
      <c r="I1545" t="s">
        <v>13</v>
      </c>
      <c r="J1545" t="str">
        <f>_xlfn.XLOOKUP(branches[[#This Row],[Филиал]], tbl_Filialy[Филиал], tbl_Filialy[Менеджер])</f>
        <v>Павел Ткаченко</v>
      </c>
    </row>
    <row r="1546" spans="1:10" x14ac:dyDescent="0.3">
      <c r="A1546" t="str">
        <f>_xlfn.XLOOKUP(branches[[#This Row],[Филиал]], tbl_Filialy[Филиал], tbl_Filialy[Город])</f>
        <v>Краснодар</v>
      </c>
      <c r="B1546" s="1" t="s">
        <v>31</v>
      </c>
      <c r="C1546" s="2">
        <v>45713</v>
      </c>
      <c r="D1546" s="2" t="str">
        <f>CHOOSE(MONTH(branches[[#This Row],[Дата]]),"Январь","Февраль","Март","Апрель","Май","Июнь","Июль","Август","Сентябрь","Октябрь","Ноябрь","Декабрь")&amp;" "&amp;YEAR(branches[[#This Row],[Дата]])</f>
        <v>Февраль 2025</v>
      </c>
      <c r="E1546" t="s">
        <v>24</v>
      </c>
      <c r="F1546" t="s">
        <v>17</v>
      </c>
      <c r="G1546">
        <v>2</v>
      </c>
      <c r="H1546">
        <v>768</v>
      </c>
      <c r="I1546" t="s">
        <v>34</v>
      </c>
      <c r="J1546" t="str">
        <f>_xlfn.XLOOKUP(branches[[#This Row],[Филиал]], tbl_Filialy[Филиал], tbl_Filialy[Менеджер])</f>
        <v>Павел Ткаченко</v>
      </c>
    </row>
    <row r="1547" spans="1:10" x14ac:dyDescent="0.3">
      <c r="A1547" t="str">
        <f>_xlfn.XLOOKUP(branches[[#This Row],[Филиал]], tbl_Filialy[Филиал], tbl_Filialy[Город])</f>
        <v>Краснодар</v>
      </c>
      <c r="B1547" s="1" t="s">
        <v>31</v>
      </c>
      <c r="C1547" s="2">
        <v>45885</v>
      </c>
      <c r="D1547" s="2" t="str">
        <f>CHOOSE(MONTH(branches[[#This Row],[Дата]]),"Январь","Февраль","Март","Апрель","Май","Июнь","Июль","Август","Сентябрь","Октябрь","Ноябрь","Декабрь")&amp;" "&amp;YEAR(branches[[#This Row],[Дата]])</f>
        <v>Август 2025</v>
      </c>
      <c r="E1547" t="s">
        <v>26</v>
      </c>
      <c r="F1547" t="s">
        <v>9</v>
      </c>
      <c r="G1547">
        <v>1</v>
      </c>
      <c r="H1547">
        <v>215</v>
      </c>
      <c r="I1547" t="s">
        <v>29</v>
      </c>
      <c r="J1547" t="str">
        <f>_xlfn.XLOOKUP(branches[[#This Row],[Филиал]], tbl_Filialy[Филиал], tbl_Filialy[Менеджер])</f>
        <v>Павел Ткаченко</v>
      </c>
    </row>
    <row r="1548" spans="1:10" x14ac:dyDescent="0.3">
      <c r="A1548" t="str">
        <f>_xlfn.XLOOKUP(branches[[#This Row],[Филиал]], tbl_Filialy[Филиал], tbl_Filialy[Город])</f>
        <v>Краснодар</v>
      </c>
      <c r="B1548" s="1" t="s">
        <v>31</v>
      </c>
      <c r="C1548" s="2">
        <v>46018</v>
      </c>
      <c r="D1548" s="2" t="str">
        <f>CHOOSE(MONTH(branches[[#This Row],[Дата]]),"Январь","Февраль","Март","Апрель","Май","Июнь","Июль","Август","Сентябрь","Октябрь","Ноябрь","Декабрь")&amp;" "&amp;YEAR(branches[[#This Row],[Дата]])</f>
        <v>Декабрь 2025</v>
      </c>
      <c r="E1548" t="s">
        <v>25</v>
      </c>
      <c r="F1548" t="s">
        <v>12</v>
      </c>
      <c r="G1548">
        <v>2</v>
      </c>
      <c r="H1548">
        <v>400</v>
      </c>
      <c r="I1548" t="s">
        <v>19</v>
      </c>
      <c r="J1548" t="str">
        <f>_xlfn.XLOOKUP(branches[[#This Row],[Филиал]], tbl_Filialy[Филиал], tbl_Filialy[Менеджер])</f>
        <v>Павел Ткаченко</v>
      </c>
    </row>
    <row r="1549" spans="1:10" x14ac:dyDescent="0.3">
      <c r="A1549" t="str">
        <f>_xlfn.XLOOKUP(branches[[#This Row],[Филиал]], tbl_Filialy[Филиал], tbl_Filialy[Город])</f>
        <v>Краснодар</v>
      </c>
      <c r="B1549" s="1" t="s">
        <v>31</v>
      </c>
      <c r="C1549" s="2">
        <v>45691</v>
      </c>
      <c r="D1549" s="2" t="str">
        <f>CHOOSE(MONTH(branches[[#This Row],[Дата]]),"Январь","Февраль","Март","Апрель","Май","Июнь","Июль","Август","Сентябрь","Октябрь","Ноябрь","Декабрь")&amp;" "&amp;YEAR(branches[[#This Row],[Дата]])</f>
        <v>Февраль 2025</v>
      </c>
      <c r="E1549" t="s">
        <v>11</v>
      </c>
      <c r="F1549" t="s">
        <v>12</v>
      </c>
      <c r="G1549">
        <v>3</v>
      </c>
      <c r="H1549">
        <v>447</v>
      </c>
      <c r="I1549" t="s">
        <v>32</v>
      </c>
      <c r="J1549" t="str">
        <f>_xlfn.XLOOKUP(branches[[#This Row],[Филиал]], tbl_Filialy[Филиал], tbl_Filialy[Менеджер])</f>
        <v>Павел Ткаченко</v>
      </c>
    </row>
    <row r="1550" spans="1:10" x14ac:dyDescent="0.3">
      <c r="A1550" t="str">
        <f>_xlfn.XLOOKUP(branches[[#This Row],[Филиал]], tbl_Filialy[Филиал], tbl_Filialy[Город])</f>
        <v>Краснодар</v>
      </c>
      <c r="B1550" s="1" t="s">
        <v>31</v>
      </c>
      <c r="C1550" s="2">
        <v>45941</v>
      </c>
      <c r="D1550" s="2" t="str">
        <f>CHOOSE(MONTH(branches[[#This Row],[Дата]]),"Январь","Февраль","Март","Апрель","Май","Июнь","Июль","Август","Сентябрь","Октябрь","Ноябрь","Декабрь")&amp;" "&amp;YEAR(branches[[#This Row],[Дата]])</f>
        <v>Октябрь 2025</v>
      </c>
      <c r="E1550" t="s">
        <v>24</v>
      </c>
      <c r="F1550" t="s">
        <v>17</v>
      </c>
      <c r="G1550">
        <v>1</v>
      </c>
      <c r="H1550">
        <v>380</v>
      </c>
      <c r="I1550" t="s">
        <v>33</v>
      </c>
      <c r="J1550" t="str">
        <f>_xlfn.XLOOKUP(branches[[#This Row],[Филиал]], tbl_Filialy[Филиал], tbl_Filialy[Менеджер])</f>
        <v>Павел Ткаченко</v>
      </c>
    </row>
    <row r="1551" spans="1:10" x14ac:dyDescent="0.3">
      <c r="A1551" t="str">
        <f>_xlfn.XLOOKUP(branches[[#This Row],[Филиал]], tbl_Filialy[Филиал], tbl_Filialy[Город])</f>
        <v>Краснодар</v>
      </c>
      <c r="B1551" s="1" t="s">
        <v>31</v>
      </c>
      <c r="C1551" s="2">
        <v>45829</v>
      </c>
      <c r="D1551" s="2" t="str">
        <f>CHOOSE(MONTH(branches[[#This Row],[Дата]]),"Январь","Февраль","Март","Апрель","Май","Июнь","Июль","Август","Сентябрь","Октябрь","Ноябрь","Декабрь")&amp;" "&amp;YEAR(branches[[#This Row],[Дата]])</f>
        <v>Июнь 2025</v>
      </c>
      <c r="E1551" t="s">
        <v>24</v>
      </c>
      <c r="F1551" t="s">
        <v>17</v>
      </c>
      <c r="G1551">
        <v>1</v>
      </c>
      <c r="H1551">
        <v>395</v>
      </c>
      <c r="I1551" t="s">
        <v>19</v>
      </c>
      <c r="J1551" t="str">
        <f>_xlfn.XLOOKUP(branches[[#This Row],[Филиал]], tbl_Filialy[Филиал], tbl_Filialy[Менеджер])</f>
        <v>Павел Ткаченко</v>
      </c>
    </row>
    <row r="1552" spans="1:10" x14ac:dyDescent="0.3">
      <c r="A1552" t="str">
        <f>_xlfn.XLOOKUP(branches[[#This Row],[Филиал]], tbl_Filialy[Филиал], tbl_Filialy[Город])</f>
        <v>Краснодар</v>
      </c>
      <c r="B1552" s="1" t="s">
        <v>31</v>
      </c>
      <c r="C1552" s="2">
        <v>45860</v>
      </c>
      <c r="D1552" s="2" t="str">
        <f>CHOOSE(MONTH(branches[[#This Row],[Дата]]),"Январь","Февраль","Март","Апрель","Май","Июнь","Июль","Август","Сентябрь","Октябрь","Ноябрь","Декабрь")&amp;" "&amp;YEAR(branches[[#This Row],[Дата]])</f>
        <v>Июль 2025</v>
      </c>
      <c r="E1552" t="s">
        <v>11</v>
      </c>
      <c r="F1552" t="s">
        <v>12</v>
      </c>
      <c r="G1552">
        <v>3</v>
      </c>
      <c r="H1552">
        <v>489</v>
      </c>
      <c r="I1552" t="s">
        <v>32</v>
      </c>
      <c r="J1552" t="str">
        <f>_xlfn.XLOOKUP(branches[[#This Row],[Филиал]], tbl_Filialy[Филиал], tbl_Filialy[Менеджер])</f>
        <v>Павел Ткаченко</v>
      </c>
    </row>
    <row r="1553" spans="1:10" x14ac:dyDescent="0.3">
      <c r="A1553" t="str">
        <f>_xlfn.XLOOKUP(branches[[#This Row],[Филиал]], tbl_Filialy[Филиал], tbl_Filialy[Город])</f>
        <v>Краснодар</v>
      </c>
      <c r="B1553" s="1" t="s">
        <v>31</v>
      </c>
      <c r="C1553" s="2">
        <v>45955</v>
      </c>
      <c r="D1553" s="2" t="str">
        <f>CHOOSE(MONTH(branches[[#This Row],[Дата]]),"Январь","Февраль","Март","Апрель","Май","Июнь","Июль","Август","Сентябрь","Октябрь","Ноябрь","Декабрь")&amp;" "&amp;YEAR(branches[[#This Row],[Дата]])</f>
        <v>Октябрь 2025</v>
      </c>
      <c r="E1553" t="s">
        <v>28</v>
      </c>
      <c r="F1553" t="s">
        <v>12</v>
      </c>
      <c r="G1553">
        <v>1</v>
      </c>
      <c r="H1553">
        <v>210</v>
      </c>
      <c r="I1553" t="s">
        <v>35</v>
      </c>
      <c r="J1553" t="str">
        <f>_xlfn.XLOOKUP(branches[[#This Row],[Филиал]], tbl_Filialy[Филиал], tbl_Filialy[Менеджер])</f>
        <v>Павел Ткаченко</v>
      </c>
    </row>
    <row r="1554" spans="1:10" x14ac:dyDescent="0.3">
      <c r="A1554" t="str">
        <f>_xlfn.XLOOKUP(branches[[#This Row],[Филиал]], tbl_Filialy[Филиал], tbl_Filialy[Город])</f>
        <v>Краснодар</v>
      </c>
      <c r="B1554" s="1" t="s">
        <v>31</v>
      </c>
      <c r="C1554" s="2">
        <v>45963</v>
      </c>
      <c r="D1554" s="2" t="str">
        <f>CHOOSE(MONTH(branches[[#This Row],[Дата]]),"Январь","Февраль","Март","Апрель","Май","Июнь","Июль","Август","Сентябрь","Октябрь","Ноябрь","Декабрь")&amp;" "&amp;YEAR(branches[[#This Row],[Дата]])</f>
        <v>Ноябрь 2025</v>
      </c>
      <c r="E1554" t="s">
        <v>16</v>
      </c>
      <c r="F1554" t="s">
        <v>17</v>
      </c>
      <c r="G1554">
        <v>3</v>
      </c>
      <c r="H1554">
        <v>969</v>
      </c>
      <c r="I1554" t="s">
        <v>32</v>
      </c>
      <c r="J1554" t="str">
        <f>_xlfn.XLOOKUP(branches[[#This Row],[Филиал]], tbl_Filialy[Филиал], tbl_Filialy[Менеджер])</f>
        <v>Павел Ткаченко</v>
      </c>
    </row>
    <row r="1555" spans="1:10" x14ac:dyDescent="0.3">
      <c r="A1555" t="str">
        <f>_xlfn.XLOOKUP(branches[[#This Row],[Филиал]], tbl_Filialy[Филиал], tbl_Filialy[Город])</f>
        <v>Краснодар</v>
      </c>
      <c r="B1555" s="1" t="s">
        <v>31</v>
      </c>
      <c r="C1555" s="2">
        <v>45816</v>
      </c>
      <c r="D1555" s="2" t="str">
        <f>CHOOSE(MONTH(branches[[#This Row],[Дата]]),"Январь","Февраль","Март","Апрель","Май","Июнь","Июль","Август","Сентябрь","Октябрь","Ноябрь","Декабрь")&amp;" "&amp;YEAR(branches[[#This Row],[Дата]])</f>
        <v>Июнь 2025</v>
      </c>
      <c r="E1555" t="s">
        <v>20</v>
      </c>
      <c r="F1555" t="s">
        <v>12</v>
      </c>
      <c r="G1555">
        <v>1</v>
      </c>
      <c r="H1555">
        <v>284</v>
      </c>
      <c r="I1555" t="s">
        <v>33</v>
      </c>
      <c r="J1555" t="str">
        <f>_xlfn.XLOOKUP(branches[[#This Row],[Филиал]], tbl_Filialy[Филиал], tbl_Filialy[Менеджер])</f>
        <v>Павел Ткаченко</v>
      </c>
    </row>
    <row r="1556" spans="1:10" x14ac:dyDescent="0.3">
      <c r="A1556" t="str">
        <f>_xlfn.XLOOKUP(branches[[#This Row],[Филиал]], tbl_Filialy[Филиал], tbl_Filialy[Город])</f>
        <v>Краснодар</v>
      </c>
      <c r="B1556" s="1" t="s">
        <v>31</v>
      </c>
      <c r="C1556" s="2">
        <v>45971</v>
      </c>
      <c r="D1556" s="2" t="str">
        <f>CHOOSE(MONTH(branches[[#This Row],[Дата]]),"Январь","Февраль","Март","Апрель","Май","Июнь","Июль","Август","Сентябрь","Октябрь","Ноябрь","Декабрь")&amp;" "&amp;YEAR(branches[[#This Row],[Дата]])</f>
        <v>Ноябрь 2025</v>
      </c>
      <c r="E1556" t="s">
        <v>22</v>
      </c>
      <c r="F1556" t="s">
        <v>9</v>
      </c>
      <c r="G1556">
        <v>1</v>
      </c>
      <c r="H1556">
        <v>184</v>
      </c>
      <c r="I1556" t="s">
        <v>35</v>
      </c>
      <c r="J1556" t="str">
        <f>_xlfn.XLOOKUP(branches[[#This Row],[Филиал]], tbl_Filialy[Филиал], tbl_Filialy[Менеджер])</f>
        <v>Павел Ткаченко</v>
      </c>
    </row>
    <row r="1557" spans="1:10" x14ac:dyDescent="0.3">
      <c r="A1557" t="str">
        <f>_xlfn.XLOOKUP(branches[[#This Row],[Филиал]], tbl_Filialy[Филиал], tbl_Filialy[Город])</f>
        <v>Краснодар</v>
      </c>
      <c r="B1557" s="1" t="s">
        <v>31</v>
      </c>
      <c r="C1557" s="2">
        <v>45659</v>
      </c>
      <c r="D1557" s="2" t="str">
        <f>CHOOSE(MONTH(branches[[#This Row],[Дата]]),"Январь","Февраль","Март","Апрель","Май","Июнь","Июль","Август","Сентябрь","Октябрь","Ноябрь","Декабрь")&amp;" "&amp;YEAR(branches[[#This Row],[Дата]])</f>
        <v>Январь 2025</v>
      </c>
      <c r="E1557" t="s">
        <v>18</v>
      </c>
      <c r="F1557" t="s">
        <v>12</v>
      </c>
      <c r="G1557">
        <v>1</v>
      </c>
      <c r="H1557">
        <v>127</v>
      </c>
      <c r="I1557" t="s">
        <v>33</v>
      </c>
      <c r="J1557" t="str">
        <f>_xlfn.XLOOKUP(branches[[#This Row],[Филиал]], tbl_Filialy[Филиал], tbl_Filialy[Менеджер])</f>
        <v>Павел Ткаченко</v>
      </c>
    </row>
    <row r="1558" spans="1:10" x14ac:dyDescent="0.3">
      <c r="A1558" t="str">
        <f>_xlfn.XLOOKUP(branches[[#This Row],[Филиал]], tbl_Filialy[Филиал], tbl_Filialy[Город])</f>
        <v>Краснодар</v>
      </c>
      <c r="B1558" s="1" t="s">
        <v>31</v>
      </c>
      <c r="C1558" s="2">
        <v>45883</v>
      </c>
      <c r="D1558" s="2" t="str">
        <f>CHOOSE(MONTH(branches[[#This Row],[Дата]]),"Январь","Февраль","Март","Апрель","Май","Июнь","Июль","Август","Сентябрь","Октябрь","Ноябрь","Декабрь")&amp;" "&amp;YEAR(branches[[#This Row],[Дата]])</f>
        <v>Август 2025</v>
      </c>
      <c r="E1558" t="s">
        <v>14</v>
      </c>
      <c r="F1558" t="s">
        <v>12</v>
      </c>
      <c r="G1558">
        <v>3</v>
      </c>
      <c r="H1558">
        <v>747</v>
      </c>
      <c r="I1558" t="s">
        <v>19</v>
      </c>
      <c r="J1558" t="str">
        <f>_xlfn.XLOOKUP(branches[[#This Row],[Филиал]], tbl_Filialy[Филиал], tbl_Filialy[Менеджер])</f>
        <v>Павел Ткаченко</v>
      </c>
    </row>
    <row r="1559" spans="1:10" x14ac:dyDescent="0.3">
      <c r="A1559" t="str">
        <f>_xlfn.XLOOKUP(branches[[#This Row],[Филиал]], tbl_Filialy[Филиал], tbl_Filialy[Город])</f>
        <v>Краснодар</v>
      </c>
      <c r="B1559" s="1" t="s">
        <v>31</v>
      </c>
      <c r="C1559" s="2">
        <v>45692</v>
      </c>
      <c r="D1559" s="2" t="str">
        <f>CHOOSE(MONTH(branches[[#This Row],[Дата]]),"Январь","Февраль","Март","Апрель","Май","Июнь","Июль","Август","Сентябрь","Октябрь","Ноябрь","Декабрь")&amp;" "&amp;YEAR(branches[[#This Row],[Дата]])</f>
        <v>Февраль 2025</v>
      </c>
      <c r="E1559" t="s">
        <v>28</v>
      </c>
      <c r="F1559" t="s">
        <v>12</v>
      </c>
      <c r="G1559">
        <v>2</v>
      </c>
      <c r="H1559">
        <v>512</v>
      </c>
      <c r="I1559" t="s">
        <v>34</v>
      </c>
      <c r="J1559" t="str">
        <f>_xlfn.XLOOKUP(branches[[#This Row],[Филиал]], tbl_Filialy[Филиал], tbl_Filialy[Менеджер])</f>
        <v>Павел Ткаченко</v>
      </c>
    </row>
    <row r="1560" spans="1:10" x14ac:dyDescent="0.3">
      <c r="A1560" t="str">
        <f>_xlfn.XLOOKUP(branches[[#This Row],[Филиал]], tbl_Filialy[Филиал], tbl_Filialy[Город])</f>
        <v>Краснодар</v>
      </c>
      <c r="B1560" s="1" t="s">
        <v>31</v>
      </c>
      <c r="C1560" s="2">
        <v>45955</v>
      </c>
      <c r="D1560" s="2" t="str">
        <f>CHOOSE(MONTH(branches[[#This Row],[Дата]]),"Январь","Февраль","Март","Апрель","Май","Июнь","Июль","Август","Сентябрь","Октябрь","Ноябрь","Декабрь")&amp;" "&amp;YEAR(branches[[#This Row],[Дата]])</f>
        <v>Октябрь 2025</v>
      </c>
      <c r="E1560" t="s">
        <v>14</v>
      </c>
      <c r="F1560" t="s">
        <v>12</v>
      </c>
      <c r="G1560">
        <v>2</v>
      </c>
      <c r="H1560">
        <v>526</v>
      </c>
      <c r="I1560" t="s">
        <v>19</v>
      </c>
      <c r="J1560" t="str">
        <f>_xlfn.XLOOKUP(branches[[#This Row],[Филиал]], tbl_Filialy[Филиал], tbl_Filialy[Менеджер])</f>
        <v>Павел Ткаченко</v>
      </c>
    </row>
    <row r="1561" spans="1:10" x14ac:dyDescent="0.3">
      <c r="A1561" t="str">
        <f>_xlfn.XLOOKUP(branches[[#This Row],[Филиал]], tbl_Filialy[Филиал], tbl_Filialy[Город])</f>
        <v>Краснодар</v>
      </c>
      <c r="B1561" s="1" t="s">
        <v>31</v>
      </c>
      <c r="C1561" s="2">
        <v>45673</v>
      </c>
      <c r="D1561" s="2" t="str">
        <f>CHOOSE(MONTH(branches[[#This Row],[Дата]]),"Январь","Февраль","Март","Апрель","Май","Июнь","Июль","Август","Сентябрь","Октябрь","Ноябрь","Декабрь")&amp;" "&amp;YEAR(branches[[#This Row],[Дата]])</f>
        <v>Январь 2025</v>
      </c>
      <c r="E1561" t="s">
        <v>18</v>
      </c>
      <c r="F1561" t="s">
        <v>12</v>
      </c>
      <c r="G1561">
        <v>2</v>
      </c>
      <c r="H1561">
        <v>312</v>
      </c>
      <c r="I1561" t="s">
        <v>19</v>
      </c>
      <c r="J1561" t="str">
        <f>_xlfn.XLOOKUP(branches[[#This Row],[Филиал]], tbl_Filialy[Филиал], tbl_Filialy[Менеджер])</f>
        <v>Павел Ткаченко</v>
      </c>
    </row>
    <row r="1562" spans="1:10" x14ac:dyDescent="0.3">
      <c r="A1562" t="str">
        <f>_xlfn.XLOOKUP(branches[[#This Row],[Филиал]], tbl_Filialy[Филиал], tbl_Filialy[Город])</f>
        <v>Краснодар</v>
      </c>
      <c r="B1562" s="1" t="s">
        <v>31</v>
      </c>
      <c r="C1562" s="2">
        <v>45667</v>
      </c>
      <c r="D1562" s="2" t="str">
        <f>CHOOSE(MONTH(branches[[#This Row],[Дата]]),"Январь","Февраль","Март","Апрель","Май","Июнь","Июль","Август","Сентябрь","Октябрь","Ноябрь","Декабрь")&amp;" "&amp;YEAR(branches[[#This Row],[Дата]])</f>
        <v>Январь 2025</v>
      </c>
      <c r="E1562" t="s">
        <v>27</v>
      </c>
      <c r="F1562" t="s">
        <v>12</v>
      </c>
      <c r="G1562">
        <v>2</v>
      </c>
      <c r="H1562">
        <v>456</v>
      </c>
      <c r="I1562" t="s">
        <v>33</v>
      </c>
      <c r="J1562" t="str">
        <f>_xlfn.XLOOKUP(branches[[#This Row],[Филиал]], tbl_Filialy[Филиал], tbl_Filialy[Менеджер])</f>
        <v>Павел Ткаченко</v>
      </c>
    </row>
    <row r="1563" spans="1:10" x14ac:dyDescent="0.3">
      <c r="A1563" t="str">
        <f>_xlfn.XLOOKUP(branches[[#This Row],[Филиал]], tbl_Filialy[Филиал], tbl_Filialy[Город])</f>
        <v>Краснодар</v>
      </c>
      <c r="B1563" s="1" t="s">
        <v>31</v>
      </c>
      <c r="C1563" s="2">
        <v>45698</v>
      </c>
      <c r="D1563" s="2" t="str">
        <f>CHOOSE(MONTH(branches[[#This Row],[Дата]]),"Январь","Февраль","Март","Апрель","Май","Июнь","Июль","Август","Сентябрь","Октябрь","Ноябрь","Декабрь")&amp;" "&amp;YEAR(branches[[#This Row],[Дата]])</f>
        <v>Февраль 2025</v>
      </c>
      <c r="E1563" t="s">
        <v>27</v>
      </c>
      <c r="F1563" t="s">
        <v>12</v>
      </c>
      <c r="G1563">
        <v>3</v>
      </c>
      <c r="H1563">
        <v>654</v>
      </c>
      <c r="I1563" t="s">
        <v>32</v>
      </c>
      <c r="J1563" t="str">
        <f>_xlfn.XLOOKUP(branches[[#This Row],[Филиал]], tbl_Filialy[Филиал], tbl_Filialy[Менеджер])</f>
        <v>Павел Ткаченко</v>
      </c>
    </row>
    <row r="1564" spans="1:10" x14ac:dyDescent="0.3">
      <c r="A1564" t="str">
        <f>_xlfn.XLOOKUP(branches[[#This Row],[Филиал]], tbl_Filialy[Филиал], tbl_Filialy[Город])</f>
        <v>Краснодар</v>
      </c>
      <c r="B1564" s="1" t="s">
        <v>31</v>
      </c>
      <c r="C1564" s="2">
        <v>45988</v>
      </c>
      <c r="D1564" s="2" t="str">
        <f>CHOOSE(MONTH(branches[[#This Row],[Дата]]),"Январь","Февраль","Март","Апрель","Май","Июнь","Июль","Август","Сентябрь","Октябрь","Ноябрь","Декабрь")&amp;" "&amp;YEAR(branches[[#This Row],[Дата]])</f>
        <v>Ноябрь 2025</v>
      </c>
      <c r="E1564" t="s">
        <v>27</v>
      </c>
      <c r="F1564" t="s">
        <v>12</v>
      </c>
      <c r="G1564">
        <v>1</v>
      </c>
      <c r="H1564">
        <v>193</v>
      </c>
      <c r="I1564" t="s">
        <v>19</v>
      </c>
      <c r="J1564" t="str">
        <f>_xlfn.XLOOKUP(branches[[#This Row],[Филиал]], tbl_Filialy[Филиал], tbl_Filialy[Менеджер])</f>
        <v>Павел Ткаченко</v>
      </c>
    </row>
    <row r="1565" spans="1:10" x14ac:dyDescent="0.3">
      <c r="A1565" t="str">
        <f>_xlfn.XLOOKUP(branches[[#This Row],[Филиал]], tbl_Filialy[Филиал], tbl_Filialy[Город])</f>
        <v>Краснодар</v>
      </c>
      <c r="B1565" s="1" t="s">
        <v>31</v>
      </c>
      <c r="C1565" s="2">
        <v>45713</v>
      </c>
      <c r="D1565" s="2" t="str">
        <f>CHOOSE(MONTH(branches[[#This Row],[Дата]]),"Январь","Февраль","Март","Апрель","Май","Июнь","Июль","Август","Сентябрь","Октябрь","Ноябрь","Декабрь")&amp;" "&amp;YEAR(branches[[#This Row],[Дата]])</f>
        <v>Февраль 2025</v>
      </c>
      <c r="E1565" t="s">
        <v>24</v>
      </c>
      <c r="F1565" t="s">
        <v>17</v>
      </c>
      <c r="G1565">
        <v>2</v>
      </c>
      <c r="H1565">
        <v>846</v>
      </c>
      <c r="I1565" t="s">
        <v>19</v>
      </c>
      <c r="J1565" t="str">
        <f>_xlfn.XLOOKUP(branches[[#This Row],[Филиал]], tbl_Filialy[Филиал], tbl_Filialy[Менеджер])</f>
        <v>Павел Ткаченко</v>
      </c>
    </row>
    <row r="1566" spans="1:10" x14ac:dyDescent="0.3">
      <c r="A1566" t="str">
        <f>_xlfn.XLOOKUP(branches[[#This Row],[Филиал]], tbl_Filialy[Филиал], tbl_Filialy[Город])</f>
        <v>Краснодар</v>
      </c>
      <c r="B1566" s="1" t="s">
        <v>31</v>
      </c>
      <c r="C1566" s="2">
        <v>45827</v>
      </c>
      <c r="D1566" s="2" t="str">
        <f>CHOOSE(MONTH(branches[[#This Row],[Дата]]),"Январь","Февраль","Март","Апрель","Май","Июнь","Июль","Август","Сентябрь","Октябрь","Ноябрь","Декабрь")&amp;" "&amp;YEAR(branches[[#This Row],[Дата]])</f>
        <v>Июнь 2025</v>
      </c>
      <c r="E1566" t="s">
        <v>22</v>
      </c>
      <c r="F1566" t="s">
        <v>9</v>
      </c>
      <c r="G1566">
        <v>1</v>
      </c>
      <c r="H1566">
        <v>177</v>
      </c>
      <c r="I1566" t="s">
        <v>32</v>
      </c>
      <c r="J1566" t="str">
        <f>_xlfn.XLOOKUP(branches[[#This Row],[Филиал]], tbl_Filialy[Филиал], tbl_Filialy[Менеджер])</f>
        <v>Павел Ткаченко</v>
      </c>
    </row>
    <row r="1567" spans="1:10" x14ac:dyDescent="0.3">
      <c r="A1567" t="str">
        <f>_xlfn.XLOOKUP(branches[[#This Row],[Филиал]], tbl_Filialy[Филиал], tbl_Filialy[Город])</f>
        <v>Краснодар</v>
      </c>
      <c r="B1567" s="1" t="s">
        <v>31</v>
      </c>
      <c r="C1567" s="2">
        <v>45886</v>
      </c>
      <c r="D1567" s="2" t="str">
        <f>CHOOSE(MONTH(branches[[#This Row],[Дата]]),"Январь","Февраль","Март","Апрель","Май","Июнь","Июль","Август","Сентябрь","Октябрь","Ноябрь","Декабрь")&amp;" "&amp;YEAR(branches[[#This Row],[Дата]])</f>
        <v>Август 2025</v>
      </c>
      <c r="E1567" t="s">
        <v>11</v>
      </c>
      <c r="F1567" t="s">
        <v>12</v>
      </c>
      <c r="G1567">
        <v>3</v>
      </c>
      <c r="H1567">
        <v>564</v>
      </c>
      <c r="I1567" t="s">
        <v>13</v>
      </c>
      <c r="J1567" t="str">
        <f>_xlfn.XLOOKUP(branches[[#This Row],[Филиал]], tbl_Filialy[Филиал], tbl_Filialy[Менеджер])</f>
        <v>Павел Ткаченко</v>
      </c>
    </row>
    <row r="1568" spans="1:10" x14ac:dyDescent="0.3">
      <c r="A1568" t="str">
        <f>_xlfn.XLOOKUP(branches[[#This Row],[Филиал]], tbl_Filialy[Филиал], tbl_Filialy[Город])</f>
        <v>Краснодар</v>
      </c>
      <c r="B1568" s="1" t="s">
        <v>31</v>
      </c>
      <c r="C1568" s="2">
        <v>45834</v>
      </c>
      <c r="D1568" s="2" t="str">
        <f>CHOOSE(MONTH(branches[[#This Row],[Дата]]),"Январь","Февраль","Март","Апрель","Май","Июнь","Июль","Август","Сентябрь","Октябрь","Ноябрь","Декабрь")&amp;" "&amp;YEAR(branches[[#This Row],[Дата]])</f>
        <v>Июнь 2025</v>
      </c>
      <c r="E1568" t="s">
        <v>28</v>
      </c>
      <c r="F1568" t="s">
        <v>12</v>
      </c>
      <c r="G1568">
        <v>1</v>
      </c>
      <c r="H1568">
        <v>205</v>
      </c>
      <c r="I1568" t="s">
        <v>35</v>
      </c>
      <c r="J1568" t="str">
        <f>_xlfn.XLOOKUP(branches[[#This Row],[Филиал]], tbl_Filialy[Филиал], tbl_Filialy[Менеджер])</f>
        <v>Павел Ткаченко</v>
      </c>
    </row>
    <row r="1569" spans="1:10" x14ac:dyDescent="0.3">
      <c r="A1569" t="str">
        <f>_xlfn.XLOOKUP(branches[[#This Row],[Филиал]], tbl_Filialy[Филиал], tbl_Filialy[Город])</f>
        <v>Краснодар</v>
      </c>
      <c r="B1569" s="1" t="s">
        <v>31</v>
      </c>
      <c r="C1569" s="2">
        <v>45950</v>
      </c>
      <c r="D1569" s="2" t="str">
        <f>CHOOSE(MONTH(branches[[#This Row],[Дата]]),"Январь","Февраль","Март","Апрель","Май","Июнь","Июль","Август","Сентябрь","Октябрь","Ноябрь","Декабрь")&amp;" "&amp;YEAR(branches[[#This Row],[Дата]])</f>
        <v>Октябрь 2025</v>
      </c>
      <c r="E1569" t="s">
        <v>22</v>
      </c>
      <c r="F1569" t="s">
        <v>9</v>
      </c>
      <c r="G1569">
        <v>2</v>
      </c>
      <c r="H1569">
        <v>342</v>
      </c>
      <c r="I1569" t="s">
        <v>33</v>
      </c>
      <c r="J1569" t="str">
        <f>_xlfn.XLOOKUP(branches[[#This Row],[Филиал]], tbl_Filialy[Филиал], tbl_Filialy[Менеджер])</f>
        <v>Павел Ткаченко</v>
      </c>
    </row>
    <row r="1570" spans="1:10" x14ac:dyDescent="0.3">
      <c r="A1570" t="str">
        <f>_xlfn.XLOOKUP(branches[[#This Row],[Филиал]], tbl_Filialy[Филиал], tbl_Filialy[Город])</f>
        <v>Краснодар</v>
      </c>
      <c r="B1570" s="1" t="s">
        <v>31</v>
      </c>
      <c r="C1570" s="2">
        <v>45908</v>
      </c>
      <c r="D1570" s="2" t="str">
        <f>CHOOSE(MONTH(branches[[#This Row],[Дата]]),"Январь","Февраль","Март","Апрель","Май","Июнь","Июль","Август","Сентябрь","Октябрь","Ноябрь","Декабрь")&amp;" "&amp;YEAR(branches[[#This Row],[Дата]])</f>
        <v>Сентябрь 2025</v>
      </c>
      <c r="E1570" t="s">
        <v>8</v>
      </c>
      <c r="F1570" t="s">
        <v>9</v>
      </c>
      <c r="G1570">
        <v>1</v>
      </c>
      <c r="H1570">
        <v>251</v>
      </c>
      <c r="I1570" t="s">
        <v>33</v>
      </c>
      <c r="J1570" t="str">
        <f>_xlfn.XLOOKUP(branches[[#This Row],[Филиал]], tbl_Filialy[Филиал], tbl_Filialy[Менеджер])</f>
        <v>Павел Ткаченко</v>
      </c>
    </row>
    <row r="1571" spans="1:10" x14ac:dyDescent="0.3">
      <c r="A1571" t="str">
        <f>_xlfn.XLOOKUP(branches[[#This Row],[Филиал]], tbl_Filialy[Филиал], tbl_Filialy[Город])</f>
        <v>Краснодар</v>
      </c>
      <c r="B1571" s="1" t="s">
        <v>31</v>
      </c>
      <c r="C1571" s="2">
        <v>45779</v>
      </c>
      <c r="D1571" s="2" t="str">
        <f>CHOOSE(MONTH(branches[[#This Row],[Дата]]),"Январь","Февраль","Март","Апрель","Май","Июнь","Июль","Август","Сентябрь","Октябрь","Ноябрь","Декабрь")&amp;" "&amp;YEAR(branches[[#This Row],[Дата]])</f>
        <v>Май 2025</v>
      </c>
      <c r="E1571" t="s">
        <v>28</v>
      </c>
      <c r="F1571" t="s">
        <v>12</v>
      </c>
      <c r="G1571">
        <v>1</v>
      </c>
      <c r="H1571">
        <v>254</v>
      </c>
      <c r="I1571" t="s">
        <v>29</v>
      </c>
      <c r="J1571" t="str">
        <f>_xlfn.XLOOKUP(branches[[#This Row],[Филиал]], tbl_Filialy[Филиал], tbl_Filialy[Менеджер])</f>
        <v>Павел Ткаченко</v>
      </c>
    </row>
    <row r="1572" spans="1:10" x14ac:dyDescent="0.3">
      <c r="A1572" t="str">
        <f>_xlfn.XLOOKUP(branches[[#This Row],[Филиал]], tbl_Filialy[Филиал], tbl_Filialy[Город])</f>
        <v>Краснодар</v>
      </c>
      <c r="B1572" s="1" t="s">
        <v>31</v>
      </c>
      <c r="C1572" s="2">
        <v>45982</v>
      </c>
      <c r="D1572" s="2" t="str">
        <f>CHOOSE(MONTH(branches[[#This Row],[Дата]]),"Январь","Февраль","Март","Апрель","Май","Июнь","Июль","Август","Сентябрь","Октябрь","Ноябрь","Декабрь")&amp;" "&amp;YEAR(branches[[#This Row],[Дата]])</f>
        <v>Ноябрь 2025</v>
      </c>
      <c r="E1572" t="s">
        <v>18</v>
      </c>
      <c r="F1572" t="s">
        <v>12</v>
      </c>
      <c r="G1572">
        <v>2</v>
      </c>
      <c r="H1572">
        <v>250</v>
      </c>
      <c r="I1572" t="s">
        <v>35</v>
      </c>
      <c r="J1572" t="str">
        <f>_xlfn.XLOOKUP(branches[[#This Row],[Филиал]], tbl_Filialy[Филиал], tbl_Filialy[Менеджер])</f>
        <v>Павел Ткаченко</v>
      </c>
    </row>
    <row r="1573" spans="1:10" x14ac:dyDescent="0.3">
      <c r="A1573" t="str">
        <f>_xlfn.XLOOKUP(branches[[#This Row],[Филиал]], tbl_Filialy[Филиал], tbl_Filialy[Город])</f>
        <v>Краснодар</v>
      </c>
      <c r="B1573" s="1" t="s">
        <v>31</v>
      </c>
      <c r="C1573" s="2">
        <v>46001</v>
      </c>
      <c r="D1573" s="2" t="str">
        <f>CHOOSE(MONTH(branches[[#This Row],[Дата]]),"Январь","Февраль","Март","Апрель","Май","Июнь","Июль","Август","Сентябрь","Октябрь","Ноябрь","Декабрь")&amp;" "&amp;YEAR(branches[[#This Row],[Дата]])</f>
        <v>Декабрь 2025</v>
      </c>
      <c r="E1573" t="s">
        <v>20</v>
      </c>
      <c r="F1573" t="s">
        <v>12</v>
      </c>
      <c r="G1573">
        <v>2</v>
      </c>
      <c r="H1573">
        <v>516</v>
      </c>
      <c r="I1573" t="s">
        <v>19</v>
      </c>
      <c r="J1573" t="str">
        <f>_xlfn.XLOOKUP(branches[[#This Row],[Филиал]], tbl_Filialy[Филиал], tbl_Filialy[Менеджер])</f>
        <v>Павел Ткаченко</v>
      </c>
    </row>
    <row r="1574" spans="1:10" x14ac:dyDescent="0.3">
      <c r="A1574" t="str">
        <f>_xlfn.XLOOKUP(branches[[#This Row],[Филиал]], tbl_Filialy[Филиал], tbl_Filialy[Город])</f>
        <v>Краснодар</v>
      </c>
      <c r="B1574" s="1" t="s">
        <v>31</v>
      </c>
      <c r="C1574" s="2">
        <v>45987</v>
      </c>
      <c r="D1574" s="2" t="str">
        <f>CHOOSE(MONTH(branches[[#This Row],[Дата]]),"Январь","Февраль","Март","Апрель","Май","Июнь","Июль","Август","Сентябрь","Октябрь","Ноябрь","Декабрь")&amp;" "&amp;YEAR(branches[[#This Row],[Дата]])</f>
        <v>Ноябрь 2025</v>
      </c>
      <c r="E1574" t="s">
        <v>25</v>
      </c>
      <c r="F1574" t="s">
        <v>12</v>
      </c>
      <c r="G1574">
        <v>1</v>
      </c>
      <c r="H1574">
        <v>234</v>
      </c>
      <c r="I1574" t="s">
        <v>32</v>
      </c>
      <c r="J1574" t="str">
        <f>_xlfn.XLOOKUP(branches[[#This Row],[Филиал]], tbl_Filialy[Филиал], tbl_Filialy[Менеджер])</f>
        <v>Павел Ткаченко</v>
      </c>
    </row>
    <row r="1575" spans="1:10" x14ac:dyDescent="0.3">
      <c r="A1575" t="str">
        <f>_xlfn.XLOOKUP(branches[[#This Row],[Филиал]], tbl_Filialy[Филиал], tbl_Filialy[Город])</f>
        <v>Краснодар</v>
      </c>
      <c r="B1575" s="1" t="s">
        <v>31</v>
      </c>
      <c r="C1575" s="2">
        <v>45658</v>
      </c>
      <c r="D1575" s="2" t="str">
        <f>CHOOSE(MONTH(branches[[#This Row],[Дата]]),"Январь","Февраль","Март","Апрель","Май","Июнь","Июль","Август","Сентябрь","Октябрь","Ноябрь","Декабрь")&amp;" "&amp;YEAR(branches[[#This Row],[Дата]])</f>
        <v>Январь 2025</v>
      </c>
      <c r="E1575" t="s">
        <v>28</v>
      </c>
      <c r="F1575" t="s">
        <v>12</v>
      </c>
      <c r="G1575">
        <v>2</v>
      </c>
      <c r="H1575">
        <v>412</v>
      </c>
      <c r="I1575" t="s">
        <v>19</v>
      </c>
      <c r="J1575" t="str">
        <f>_xlfn.XLOOKUP(branches[[#This Row],[Филиал]], tbl_Filialy[Филиал], tbl_Filialy[Менеджер])</f>
        <v>Павел Ткаченко</v>
      </c>
    </row>
    <row r="1576" spans="1:10" x14ac:dyDescent="0.3">
      <c r="A1576" t="str">
        <f>_xlfn.XLOOKUP(branches[[#This Row],[Филиал]], tbl_Filialy[Филиал], tbl_Filialy[Город])</f>
        <v>Краснодар</v>
      </c>
      <c r="B1576" s="1" t="s">
        <v>31</v>
      </c>
      <c r="C1576" s="2">
        <v>45822</v>
      </c>
      <c r="D1576" s="2" t="str">
        <f>CHOOSE(MONTH(branches[[#This Row],[Дата]]),"Январь","Февраль","Март","Апрель","Май","Июнь","Июль","Август","Сентябрь","Октябрь","Ноябрь","Декабрь")&amp;" "&amp;YEAR(branches[[#This Row],[Дата]])</f>
        <v>Июнь 2025</v>
      </c>
      <c r="E1576" t="s">
        <v>24</v>
      </c>
      <c r="F1576" t="s">
        <v>17</v>
      </c>
      <c r="G1576">
        <v>2</v>
      </c>
      <c r="H1576">
        <v>780</v>
      </c>
      <c r="I1576" t="s">
        <v>19</v>
      </c>
      <c r="J1576" t="str">
        <f>_xlfn.XLOOKUP(branches[[#This Row],[Филиал]], tbl_Filialy[Филиал], tbl_Filialy[Менеджер])</f>
        <v>Павел Ткаченко</v>
      </c>
    </row>
    <row r="1577" spans="1:10" x14ac:dyDescent="0.3">
      <c r="A1577" t="str">
        <f>_xlfn.XLOOKUP(branches[[#This Row],[Филиал]], tbl_Filialy[Филиал], tbl_Filialy[Город])</f>
        <v>Краснодар</v>
      </c>
      <c r="B1577" s="1" t="s">
        <v>31</v>
      </c>
      <c r="C1577" s="2">
        <v>45795</v>
      </c>
      <c r="D1577" s="2" t="str">
        <f>CHOOSE(MONTH(branches[[#This Row],[Дата]]),"Январь","Февраль","Март","Апрель","Май","Июнь","Июль","Август","Сентябрь","Октябрь","Ноябрь","Декабрь")&amp;" "&amp;YEAR(branches[[#This Row],[Дата]])</f>
        <v>Май 2025</v>
      </c>
      <c r="E1577" t="s">
        <v>22</v>
      </c>
      <c r="F1577" t="s">
        <v>9</v>
      </c>
      <c r="G1577">
        <v>1</v>
      </c>
      <c r="H1577">
        <v>196</v>
      </c>
      <c r="I1577" t="s">
        <v>34</v>
      </c>
      <c r="J1577" t="str">
        <f>_xlfn.XLOOKUP(branches[[#This Row],[Филиал]], tbl_Filialy[Филиал], tbl_Filialy[Менеджер])</f>
        <v>Павел Ткаченко</v>
      </c>
    </row>
    <row r="1578" spans="1:10" x14ac:dyDescent="0.3">
      <c r="A1578" t="str">
        <f>_xlfn.XLOOKUP(branches[[#This Row],[Филиал]], tbl_Filialy[Филиал], tbl_Filialy[Город])</f>
        <v>Краснодар</v>
      </c>
      <c r="B1578" s="1" t="s">
        <v>31</v>
      </c>
      <c r="C1578" s="2">
        <v>45804</v>
      </c>
      <c r="D1578" s="2" t="str">
        <f>CHOOSE(MONTH(branches[[#This Row],[Дата]]),"Январь","Февраль","Март","Апрель","Май","Июнь","Июль","Август","Сентябрь","Октябрь","Ноябрь","Декабрь")&amp;" "&amp;YEAR(branches[[#This Row],[Дата]])</f>
        <v>Май 2025</v>
      </c>
      <c r="E1578" t="s">
        <v>11</v>
      </c>
      <c r="F1578" t="s">
        <v>12</v>
      </c>
      <c r="G1578">
        <v>1</v>
      </c>
      <c r="H1578">
        <v>177</v>
      </c>
      <c r="I1578" t="s">
        <v>29</v>
      </c>
      <c r="J1578" t="str">
        <f>_xlfn.XLOOKUP(branches[[#This Row],[Филиал]], tbl_Filialy[Филиал], tbl_Filialy[Менеджер])</f>
        <v>Павел Ткаченко</v>
      </c>
    </row>
    <row r="1579" spans="1:10" x14ac:dyDescent="0.3">
      <c r="A1579" t="str">
        <f>_xlfn.XLOOKUP(branches[[#This Row],[Филиал]], tbl_Filialy[Филиал], tbl_Filialy[Город])</f>
        <v>Краснодар</v>
      </c>
      <c r="B1579" s="1" t="s">
        <v>31</v>
      </c>
      <c r="C1579" s="2">
        <v>45673</v>
      </c>
      <c r="D1579" s="2" t="str">
        <f>CHOOSE(MONTH(branches[[#This Row],[Дата]]),"Январь","Февраль","Март","Апрель","Май","Июнь","Июль","Август","Сентябрь","Октябрь","Ноябрь","Декабрь")&amp;" "&amp;YEAR(branches[[#This Row],[Дата]])</f>
        <v>Январь 2025</v>
      </c>
      <c r="E1579" t="s">
        <v>11</v>
      </c>
      <c r="F1579" t="s">
        <v>12</v>
      </c>
      <c r="G1579">
        <v>1</v>
      </c>
      <c r="H1579">
        <v>158</v>
      </c>
      <c r="I1579" t="s">
        <v>35</v>
      </c>
      <c r="J1579" t="str">
        <f>_xlfn.XLOOKUP(branches[[#This Row],[Филиал]], tbl_Filialy[Филиал], tbl_Filialy[Менеджер])</f>
        <v>Павел Ткаченко</v>
      </c>
    </row>
    <row r="1580" spans="1:10" x14ac:dyDescent="0.3">
      <c r="A1580" t="str">
        <f>_xlfn.XLOOKUP(branches[[#This Row],[Филиал]], tbl_Filialy[Филиал], tbl_Filialy[Город])</f>
        <v>Краснодар</v>
      </c>
      <c r="B1580" s="1" t="s">
        <v>31</v>
      </c>
      <c r="C1580" s="2">
        <v>45957</v>
      </c>
      <c r="D1580" s="2" t="str">
        <f>CHOOSE(MONTH(branches[[#This Row],[Дата]]),"Январь","Февраль","Март","Апрель","Май","Июнь","Июль","Август","Сентябрь","Октябрь","Ноябрь","Декабрь")&amp;" "&amp;YEAR(branches[[#This Row],[Дата]])</f>
        <v>Октябрь 2025</v>
      </c>
      <c r="E1580" t="s">
        <v>11</v>
      </c>
      <c r="F1580" t="s">
        <v>12</v>
      </c>
      <c r="G1580">
        <v>1</v>
      </c>
      <c r="H1580">
        <v>179</v>
      </c>
      <c r="I1580" t="s">
        <v>13</v>
      </c>
      <c r="J1580" t="str">
        <f>_xlfn.XLOOKUP(branches[[#This Row],[Филиал]], tbl_Filialy[Филиал], tbl_Filialy[Менеджер])</f>
        <v>Павел Ткаченко</v>
      </c>
    </row>
    <row r="1581" spans="1:10" x14ac:dyDescent="0.3">
      <c r="A1581" t="str">
        <f>_xlfn.XLOOKUP(branches[[#This Row],[Филиал]], tbl_Filialy[Филиал], tbl_Filialy[Город])</f>
        <v>Краснодар</v>
      </c>
      <c r="B1581" s="1" t="s">
        <v>31</v>
      </c>
      <c r="C1581" s="2">
        <v>45726</v>
      </c>
      <c r="D1581" s="2" t="str">
        <f>CHOOSE(MONTH(branches[[#This Row],[Дата]]),"Январь","Февраль","Март","Апрель","Май","Июнь","Июль","Август","Сентябрь","Октябрь","Ноябрь","Декабрь")&amp;" "&amp;YEAR(branches[[#This Row],[Дата]])</f>
        <v>Март 2025</v>
      </c>
      <c r="E1581" t="s">
        <v>26</v>
      </c>
      <c r="F1581" t="s">
        <v>9</v>
      </c>
      <c r="G1581">
        <v>2</v>
      </c>
      <c r="H1581">
        <v>370</v>
      </c>
      <c r="I1581" t="s">
        <v>13</v>
      </c>
      <c r="J1581" t="str">
        <f>_xlfn.XLOOKUP(branches[[#This Row],[Филиал]], tbl_Filialy[Филиал], tbl_Filialy[Менеджер])</f>
        <v>Павел Ткаченко</v>
      </c>
    </row>
    <row r="1582" spans="1:10" x14ac:dyDescent="0.3">
      <c r="A1582" t="str">
        <f>_xlfn.XLOOKUP(branches[[#This Row],[Филиал]], tbl_Filialy[Филиал], tbl_Filialy[Город])</f>
        <v>Краснодар</v>
      </c>
      <c r="B1582" s="1" t="s">
        <v>31</v>
      </c>
      <c r="C1582" s="2">
        <v>45919</v>
      </c>
      <c r="D1582" s="2" t="str">
        <f>CHOOSE(MONTH(branches[[#This Row],[Дата]]),"Январь","Февраль","Март","Апрель","Май","Июнь","Июль","Август","Сентябрь","Октябрь","Ноябрь","Декабрь")&amp;" "&amp;YEAR(branches[[#This Row],[Дата]])</f>
        <v>Сентябрь 2025</v>
      </c>
      <c r="E1582" t="s">
        <v>26</v>
      </c>
      <c r="F1582" t="s">
        <v>9</v>
      </c>
      <c r="G1582">
        <v>1</v>
      </c>
      <c r="H1582">
        <v>226</v>
      </c>
      <c r="I1582" t="s">
        <v>19</v>
      </c>
      <c r="J1582" t="str">
        <f>_xlfn.XLOOKUP(branches[[#This Row],[Филиал]], tbl_Filialy[Филиал], tbl_Filialy[Менеджер])</f>
        <v>Павел Ткаченко</v>
      </c>
    </row>
    <row r="1583" spans="1:10" x14ac:dyDescent="0.3">
      <c r="A1583" t="str">
        <f>_xlfn.XLOOKUP(branches[[#This Row],[Филиал]], tbl_Filialy[Филиал], tbl_Filialy[Город])</f>
        <v>Краснодар</v>
      </c>
      <c r="B1583" s="1" t="s">
        <v>31</v>
      </c>
      <c r="C1583" s="2">
        <v>45799</v>
      </c>
      <c r="D1583" s="2" t="str">
        <f>CHOOSE(MONTH(branches[[#This Row],[Дата]]),"Январь","Февраль","Март","Апрель","Май","Июнь","Июль","Август","Сентябрь","Октябрь","Ноябрь","Декабрь")&amp;" "&amp;YEAR(branches[[#This Row],[Дата]])</f>
        <v>Май 2025</v>
      </c>
      <c r="E1583" t="s">
        <v>11</v>
      </c>
      <c r="F1583" t="s">
        <v>12</v>
      </c>
      <c r="G1583">
        <v>2</v>
      </c>
      <c r="H1583">
        <v>332</v>
      </c>
      <c r="I1583" t="s">
        <v>35</v>
      </c>
      <c r="J1583" t="str">
        <f>_xlfn.XLOOKUP(branches[[#This Row],[Филиал]], tbl_Filialy[Филиал], tbl_Filialy[Менеджер])</f>
        <v>Павел Ткаченко</v>
      </c>
    </row>
    <row r="1584" spans="1:10" x14ac:dyDescent="0.3">
      <c r="A1584" t="str">
        <f>_xlfn.XLOOKUP(branches[[#This Row],[Филиал]], tbl_Filialy[Филиал], tbl_Filialy[Город])</f>
        <v>Краснодар</v>
      </c>
      <c r="B1584" s="1" t="s">
        <v>31</v>
      </c>
      <c r="C1584" s="2">
        <v>45721</v>
      </c>
      <c r="D1584" s="2" t="str">
        <f>CHOOSE(MONTH(branches[[#This Row],[Дата]]),"Январь","Февраль","Март","Апрель","Май","Июнь","Июль","Август","Сентябрь","Октябрь","Ноябрь","Декабрь")&amp;" "&amp;YEAR(branches[[#This Row],[Дата]])</f>
        <v>Март 2025</v>
      </c>
      <c r="E1584" t="s">
        <v>25</v>
      </c>
      <c r="F1584" t="s">
        <v>12</v>
      </c>
      <c r="G1584">
        <v>2</v>
      </c>
      <c r="H1584">
        <v>420</v>
      </c>
      <c r="I1584" t="s">
        <v>19</v>
      </c>
      <c r="J1584" t="str">
        <f>_xlfn.XLOOKUP(branches[[#This Row],[Филиал]], tbl_Filialy[Филиал], tbl_Filialy[Менеджер])</f>
        <v>Павел Ткаченко</v>
      </c>
    </row>
    <row r="1585" spans="1:10" x14ac:dyDescent="0.3">
      <c r="A1585" t="str">
        <f>_xlfn.XLOOKUP(branches[[#This Row],[Филиал]], tbl_Filialy[Филиал], tbl_Filialy[Город])</f>
        <v>Краснодар</v>
      </c>
      <c r="B1585" s="1" t="s">
        <v>31</v>
      </c>
      <c r="C1585" s="2">
        <v>45677</v>
      </c>
      <c r="D1585" s="2" t="str">
        <f>CHOOSE(MONTH(branches[[#This Row],[Дата]]),"Январь","Февраль","Март","Апрель","Май","Июнь","Июль","Август","Сентябрь","Октябрь","Ноябрь","Декабрь")&amp;" "&amp;YEAR(branches[[#This Row],[Дата]])</f>
        <v>Январь 2025</v>
      </c>
      <c r="E1585" t="s">
        <v>25</v>
      </c>
      <c r="F1585" t="s">
        <v>12</v>
      </c>
      <c r="G1585">
        <v>1</v>
      </c>
      <c r="H1585">
        <v>215</v>
      </c>
      <c r="I1585" t="s">
        <v>19</v>
      </c>
      <c r="J1585" t="str">
        <f>_xlfn.XLOOKUP(branches[[#This Row],[Филиал]], tbl_Filialy[Филиал], tbl_Filialy[Менеджер])</f>
        <v>Павел Ткаченко</v>
      </c>
    </row>
    <row r="1586" spans="1:10" x14ac:dyDescent="0.3">
      <c r="A1586" t="str">
        <f>_xlfn.XLOOKUP(branches[[#This Row],[Филиал]], tbl_Filialy[Филиал], tbl_Filialy[Город])</f>
        <v>Краснодар</v>
      </c>
      <c r="B1586" s="1" t="s">
        <v>31</v>
      </c>
      <c r="C1586" s="2">
        <v>45739</v>
      </c>
      <c r="D1586" s="2" t="str">
        <f>CHOOSE(MONTH(branches[[#This Row],[Дата]]),"Январь","Февраль","Март","Апрель","Май","Июнь","Июль","Август","Сентябрь","Октябрь","Ноябрь","Декабрь")&amp;" "&amp;YEAR(branches[[#This Row],[Дата]])</f>
        <v>Март 2025</v>
      </c>
      <c r="E1586" t="s">
        <v>22</v>
      </c>
      <c r="F1586" t="s">
        <v>9</v>
      </c>
      <c r="G1586">
        <v>1</v>
      </c>
      <c r="H1586">
        <v>165</v>
      </c>
      <c r="I1586" t="s">
        <v>33</v>
      </c>
      <c r="J1586" t="str">
        <f>_xlfn.XLOOKUP(branches[[#This Row],[Филиал]], tbl_Filialy[Филиал], tbl_Filialy[Менеджер])</f>
        <v>Павел Ткаченко</v>
      </c>
    </row>
    <row r="1587" spans="1:10" x14ac:dyDescent="0.3">
      <c r="A1587" t="str">
        <f>_xlfn.XLOOKUP(branches[[#This Row],[Филиал]], tbl_Filialy[Филиал], tbl_Filialy[Город])</f>
        <v>Краснодар</v>
      </c>
      <c r="B1587" s="1" t="s">
        <v>31</v>
      </c>
      <c r="C1587" s="2">
        <v>45718</v>
      </c>
      <c r="D1587" s="2" t="str">
        <f>CHOOSE(MONTH(branches[[#This Row],[Дата]]),"Январь","Февраль","Март","Апрель","Май","Июнь","Июль","Август","Сентябрь","Октябрь","Ноябрь","Декабрь")&amp;" "&amp;YEAR(branches[[#This Row],[Дата]])</f>
        <v>Март 2025</v>
      </c>
      <c r="E1587" t="s">
        <v>24</v>
      </c>
      <c r="F1587" t="s">
        <v>17</v>
      </c>
      <c r="G1587">
        <v>1</v>
      </c>
      <c r="H1587">
        <v>417</v>
      </c>
      <c r="I1587" t="s">
        <v>32</v>
      </c>
      <c r="J1587" t="str">
        <f>_xlfn.XLOOKUP(branches[[#This Row],[Филиал]], tbl_Filialy[Филиал], tbl_Filialy[Менеджер])</f>
        <v>Павел Ткаченко</v>
      </c>
    </row>
    <row r="1588" spans="1:10" x14ac:dyDescent="0.3">
      <c r="A1588" t="str">
        <f>_xlfn.XLOOKUP(branches[[#This Row],[Филиал]], tbl_Filialy[Филиал], tbl_Filialy[Город])</f>
        <v>Краснодар</v>
      </c>
      <c r="B1588" s="1" t="s">
        <v>31</v>
      </c>
      <c r="C1588" s="2">
        <v>45787</v>
      </c>
      <c r="D1588" s="2" t="str">
        <f>CHOOSE(MONTH(branches[[#This Row],[Дата]]),"Январь","Февраль","Март","Апрель","Май","Июнь","Июль","Август","Сентябрь","Октябрь","Ноябрь","Декабрь")&amp;" "&amp;YEAR(branches[[#This Row],[Дата]])</f>
        <v>Май 2025</v>
      </c>
      <c r="E1588" t="s">
        <v>11</v>
      </c>
      <c r="F1588" t="s">
        <v>12</v>
      </c>
      <c r="G1588">
        <v>3</v>
      </c>
      <c r="H1588">
        <v>453</v>
      </c>
      <c r="I1588" t="s">
        <v>32</v>
      </c>
      <c r="J1588" t="str">
        <f>_xlfn.XLOOKUP(branches[[#This Row],[Филиал]], tbl_Filialy[Филиал], tbl_Filialy[Менеджер])</f>
        <v>Павел Ткаченко</v>
      </c>
    </row>
    <row r="1589" spans="1:10" x14ac:dyDescent="0.3">
      <c r="A1589" t="str">
        <f>_xlfn.XLOOKUP(branches[[#This Row],[Филиал]], tbl_Filialy[Филиал], tbl_Filialy[Город])</f>
        <v>Краснодар</v>
      </c>
      <c r="B1589" s="1" t="s">
        <v>31</v>
      </c>
      <c r="C1589" s="2">
        <v>45955</v>
      </c>
      <c r="D1589" s="2" t="str">
        <f>CHOOSE(MONTH(branches[[#This Row],[Дата]]),"Январь","Февраль","Март","Апрель","Май","Июнь","Июль","Август","Сентябрь","Октябрь","Ноябрь","Декабрь")&amp;" "&amp;YEAR(branches[[#This Row],[Дата]])</f>
        <v>Октябрь 2025</v>
      </c>
      <c r="E1589" t="s">
        <v>20</v>
      </c>
      <c r="F1589" t="s">
        <v>12</v>
      </c>
      <c r="G1589">
        <v>1</v>
      </c>
      <c r="H1589">
        <v>249</v>
      </c>
      <c r="I1589" t="s">
        <v>19</v>
      </c>
      <c r="J1589" t="str">
        <f>_xlfn.XLOOKUP(branches[[#This Row],[Филиал]], tbl_Filialy[Филиал], tbl_Filialy[Менеджер])</f>
        <v>Павел Ткаченко</v>
      </c>
    </row>
    <row r="1590" spans="1:10" x14ac:dyDescent="0.3">
      <c r="A1590" t="str">
        <f>_xlfn.XLOOKUP(branches[[#This Row],[Филиал]], tbl_Filialy[Филиал], tbl_Filialy[Город])</f>
        <v>Краснодар</v>
      </c>
      <c r="B1590" s="1" t="s">
        <v>31</v>
      </c>
      <c r="C1590" s="2">
        <v>46011</v>
      </c>
      <c r="D1590" s="2" t="str">
        <f>CHOOSE(MONTH(branches[[#This Row],[Дата]]),"Январь","Февраль","Март","Апрель","Май","Июнь","Июль","Август","Сентябрь","Октябрь","Ноябрь","Декабрь")&amp;" "&amp;YEAR(branches[[#This Row],[Дата]])</f>
        <v>Декабрь 2025</v>
      </c>
      <c r="E1590" t="s">
        <v>22</v>
      </c>
      <c r="F1590" t="s">
        <v>9</v>
      </c>
      <c r="G1590">
        <v>3</v>
      </c>
      <c r="H1590">
        <v>483</v>
      </c>
      <c r="I1590" t="s">
        <v>19</v>
      </c>
      <c r="J1590" t="str">
        <f>_xlfn.XLOOKUP(branches[[#This Row],[Филиал]], tbl_Filialy[Филиал], tbl_Filialy[Менеджер])</f>
        <v>Павел Ткаченко</v>
      </c>
    </row>
    <row r="1591" spans="1:10" x14ac:dyDescent="0.3">
      <c r="A1591" t="str">
        <f>_xlfn.XLOOKUP(branches[[#This Row],[Филиал]], tbl_Filialy[Филиал], tbl_Filialy[Город])</f>
        <v>Краснодар</v>
      </c>
      <c r="B1591" s="1" t="s">
        <v>31</v>
      </c>
      <c r="C1591" s="2">
        <v>45680</v>
      </c>
      <c r="D1591" s="2" t="str">
        <f>CHOOSE(MONTH(branches[[#This Row],[Дата]]),"Январь","Февраль","Март","Апрель","Май","Июнь","Июль","Август","Сентябрь","Октябрь","Ноябрь","Декабрь")&amp;" "&amp;YEAR(branches[[#This Row],[Дата]])</f>
        <v>Январь 2025</v>
      </c>
      <c r="E1591" t="s">
        <v>22</v>
      </c>
      <c r="F1591" t="s">
        <v>9</v>
      </c>
      <c r="G1591">
        <v>1</v>
      </c>
      <c r="H1591">
        <v>172</v>
      </c>
      <c r="I1591" t="s">
        <v>34</v>
      </c>
      <c r="J1591" t="str">
        <f>_xlfn.XLOOKUP(branches[[#This Row],[Филиал]], tbl_Filialy[Филиал], tbl_Filialy[Менеджер])</f>
        <v>Павел Ткаченко</v>
      </c>
    </row>
    <row r="1592" spans="1:10" x14ac:dyDescent="0.3">
      <c r="A1592" t="str">
        <f>_xlfn.XLOOKUP(branches[[#This Row],[Филиал]], tbl_Filialy[Филиал], tbl_Filialy[Город])</f>
        <v>Краснодар</v>
      </c>
      <c r="B1592" s="1" t="s">
        <v>31</v>
      </c>
      <c r="C1592" s="2">
        <v>45834</v>
      </c>
      <c r="D1592" s="2" t="str">
        <f>CHOOSE(MONTH(branches[[#This Row],[Дата]]),"Январь","Февраль","Март","Апрель","Май","Июнь","Июль","Август","Сентябрь","Октябрь","Ноябрь","Декабрь")&amp;" "&amp;YEAR(branches[[#This Row],[Дата]])</f>
        <v>Июнь 2025</v>
      </c>
      <c r="E1592" t="s">
        <v>26</v>
      </c>
      <c r="F1592" t="s">
        <v>9</v>
      </c>
      <c r="G1592">
        <v>1</v>
      </c>
      <c r="H1592">
        <v>197</v>
      </c>
      <c r="I1592" t="s">
        <v>13</v>
      </c>
      <c r="J1592" t="str">
        <f>_xlfn.XLOOKUP(branches[[#This Row],[Филиал]], tbl_Filialy[Филиал], tbl_Filialy[Менеджер])</f>
        <v>Павел Ткаченко</v>
      </c>
    </row>
    <row r="1593" spans="1:10" x14ac:dyDescent="0.3">
      <c r="A1593" t="str">
        <f>_xlfn.XLOOKUP(branches[[#This Row],[Филиал]], tbl_Filialy[Филиал], tbl_Filialy[Город])</f>
        <v>Краснодар</v>
      </c>
      <c r="B1593" s="1" t="s">
        <v>31</v>
      </c>
      <c r="C1593" s="2">
        <v>45730</v>
      </c>
      <c r="D1593" s="2" t="str">
        <f>CHOOSE(MONTH(branches[[#This Row],[Дата]]),"Январь","Февраль","Март","Апрель","Май","Июнь","Июль","Август","Сентябрь","Октябрь","Ноябрь","Декабрь")&amp;" "&amp;YEAR(branches[[#This Row],[Дата]])</f>
        <v>Март 2025</v>
      </c>
      <c r="E1593" t="s">
        <v>14</v>
      </c>
      <c r="F1593" t="s">
        <v>12</v>
      </c>
      <c r="G1593">
        <v>1</v>
      </c>
      <c r="H1593">
        <v>268</v>
      </c>
      <c r="I1593" t="s">
        <v>35</v>
      </c>
      <c r="J1593" t="str">
        <f>_xlfn.XLOOKUP(branches[[#This Row],[Филиал]], tbl_Filialy[Филиал], tbl_Filialy[Менеджер])</f>
        <v>Павел Ткаченко</v>
      </c>
    </row>
    <row r="1594" spans="1:10" x14ac:dyDescent="0.3">
      <c r="A1594" t="str">
        <f>_xlfn.XLOOKUP(branches[[#This Row],[Филиал]], tbl_Filialy[Филиал], tbl_Filialy[Город])</f>
        <v>Краснодар</v>
      </c>
      <c r="B1594" s="1" t="s">
        <v>31</v>
      </c>
      <c r="C1594" s="2">
        <v>45803</v>
      </c>
      <c r="D1594" s="2" t="str">
        <f>CHOOSE(MONTH(branches[[#This Row],[Дата]]),"Январь","Февраль","Март","Апрель","Май","Июнь","Июль","Август","Сентябрь","Октябрь","Ноябрь","Декабрь")&amp;" "&amp;YEAR(branches[[#This Row],[Дата]])</f>
        <v>Май 2025</v>
      </c>
      <c r="E1594" t="s">
        <v>8</v>
      </c>
      <c r="F1594" t="s">
        <v>9</v>
      </c>
      <c r="G1594">
        <v>1</v>
      </c>
      <c r="H1594">
        <v>235</v>
      </c>
      <c r="I1594" t="s">
        <v>19</v>
      </c>
      <c r="J1594" t="str">
        <f>_xlfn.XLOOKUP(branches[[#This Row],[Филиал]], tbl_Filialy[Филиал], tbl_Filialy[Менеджер])</f>
        <v>Павел Ткаченко</v>
      </c>
    </row>
    <row r="1595" spans="1:10" x14ac:dyDescent="0.3">
      <c r="A1595" t="str">
        <f>_xlfn.XLOOKUP(branches[[#This Row],[Филиал]], tbl_Filialy[Филиал], tbl_Filialy[Город])</f>
        <v>Краснодар</v>
      </c>
      <c r="B1595" s="1" t="s">
        <v>31</v>
      </c>
      <c r="C1595" s="2">
        <v>45992</v>
      </c>
      <c r="D1595" s="2" t="str">
        <f>CHOOSE(MONTH(branches[[#This Row],[Дата]]),"Январь","Февраль","Март","Апрель","Май","Июнь","Июль","Август","Сентябрь","Октябрь","Ноябрь","Декабрь")&amp;" "&amp;YEAR(branches[[#This Row],[Дата]])</f>
        <v>Декабрь 2025</v>
      </c>
      <c r="E1595" t="s">
        <v>25</v>
      </c>
      <c r="F1595" t="s">
        <v>12</v>
      </c>
      <c r="G1595">
        <v>2</v>
      </c>
      <c r="H1595">
        <v>478</v>
      </c>
      <c r="I1595" t="s">
        <v>34</v>
      </c>
      <c r="J1595" t="str">
        <f>_xlfn.XLOOKUP(branches[[#This Row],[Филиал]], tbl_Filialy[Филиал], tbl_Filialy[Менеджер])</f>
        <v>Павел Ткаченко</v>
      </c>
    </row>
    <row r="1596" spans="1:10" x14ac:dyDescent="0.3">
      <c r="A1596" t="str">
        <f>_xlfn.XLOOKUP(branches[[#This Row],[Филиал]], tbl_Filialy[Филиал], tbl_Filialy[Город])</f>
        <v>Краснодар</v>
      </c>
      <c r="B1596" s="1" t="s">
        <v>31</v>
      </c>
      <c r="C1596" s="2">
        <v>45708</v>
      </c>
      <c r="D1596" s="2" t="str">
        <f>CHOOSE(MONTH(branches[[#This Row],[Дата]]),"Январь","Февраль","Март","Апрель","Май","Июнь","Июль","Август","Сентябрь","Октябрь","Ноябрь","Декабрь")&amp;" "&amp;YEAR(branches[[#This Row],[Дата]])</f>
        <v>Февраль 2025</v>
      </c>
      <c r="E1596" t="s">
        <v>14</v>
      </c>
      <c r="F1596" t="s">
        <v>12</v>
      </c>
      <c r="G1596">
        <v>1</v>
      </c>
      <c r="H1596">
        <v>235</v>
      </c>
      <c r="I1596" t="s">
        <v>32</v>
      </c>
      <c r="J1596" t="str">
        <f>_xlfn.XLOOKUP(branches[[#This Row],[Филиал]], tbl_Filialy[Филиал], tbl_Filialy[Менеджер])</f>
        <v>Павел Ткаченко</v>
      </c>
    </row>
    <row r="1597" spans="1:10" x14ac:dyDescent="0.3">
      <c r="A1597" t="str">
        <f>_xlfn.XLOOKUP(branches[[#This Row],[Филиал]], tbl_Filialy[Филиал], tbl_Filialy[Город])</f>
        <v>Краснодар</v>
      </c>
      <c r="B1597" s="1" t="s">
        <v>31</v>
      </c>
      <c r="C1597" s="2">
        <v>45668</v>
      </c>
      <c r="D1597" s="2" t="str">
        <f>CHOOSE(MONTH(branches[[#This Row],[Дата]]),"Январь","Февраль","Март","Апрель","Май","Июнь","Июль","Август","Сентябрь","Октябрь","Ноябрь","Декабрь")&amp;" "&amp;YEAR(branches[[#This Row],[Дата]])</f>
        <v>Январь 2025</v>
      </c>
      <c r="E1597" t="s">
        <v>28</v>
      </c>
      <c r="F1597" t="s">
        <v>12</v>
      </c>
      <c r="G1597">
        <v>1</v>
      </c>
      <c r="H1597">
        <v>255</v>
      </c>
      <c r="I1597" t="s">
        <v>34</v>
      </c>
      <c r="J1597" t="str">
        <f>_xlfn.XLOOKUP(branches[[#This Row],[Филиал]], tbl_Filialy[Филиал], tbl_Filialy[Менеджер])</f>
        <v>Павел Ткаченко</v>
      </c>
    </row>
    <row r="1598" spans="1:10" x14ac:dyDescent="0.3">
      <c r="A1598" t="str">
        <f>_xlfn.XLOOKUP(branches[[#This Row],[Филиал]], tbl_Filialy[Филиал], tbl_Filialy[Город])</f>
        <v>Краснодар</v>
      </c>
      <c r="B1598" s="1" t="s">
        <v>31</v>
      </c>
      <c r="C1598" s="2">
        <v>45769</v>
      </c>
      <c r="D1598" s="2" t="str">
        <f>CHOOSE(MONTH(branches[[#This Row],[Дата]]),"Январь","Февраль","Март","Апрель","Май","Июнь","Июль","Август","Сентябрь","Октябрь","Ноябрь","Декабрь")&amp;" "&amp;YEAR(branches[[#This Row],[Дата]])</f>
        <v>Апрель 2025</v>
      </c>
      <c r="E1598" t="s">
        <v>11</v>
      </c>
      <c r="F1598" t="s">
        <v>12</v>
      </c>
      <c r="G1598">
        <v>1</v>
      </c>
      <c r="H1598">
        <v>192</v>
      </c>
      <c r="I1598" t="s">
        <v>33</v>
      </c>
      <c r="J1598" t="str">
        <f>_xlfn.XLOOKUP(branches[[#This Row],[Филиал]], tbl_Filialy[Филиал], tbl_Filialy[Менеджер])</f>
        <v>Павел Ткаченко</v>
      </c>
    </row>
    <row r="1599" spans="1:10" x14ac:dyDescent="0.3">
      <c r="A1599" t="str">
        <f>_xlfn.XLOOKUP(branches[[#This Row],[Филиал]], tbl_Filialy[Филиал], tbl_Filialy[Город])</f>
        <v>Краснодар</v>
      </c>
      <c r="B1599" s="1" t="s">
        <v>31</v>
      </c>
      <c r="C1599" s="2">
        <v>45854</v>
      </c>
      <c r="D1599" s="2" t="str">
        <f>CHOOSE(MONTH(branches[[#This Row],[Дата]]),"Январь","Февраль","Март","Апрель","Май","Июнь","Июль","Август","Сентябрь","Октябрь","Ноябрь","Декабрь")&amp;" "&amp;YEAR(branches[[#This Row],[Дата]])</f>
        <v>Июль 2025</v>
      </c>
      <c r="E1599" t="s">
        <v>26</v>
      </c>
      <c r="F1599" t="s">
        <v>9</v>
      </c>
      <c r="G1599">
        <v>3</v>
      </c>
      <c r="H1599">
        <v>564</v>
      </c>
      <c r="I1599" t="s">
        <v>34</v>
      </c>
      <c r="J1599" t="str">
        <f>_xlfn.XLOOKUP(branches[[#This Row],[Филиал]], tbl_Filialy[Филиал], tbl_Filialy[Менеджер])</f>
        <v>Павел Ткаченко</v>
      </c>
    </row>
    <row r="1600" spans="1:10" x14ac:dyDescent="0.3">
      <c r="A1600" t="str">
        <f>_xlfn.XLOOKUP(branches[[#This Row],[Филиал]], tbl_Filialy[Филиал], tbl_Filialy[Город])</f>
        <v>Краснодар</v>
      </c>
      <c r="B1600" s="1" t="s">
        <v>31</v>
      </c>
      <c r="C1600" s="2">
        <v>45968</v>
      </c>
      <c r="D1600" s="2" t="str">
        <f>CHOOSE(MONTH(branches[[#This Row],[Дата]]),"Январь","Февраль","Март","Апрель","Май","Июнь","Июль","Август","Сентябрь","Октябрь","Ноябрь","Декабрь")&amp;" "&amp;YEAR(branches[[#This Row],[Дата]])</f>
        <v>Ноябрь 2025</v>
      </c>
      <c r="E1600" t="s">
        <v>25</v>
      </c>
      <c r="F1600" t="s">
        <v>12</v>
      </c>
      <c r="G1600">
        <v>3</v>
      </c>
      <c r="H1600">
        <v>729</v>
      </c>
      <c r="I1600" t="s">
        <v>34</v>
      </c>
      <c r="J1600" t="str">
        <f>_xlfn.XLOOKUP(branches[[#This Row],[Филиал]], tbl_Filialy[Филиал], tbl_Filialy[Менеджер])</f>
        <v>Павел Ткаченко</v>
      </c>
    </row>
    <row r="1601" spans="1:10" x14ac:dyDescent="0.3">
      <c r="A1601" t="str">
        <f>_xlfn.XLOOKUP(branches[[#This Row],[Филиал]], tbl_Filialy[Филиал], tbl_Filialy[Город])</f>
        <v>Краснодар</v>
      </c>
      <c r="B1601" s="1" t="s">
        <v>31</v>
      </c>
      <c r="C1601" s="2">
        <v>45767</v>
      </c>
      <c r="D1601" s="2" t="str">
        <f>CHOOSE(MONTH(branches[[#This Row],[Дата]]),"Январь","Февраль","Март","Апрель","Май","Июнь","Июль","Август","Сентябрь","Октябрь","Ноябрь","Декабрь")&amp;" "&amp;YEAR(branches[[#This Row],[Дата]])</f>
        <v>Апрель 2025</v>
      </c>
      <c r="E1601" t="s">
        <v>28</v>
      </c>
      <c r="F1601" t="s">
        <v>12</v>
      </c>
      <c r="G1601">
        <v>2</v>
      </c>
      <c r="H1601">
        <v>494</v>
      </c>
      <c r="I1601" t="s">
        <v>32</v>
      </c>
      <c r="J1601" t="str">
        <f>_xlfn.XLOOKUP(branches[[#This Row],[Филиал]], tbl_Filialy[Филиал], tbl_Filialy[Менеджер])</f>
        <v>Павел Ткаченко</v>
      </c>
    </row>
    <row r="1602" spans="1:10" x14ac:dyDescent="0.3">
      <c r="A1602" t="str">
        <f>_xlfn.XLOOKUP(branches[[#This Row],[Филиал]], tbl_Filialy[Филиал], tbl_Filialy[Город])</f>
        <v>Краснодар</v>
      </c>
      <c r="B1602" s="1" t="s">
        <v>31</v>
      </c>
      <c r="C1602" s="2">
        <v>45665</v>
      </c>
      <c r="D1602" s="2" t="str">
        <f>CHOOSE(MONTH(branches[[#This Row],[Дата]]),"Январь","Февраль","Март","Апрель","Май","Июнь","Июль","Август","Сентябрь","Октябрь","Ноябрь","Декабрь")&amp;" "&amp;YEAR(branches[[#This Row],[Дата]])</f>
        <v>Январь 2025</v>
      </c>
      <c r="E1602" t="s">
        <v>22</v>
      </c>
      <c r="F1602" t="s">
        <v>9</v>
      </c>
      <c r="G1602">
        <v>1</v>
      </c>
      <c r="H1602">
        <v>200</v>
      </c>
      <c r="I1602" t="s">
        <v>34</v>
      </c>
      <c r="J1602" t="str">
        <f>_xlfn.XLOOKUP(branches[[#This Row],[Филиал]], tbl_Filialy[Филиал], tbl_Filialy[Менеджер])</f>
        <v>Павел Ткаченко</v>
      </c>
    </row>
    <row r="1603" spans="1:10" x14ac:dyDescent="0.3">
      <c r="A1603" t="str">
        <f>_xlfn.XLOOKUP(branches[[#This Row],[Филиал]], tbl_Filialy[Филиал], tbl_Filialy[Город])</f>
        <v>Краснодар</v>
      </c>
      <c r="B1603" s="1" t="s">
        <v>31</v>
      </c>
      <c r="C1603" s="2">
        <v>45827</v>
      </c>
      <c r="D1603" s="2" t="str">
        <f>CHOOSE(MONTH(branches[[#This Row],[Дата]]),"Январь","Февраль","Март","Апрель","Май","Июнь","Июль","Август","Сентябрь","Октябрь","Ноябрь","Декабрь")&amp;" "&amp;YEAR(branches[[#This Row],[Дата]])</f>
        <v>Июнь 2025</v>
      </c>
      <c r="E1603" t="s">
        <v>27</v>
      </c>
      <c r="F1603" t="s">
        <v>12</v>
      </c>
      <c r="G1603">
        <v>1</v>
      </c>
      <c r="H1603">
        <v>183</v>
      </c>
      <c r="I1603" t="s">
        <v>19</v>
      </c>
      <c r="J1603" t="str">
        <f>_xlfn.XLOOKUP(branches[[#This Row],[Филиал]], tbl_Filialy[Филиал], tbl_Filialy[Менеджер])</f>
        <v>Павел Ткаченко</v>
      </c>
    </row>
    <row r="1604" spans="1:10" x14ac:dyDescent="0.3">
      <c r="A1604" t="str">
        <f>_xlfn.XLOOKUP(branches[[#This Row],[Филиал]], tbl_Filialy[Филиал], tbl_Filialy[Город])</f>
        <v>Краснодар</v>
      </c>
      <c r="B1604" s="1" t="s">
        <v>31</v>
      </c>
      <c r="C1604" s="2">
        <v>45885</v>
      </c>
      <c r="D1604" s="2" t="str">
        <f>CHOOSE(MONTH(branches[[#This Row],[Дата]]),"Январь","Февраль","Март","Апрель","Май","Июнь","Июль","Август","Сентябрь","Октябрь","Ноябрь","Декабрь")&amp;" "&amp;YEAR(branches[[#This Row],[Дата]])</f>
        <v>Август 2025</v>
      </c>
      <c r="E1604" t="s">
        <v>18</v>
      </c>
      <c r="F1604" t="s">
        <v>12</v>
      </c>
      <c r="G1604">
        <v>2</v>
      </c>
      <c r="H1604">
        <v>320</v>
      </c>
      <c r="I1604" t="s">
        <v>34</v>
      </c>
      <c r="J1604" t="str">
        <f>_xlfn.XLOOKUP(branches[[#This Row],[Филиал]], tbl_Filialy[Филиал], tbl_Filialy[Менеджер])</f>
        <v>Павел Ткаченко</v>
      </c>
    </row>
    <row r="1605" spans="1:10" x14ac:dyDescent="0.3">
      <c r="A1605" t="str">
        <f>_xlfn.XLOOKUP(branches[[#This Row],[Филиал]], tbl_Filialy[Филиал], tbl_Filialy[Город])</f>
        <v>Краснодар</v>
      </c>
      <c r="B1605" s="1" t="s">
        <v>31</v>
      </c>
      <c r="C1605" s="2">
        <v>45856</v>
      </c>
      <c r="D1605" s="2" t="str">
        <f>CHOOSE(MONTH(branches[[#This Row],[Дата]]),"Январь","Февраль","Март","Апрель","Май","Июнь","Июль","Август","Сентябрь","Октябрь","Ноябрь","Декабрь")&amp;" "&amp;YEAR(branches[[#This Row],[Дата]])</f>
        <v>Июль 2025</v>
      </c>
      <c r="E1605" t="s">
        <v>28</v>
      </c>
      <c r="F1605" t="s">
        <v>12</v>
      </c>
      <c r="G1605">
        <v>1</v>
      </c>
      <c r="H1605">
        <v>219</v>
      </c>
      <c r="I1605" t="s">
        <v>35</v>
      </c>
      <c r="J1605" t="str">
        <f>_xlfn.XLOOKUP(branches[[#This Row],[Филиал]], tbl_Filialy[Филиал], tbl_Filialy[Менеджер])</f>
        <v>Павел Ткаченко</v>
      </c>
    </row>
    <row r="1606" spans="1:10" x14ac:dyDescent="0.3">
      <c r="A1606" t="str">
        <f>_xlfn.XLOOKUP(branches[[#This Row],[Филиал]], tbl_Filialy[Филиал], tbl_Filialy[Город])</f>
        <v>Краснодар</v>
      </c>
      <c r="B1606" s="1" t="s">
        <v>31</v>
      </c>
      <c r="C1606" s="2">
        <v>45715</v>
      </c>
      <c r="D1606" s="2" t="str">
        <f>CHOOSE(MONTH(branches[[#This Row],[Дата]]),"Январь","Февраль","Март","Апрель","Май","Июнь","Июль","Август","Сентябрь","Октябрь","Ноябрь","Декабрь")&amp;" "&amp;YEAR(branches[[#This Row],[Дата]])</f>
        <v>Февраль 2025</v>
      </c>
      <c r="E1606" t="s">
        <v>20</v>
      </c>
      <c r="F1606" t="s">
        <v>12</v>
      </c>
      <c r="G1606">
        <v>1</v>
      </c>
      <c r="H1606">
        <v>263</v>
      </c>
      <c r="I1606" t="s">
        <v>35</v>
      </c>
      <c r="J1606" t="str">
        <f>_xlfn.XLOOKUP(branches[[#This Row],[Филиал]], tbl_Filialy[Филиал], tbl_Filialy[Менеджер])</f>
        <v>Павел Ткаченко</v>
      </c>
    </row>
    <row r="1607" spans="1:10" x14ac:dyDescent="0.3">
      <c r="A1607" t="str">
        <f>_xlfn.XLOOKUP(branches[[#This Row],[Филиал]], tbl_Filialy[Филиал], tbl_Filialy[Город])</f>
        <v>Краснодар</v>
      </c>
      <c r="B1607" s="1" t="s">
        <v>31</v>
      </c>
      <c r="C1607" s="2">
        <v>45968</v>
      </c>
      <c r="D1607" s="2" t="str">
        <f>CHOOSE(MONTH(branches[[#This Row],[Дата]]),"Январь","Февраль","Март","Апрель","Май","Июнь","Июль","Август","Сентябрь","Октябрь","Ноябрь","Декабрь")&amp;" "&amp;YEAR(branches[[#This Row],[Дата]])</f>
        <v>Ноябрь 2025</v>
      </c>
      <c r="E1607" t="s">
        <v>14</v>
      </c>
      <c r="F1607" t="s">
        <v>12</v>
      </c>
      <c r="G1607">
        <v>1</v>
      </c>
      <c r="H1607">
        <v>243</v>
      </c>
      <c r="I1607" t="s">
        <v>13</v>
      </c>
      <c r="J1607" t="str">
        <f>_xlfn.XLOOKUP(branches[[#This Row],[Филиал]], tbl_Filialy[Филиал], tbl_Filialy[Менеджер])</f>
        <v>Павел Ткаченко</v>
      </c>
    </row>
    <row r="1608" spans="1:10" x14ac:dyDescent="0.3">
      <c r="A1608" t="str">
        <f>_xlfn.XLOOKUP(branches[[#This Row],[Филиал]], tbl_Filialy[Филиал], tbl_Filialy[Город])</f>
        <v>Краснодар</v>
      </c>
      <c r="B1608" s="1" t="s">
        <v>31</v>
      </c>
      <c r="C1608" s="2">
        <v>45789</v>
      </c>
      <c r="D1608" s="2" t="str">
        <f>CHOOSE(MONTH(branches[[#This Row],[Дата]]),"Январь","Февраль","Март","Апрель","Май","Июнь","Июль","Август","Сентябрь","Октябрь","Ноябрь","Декабрь")&amp;" "&amp;YEAR(branches[[#This Row],[Дата]])</f>
        <v>Май 2025</v>
      </c>
      <c r="E1608" t="s">
        <v>27</v>
      </c>
      <c r="F1608" t="s">
        <v>12</v>
      </c>
      <c r="G1608">
        <v>2</v>
      </c>
      <c r="H1608">
        <v>368</v>
      </c>
      <c r="I1608" t="s">
        <v>32</v>
      </c>
      <c r="J1608" t="str">
        <f>_xlfn.XLOOKUP(branches[[#This Row],[Филиал]], tbl_Filialy[Филиал], tbl_Filialy[Менеджер])</f>
        <v>Павел Ткаченко</v>
      </c>
    </row>
    <row r="1609" spans="1:10" x14ac:dyDescent="0.3">
      <c r="A1609" t="str">
        <f>_xlfn.XLOOKUP(branches[[#This Row],[Филиал]], tbl_Filialy[Филиал], tbl_Filialy[Город])</f>
        <v>Краснодар</v>
      </c>
      <c r="B1609" s="1" t="s">
        <v>31</v>
      </c>
      <c r="C1609" s="2">
        <v>45756</v>
      </c>
      <c r="D1609" s="2" t="str">
        <f>CHOOSE(MONTH(branches[[#This Row],[Дата]]),"Январь","Февраль","Март","Апрель","Май","Июнь","Июль","Август","Сентябрь","Октябрь","Ноябрь","Декабрь")&amp;" "&amp;YEAR(branches[[#This Row],[Дата]])</f>
        <v>Апрель 2025</v>
      </c>
      <c r="E1609" t="s">
        <v>14</v>
      </c>
      <c r="F1609" t="s">
        <v>12</v>
      </c>
      <c r="G1609">
        <v>1</v>
      </c>
      <c r="H1609">
        <v>263</v>
      </c>
      <c r="I1609" t="s">
        <v>33</v>
      </c>
      <c r="J1609" t="str">
        <f>_xlfn.XLOOKUP(branches[[#This Row],[Филиал]], tbl_Filialy[Филиал], tbl_Filialy[Менеджер])</f>
        <v>Павел Ткаченко</v>
      </c>
    </row>
    <row r="1610" spans="1:10" x14ac:dyDescent="0.3">
      <c r="A1610" t="str">
        <f>_xlfn.XLOOKUP(branches[[#This Row],[Филиал]], tbl_Filialy[Филиал], tbl_Filialy[Город])</f>
        <v>Краснодар</v>
      </c>
      <c r="B1610" s="1" t="s">
        <v>31</v>
      </c>
      <c r="C1610" s="2">
        <v>45735</v>
      </c>
      <c r="D1610" s="2" t="str">
        <f>CHOOSE(MONTH(branches[[#This Row],[Дата]]),"Январь","Февраль","Март","Апрель","Май","Июнь","Июль","Август","Сентябрь","Октябрь","Ноябрь","Декабрь")&amp;" "&amp;YEAR(branches[[#This Row],[Дата]])</f>
        <v>Март 2025</v>
      </c>
      <c r="E1610" t="s">
        <v>22</v>
      </c>
      <c r="F1610" t="s">
        <v>9</v>
      </c>
      <c r="G1610">
        <v>1</v>
      </c>
      <c r="H1610">
        <v>171</v>
      </c>
      <c r="I1610" t="s">
        <v>33</v>
      </c>
      <c r="J1610" t="str">
        <f>_xlfn.XLOOKUP(branches[[#This Row],[Филиал]], tbl_Filialy[Филиал], tbl_Filialy[Менеджер])</f>
        <v>Павел Ткаченко</v>
      </c>
    </row>
    <row r="1611" spans="1:10" x14ac:dyDescent="0.3">
      <c r="A1611" t="str">
        <f>_xlfn.XLOOKUP(branches[[#This Row],[Филиал]], tbl_Filialy[Филиал], tbl_Filialy[Город])</f>
        <v>Краснодар</v>
      </c>
      <c r="B1611" s="1" t="s">
        <v>31</v>
      </c>
      <c r="C1611" s="2">
        <v>45915</v>
      </c>
      <c r="D1611" s="2" t="str">
        <f>CHOOSE(MONTH(branches[[#This Row],[Дата]]),"Январь","Февраль","Март","Апрель","Май","Июнь","Июль","Август","Сентябрь","Октябрь","Ноябрь","Декабрь")&amp;" "&amp;YEAR(branches[[#This Row],[Дата]])</f>
        <v>Сентябрь 2025</v>
      </c>
      <c r="E1611" t="s">
        <v>14</v>
      </c>
      <c r="F1611" t="s">
        <v>12</v>
      </c>
      <c r="G1611">
        <v>3</v>
      </c>
      <c r="H1611">
        <v>801</v>
      </c>
      <c r="I1611" t="s">
        <v>13</v>
      </c>
      <c r="J1611" t="str">
        <f>_xlfn.XLOOKUP(branches[[#This Row],[Филиал]], tbl_Filialy[Филиал], tbl_Filialy[Менеджер])</f>
        <v>Павел Ткаченко</v>
      </c>
    </row>
    <row r="1612" spans="1:10" x14ac:dyDescent="0.3">
      <c r="A1612" t="str">
        <f>_xlfn.XLOOKUP(branches[[#This Row],[Филиал]], tbl_Filialy[Филиал], tbl_Filialy[Город])</f>
        <v>Краснодар</v>
      </c>
      <c r="B1612" s="1" t="s">
        <v>31</v>
      </c>
      <c r="C1612" s="2">
        <v>46019</v>
      </c>
      <c r="D1612" s="2" t="str">
        <f>CHOOSE(MONTH(branches[[#This Row],[Дата]]),"Январь","Февраль","Март","Апрель","Май","Июнь","Июль","Август","Сентябрь","Октябрь","Ноябрь","Декабрь")&amp;" "&amp;YEAR(branches[[#This Row],[Дата]])</f>
        <v>Декабрь 2025</v>
      </c>
      <c r="E1612" t="s">
        <v>26</v>
      </c>
      <c r="F1612" t="s">
        <v>9</v>
      </c>
      <c r="G1612">
        <v>2</v>
      </c>
      <c r="H1612">
        <v>470</v>
      </c>
      <c r="I1612" t="s">
        <v>13</v>
      </c>
      <c r="J1612" t="str">
        <f>_xlfn.XLOOKUP(branches[[#This Row],[Филиал]], tbl_Filialy[Филиал], tbl_Filialy[Менеджер])</f>
        <v>Павел Ткаченко</v>
      </c>
    </row>
    <row r="1613" spans="1:10" x14ac:dyDescent="0.3">
      <c r="A1613" t="str">
        <f>_xlfn.XLOOKUP(branches[[#This Row],[Филиал]], tbl_Filialy[Филиал], tbl_Filialy[Город])</f>
        <v>Краснодар</v>
      </c>
      <c r="B1613" s="1" t="s">
        <v>31</v>
      </c>
      <c r="C1613" s="2">
        <v>45712</v>
      </c>
      <c r="D1613" s="2" t="str">
        <f>CHOOSE(MONTH(branches[[#This Row],[Дата]]),"Январь","Февраль","Март","Апрель","Май","Июнь","Июль","Август","Сентябрь","Октябрь","Ноябрь","Декабрь")&amp;" "&amp;YEAR(branches[[#This Row],[Дата]])</f>
        <v>Февраль 2025</v>
      </c>
      <c r="E1613" t="s">
        <v>14</v>
      </c>
      <c r="F1613" t="s">
        <v>12</v>
      </c>
      <c r="G1613">
        <v>3</v>
      </c>
      <c r="H1613">
        <v>744</v>
      </c>
      <c r="I1613" t="s">
        <v>33</v>
      </c>
      <c r="J1613" t="str">
        <f>_xlfn.XLOOKUP(branches[[#This Row],[Филиал]], tbl_Filialy[Филиал], tbl_Filialy[Менеджер])</f>
        <v>Павел Ткаченко</v>
      </c>
    </row>
    <row r="1614" spans="1:10" x14ac:dyDescent="0.3">
      <c r="A1614" t="str">
        <f>_xlfn.XLOOKUP(branches[[#This Row],[Филиал]], tbl_Filialy[Филиал], tbl_Filialy[Город])</f>
        <v>Краснодар</v>
      </c>
      <c r="B1614" s="1" t="s">
        <v>31</v>
      </c>
      <c r="C1614" s="2">
        <v>45744</v>
      </c>
      <c r="D1614" s="2" t="str">
        <f>CHOOSE(MONTH(branches[[#This Row],[Дата]]),"Январь","Февраль","Март","Апрель","Май","Июнь","Июль","Август","Сентябрь","Октябрь","Ноябрь","Декабрь")&amp;" "&amp;YEAR(branches[[#This Row],[Дата]])</f>
        <v>Март 2025</v>
      </c>
      <c r="E1614" t="s">
        <v>27</v>
      </c>
      <c r="F1614" t="s">
        <v>12</v>
      </c>
      <c r="G1614">
        <v>1</v>
      </c>
      <c r="H1614">
        <v>364</v>
      </c>
      <c r="I1614" t="s">
        <v>32</v>
      </c>
      <c r="J1614" t="str">
        <f>_xlfn.XLOOKUP(branches[[#This Row],[Филиал]], tbl_Filialy[Филиал], tbl_Filialy[Менеджер])</f>
        <v>Павел Ткаченко</v>
      </c>
    </row>
    <row r="1615" spans="1:10" x14ac:dyDescent="0.3">
      <c r="A1615" t="str">
        <f>_xlfn.XLOOKUP(branches[[#This Row],[Филиал]], tbl_Filialy[Филиал], tbl_Filialy[Город])</f>
        <v>Краснодар</v>
      </c>
      <c r="B1615" s="1" t="s">
        <v>31</v>
      </c>
      <c r="C1615" s="2">
        <v>45874</v>
      </c>
      <c r="D1615" s="2" t="str">
        <f>CHOOSE(MONTH(branches[[#This Row],[Дата]]),"Январь","Февраль","Март","Апрель","Май","Июнь","Июль","Август","Сентябрь","Октябрь","Ноябрь","Декабрь")&amp;" "&amp;YEAR(branches[[#This Row],[Дата]])</f>
        <v>Август 2025</v>
      </c>
      <c r="E1615" t="s">
        <v>24</v>
      </c>
      <c r="F1615" t="s">
        <v>17</v>
      </c>
      <c r="G1615">
        <v>1</v>
      </c>
      <c r="H1615">
        <v>383</v>
      </c>
      <c r="I1615" t="s">
        <v>32</v>
      </c>
      <c r="J1615" t="str">
        <f>_xlfn.XLOOKUP(branches[[#This Row],[Филиал]], tbl_Filialy[Филиал], tbl_Filialy[Менеджер])</f>
        <v>Павел Ткаченко</v>
      </c>
    </row>
    <row r="1616" spans="1:10" x14ac:dyDescent="0.3">
      <c r="A1616" t="str">
        <f>_xlfn.XLOOKUP(branches[[#This Row],[Филиал]], tbl_Filialy[Филиал], tbl_Filialy[Город])</f>
        <v>Краснодар</v>
      </c>
      <c r="B1616" s="1" t="s">
        <v>31</v>
      </c>
      <c r="C1616" s="2">
        <v>45993</v>
      </c>
      <c r="D1616" s="2" t="str">
        <f>CHOOSE(MONTH(branches[[#This Row],[Дата]]),"Январь","Февраль","Март","Апрель","Май","Июнь","Июль","Август","Сентябрь","Октябрь","Ноябрь","Декабрь")&amp;" "&amp;YEAR(branches[[#This Row],[Дата]])</f>
        <v>Декабрь 2025</v>
      </c>
      <c r="E1616" t="s">
        <v>8</v>
      </c>
      <c r="F1616" t="s">
        <v>9</v>
      </c>
      <c r="G1616">
        <v>1</v>
      </c>
      <c r="H1616">
        <v>260</v>
      </c>
      <c r="I1616" t="s">
        <v>19</v>
      </c>
      <c r="J1616" t="str">
        <f>_xlfn.XLOOKUP(branches[[#This Row],[Филиал]], tbl_Filialy[Филиал], tbl_Filialy[Менеджер])</f>
        <v>Павел Ткаченко</v>
      </c>
    </row>
    <row r="1617" spans="1:10" x14ac:dyDescent="0.3">
      <c r="A1617" t="str">
        <f>_xlfn.XLOOKUP(branches[[#This Row],[Филиал]], tbl_Filialy[Филиал], tbl_Filialy[Город])</f>
        <v>Краснодар</v>
      </c>
      <c r="B1617" s="1" t="s">
        <v>31</v>
      </c>
      <c r="C1617" s="2">
        <v>45825</v>
      </c>
      <c r="D1617" s="2" t="str">
        <f>CHOOSE(MONTH(branches[[#This Row],[Дата]]),"Январь","Февраль","Март","Апрель","Май","Июнь","Июль","Август","Сентябрь","Октябрь","Ноябрь","Декабрь")&amp;" "&amp;YEAR(branches[[#This Row],[Дата]])</f>
        <v>Июнь 2025</v>
      </c>
      <c r="E1617" t="s">
        <v>22</v>
      </c>
      <c r="F1617" t="s">
        <v>9</v>
      </c>
      <c r="G1617">
        <v>1</v>
      </c>
      <c r="H1617">
        <v>181</v>
      </c>
      <c r="I1617" t="s">
        <v>32</v>
      </c>
      <c r="J1617" t="str">
        <f>_xlfn.XLOOKUP(branches[[#This Row],[Филиал]], tbl_Filialy[Филиал], tbl_Filialy[Менеджер])</f>
        <v>Павел Ткаченко</v>
      </c>
    </row>
    <row r="1618" spans="1:10" x14ac:dyDescent="0.3">
      <c r="A1618" t="str">
        <f>_xlfn.XLOOKUP(branches[[#This Row],[Филиал]], tbl_Filialy[Филиал], tbl_Filialy[Город])</f>
        <v>Краснодар</v>
      </c>
      <c r="B1618" s="1" t="s">
        <v>31</v>
      </c>
      <c r="C1618" s="2">
        <v>45934</v>
      </c>
      <c r="D1618" s="2" t="str">
        <f>CHOOSE(MONTH(branches[[#This Row],[Дата]]),"Январь","Февраль","Март","Апрель","Май","Июнь","Июль","Август","Сентябрь","Октябрь","Ноябрь","Декабрь")&amp;" "&amp;YEAR(branches[[#This Row],[Дата]])</f>
        <v>Октябрь 2025</v>
      </c>
      <c r="E1618" t="s">
        <v>25</v>
      </c>
      <c r="F1618" t="s">
        <v>12</v>
      </c>
      <c r="G1618">
        <v>2</v>
      </c>
      <c r="H1618">
        <v>462</v>
      </c>
      <c r="I1618" t="s">
        <v>13</v>
      </c>
      <c r="J1618" t="str">
        <f>_xlfn.XLOOKUP(branches[[#This Row],[Филиал]], tbl_Filialy[Филиал], tbl_Filialy[Менеджер])</f>
        <v>Павел Ткаченко</v>
      </c>
    </row>
    <row r="1619" spans="1:10" x14ac:dyDescent="0.3">
      <c r="A1619" t="str">
        <f>_xlfn.XLOOKUP(branches[[#This Row],[Филиал]], tbl_Filialy[Филиал], tbl_Filialy[Город])</f>
        <v>Краснодар</v>
      </c>
      <c r="B1619" s="1" t="s">
        <v>31</v>
      </c>
      <c r="C1619" s="2">
        <v>45778</v>
      </c>
      <c r="D1619" s="2" t="str">
        <f>CHOOSE(MONTH(branches[[#This Row],[Дата]]),"Январь","Февраль","Март","Апрель","Май","Июнь","Июль","Август","Сентябрь","Октябрь","Ноябрь","Декабрь")&amp;" "&amp;YEAR(branches[[#This Row],[Дата]])</f>
        <v>Май 2025</v>
      </c>
      <c r="E1619" t="s">
        <v>14</v>
      </c>
      <c r="F1619" t="s">
        <v>12</v>
      </c>
      <c r="G1619">
        <v>2</v>
      </c>
      <c r="H1619">
        <v>480</v>
      </c>
      <c r="I1619" t="s">
        <v>19</v>
      </c>
      <c r="J1619" t="str">
        <f>_xlfn.XLOOKUP(branches[[#This Row],[Филиал]], tbl_Filialy[Филиал], tbl_Filialy[Менеджер])</f>
        <v>Павел Ткаченко</v>
      </c>
    </row>
    <row r="1620" spans="1:10" x14ac:dyDescent="0.3">
      <c r="A1620" t="str">
        <f>_xlfn.XLOOKUP(branches[[#This Row],[Филиал]], tbl_Filialy[Филиал], tbl_Filialy[Город])</f>
        <v>Краснодар</v>
      </c>
      <c r="B1620" s="1" t="s">
        <v>31</v>
      </c>
      <c r="C1620" s="2">
        <v>45722</v>
      </c>
      <c r="D1620" s="2" t="str">
        <f>CHOOSE(MONTH(branches[[#This Row],[Дата]]),"Январь","Февраль","Март","Апрель","Май","Июнь","Июль","Август","Сентябрь","Октябрь","Ноябрь","Декабрь")&amp;" "&amp;YEAR(branches[[#This Row],[Дата]])</f>
        <v>Март 2025</v>
      </c>
      <c r="E1620" t="s">
        <v>24</v>
      </c>
      <c r="F1620" t="s">
        <v>17</v>
      </c>
      <c r="G1620">
        <v>1</v>
      </c>
      <c r="H1620">
        <v>347</v>
      </c>
      <c r="I1620" t="s">
        <v>13</v>
      </c>
      <c r="J1620" t="str">
        <f>_xlfn.XLOOKUP(branches[[#This Row],[Филиал]], tbl_Filialy[Филиал], tbl_Filialy[Менеджер])</f>
        <v>Павел Ткаченко</v>
      </c>
    </row>
    <row r="1621" spans="1:10" x14ac:dyDescent="0.3">
      <c r="A1621" t="str">
        <f>_xlfn.XLOOKUP(branches[[#This Row],[Филиал]], tbl_Filialy[Филиал], tbl_Filialy[Город])</f>
        <v>Краснодар</v>
      </c>
      <c r="B1621" s="1" t="s">
        <v>31</v>
      </c>
      <c r="C1621" s="2">
        <v>45927</v>
      </c>
      <c r="D1621" s="2" t="str">
        <f>CHOOSE(MONTH(branches[[#This Row],[Дата]]),"Январь","Февраль","Март","Апрель","Май","Июнь","Июль","Август","Сентябрь","Октябрь","Ноябрь","Декабрь")&amp;" "&amp;YEAR(branches[[#This Row],[Дата]])</f>
        <v>Сентябрь 2025</v>
      </c>
      <c r="E1621" t="s">
        <v>16</v>
      </c>
      <c r="F1621" t="s">
        <v>17</v>
      </c>
      <c r="G1621">
        <v>3</v>
      </c>
      <c r="H1621">
        <v>840</v>
      </c>
      <c r="I1621" t="s">
        <v>33</v>
      </c>
      <c r="J1621" t="str">
        <f>_xlfn.XLOOKUP(branches[[#This Row],[Филиал]], tbl_Filialy[Филиал], tbl_Filialy[Менеджер])</f>
        <v>Павел Ткаченко</v>
      </c>
    </row>
    <row r="1622" spans="1:10" x14ac:dyDescent="0.3">
      <c r="A1622" t="str">
        <f>_xlfn.XLOOKUP(branches[[#This Row],[Филиал]], tbl_Filialy[Филиал], tbl_Filialy[Город])</f>
        <v>Краснодар</v>
      </c>
      <c r="B1622" s="1" t="s">
        <v>31</v>
      </c>
      <c r="C1622" s="2">
        <v>45661</v>
      </c>
      <c r="D1622" s="2" t="str">
        <f>CHOOSE(MONTH(branches[[#This Row],[Дата]]),"Январь","Февраль","Март","Апрель","Май","Июнь","Июль","Август","Сентябрь","Октябрь","Ноябрь","Декабрь")&amp;" "&amp;YEAR(branches[[#This Row],[Дата]])</f>
        <v>Январь 2025</v>
      </c>
      <c r="E1622" t="s">
        <v>26</v>
      </c>
      <c r="F1622" t="s">
        <v>9</v>
      </c>
      <c r="G1622">
        <v>2</v>
      </c>
      <c r="H1622">
        <v>448</v>
      </c>
      <c r="I1622" t="s">
        <v>34</v>
      </c>
      <c r="J1622" t="str">
        <f>_xlfn.XLOOKUP(branches[[#This Row],[Филиал]], tbl_Filialy[Филиал], tbl_Filialy[Менеджер])</f>
        <v>Павел Ткаченко</v>
      </c>
    </row>
    <row r="1623" spans="1:10" x14ac:dyDescent="0.3">
      <c r="A1623" t="str">
        <f>_xlfn.XLOOKUP(branches[[#This Row],[Филиал]], tbl_Filialy[Филиал], tbl_Filialy[Город])</f>
        <v>Краснодар</v>
      </c>
      <c r="B1623" s="1" t="s">
        <v>31</v>
      </c>
      <c r="C1623" s="2">
        <v>45757</v>
      </c>
      <c r="D1623" s="2" t="str">
        <f>CHOOSE(MONTH(branches[[#This Row],[Дата]]),"Январь","Февраль","Март","Апрель","Май","Июнь","Июль","Август","Сентябрь","Октябрь","Ноябрь","Декабрь")&amp;" "&amp;YEAR(branches[[#This Row],[Дата]])</f>
        <v>Апрель 2025</v>
      </c>
      <c r="E1623" t="s">
        <v>20</v>
      </c>
      <c r="F1623" t="s">
        <v>12</v>
      </c>
      <c r="G1623">
        <v>2</v>
      </c>
      <c r="H1623">
        <v>560</v>
      </c>
      <c r="I1623" t="s">
        <v>33</v>
      </c>
      <c r="J1623" t="str">
        <f>_xlfn.XLOOKUP(branches[[#This Row],[Филиал]], tbl_Filialy[Филиал], tbl_Filialy[Менеджер])</f>
        <v>Павел Ткаченко</v>
      </c>
    </row>
    <row r="1624" spans="1:10" x14ac:dyDescent="0.3">
      <c r="A1624" t="str">
        <f>_xlfn.XLOOKUP(branches[[#This Row],[Филиал]], tbl_Filialy[Филиал], tbl_Filialy[Город])</f>
        <v>Краснодар</v>
      </c>
      <c r="B1624" s="1" t="s">
        <v>31</v>
      </c>
      <c r="C1624" s="2">
        <v>45709</v>
      </c>
      <c r="D1624" s="2" t="str">
        <f>CHOOSE(MONTH(branches[[#This Row],[Дата]]),"Январь","Февраль","Март","Апрель","Май","Июнь","Июль","Август","Сентябрь","Октябрь","Ноябрь","Декабрь")&amp;" "&amp;YEAR(branches[[#This Row],[Дата]])</f>
        <v>Февраль 2025</v>
      </c>
      <c r="E1624" t="s">
        <v>26</v>
      </c>
      <c r="F1624" t="s">
        <v>9</v>
      </c>
      <c r="G1624">
        <v>1</v>
      </c>
      <c r="H1624">
        <v>219</v>
      </c>
      <c r="I1624" t="s">
        <v>35</v>
      </c>
      <c r="J1624" t="str">
        <f>_xlfn.XLOOKUP(branches[[#This Row],[Филиал]], tbl_Filialy[Филиал], tbl_Filialy[Менеджер])</f>
        <v>Павел Ткаченко</v>
      </c>
    </row>
    <row r="1625" spans="1:10" x14ac:dyDescent="0.3">
      <c r="A1625" t="str">
        <f>_xlfn.XLOOKUP(branches[[#This Row],[Филиал]], tbl_Filialy[Филиал], tbl_Filialy[Город])</f>
        <v>Краснодар</v>
      </c>
      <c r="B1625" s="1" t="s">
        <v>31</v>
      </c>
      <c r="C1625" s="2">
        <v>45706</v>
      </c>
      <c r="D1625" s="2" t="str">
        <f>CHOOSE(MONTH(branches[[#This Row],[Дата]]),"Январь","Февраль","Март","Апрель","Май","Июнь","Июль","Август","Сентябрь","Октябрь","Ноябрь","Декабрь")&amp;" "&amp;YEAR(branches[[#This Row],[Дата]])</f>
        <v>Февраль 2025</v>
      </c>
      <c r="E1625" t="s">
        <v>27</v>
      </c>
      <c r="F1625" t="s">
        <v>12</v>
      </c>
      <c r="G1625">
        <v>1</v>
      </c>
      <c r="H1625">
        <v>199</v>
      </c>
      <c r="I1625" t="s">
        <v>35</v>
      </c>
      <c r="J1625" t="str">
        <f>_xlfn.XLOOKUP(branches[[#This Row],[Филиал]], tbl_Filialy[Филиал], tbl_Filialy[Менеджер])</f>
        <v>Павел Ткаченко</v>
      </c>
    </row>
    <row r="1626" spans="1:10" x14ac:dyDescent="0.3">
      <c r="A1626" t="str">
        <f>_xlfn.XLOOKUP(branches[[#This Row],[Филиал]], tbl_Filialy[Филиал], tbl_Filialy[Город])</f>
        <v>Краснодар</v>
      </c>
      <c r="B1626" s="1" t="s">
        <v>31</v>
      </c>
      <c r="C1626" s="2">
        <v>45767</v>
      </c>
      <c r="D1626" s="2" t="str">
        <f>CHOOSE(MONTH(branches[[#This Row],[Дата]]),"Январь","Февраль","Март","Апрель","Май","Июнь","Июль","Август","Сентябрь","Октябрь","Ноябрь","Декабрь")&amp;" "&amp;YEAR(branches[[#This Row],[Дата]])</f>
        <v>Апрель 2025</v>
      </c>
      <c r="E1626" t="s">
        <v>18</v>
      </c>
      <c r="F1626" t="s">
        <v>12</v>
      </c>
      <c r="G1626">
        <v>1</v>
      </c>
      <c r="H1626">
        <v>159</v>
      </c>
      <c r="I1626" t="s">
        <v>34</v>
      </c>
      <c r="J1626" t="str">
        <f>_xlfn.XLOOKUP(branches[[#This Row],[Филиал]], tbl_Filialy[Филиал], tbl_Filialy[Менеджер])</f>
        <v>Павел Ткаченко</v>
      </c>
    </row>
    <row r="1627" spans="1:10" x14ac:dyDescent="0.3">
      <c r="A1627" t="str">
        <f>_xlfn.XLOOKUP(branches[[#This Row],[Филиал]], tbl_Filialy[Филиал], tbl_Filialy[Город])</f>
        <v>Краснодар</v>
      </c>
      <c r="B1627" s="1" t="s">
        <v>31</v>
      </c>
      <c r="C1627" s="2">
        <v>45802</v>
      </c>
      <c r="D1627" s="2" t="str">
        <f>CHOOSE(MONTH(branches[[#This Row],[Дата]]),"Январь","Февраль","Март","Апрель","Май","Июнь","Июль","Август","Сентябрь","Октябрь","Ноябрь","Декабрь")&amp;" "&amp;YEAR(branches[[#This Row],[Дата]])</f>
        <v>Май 2025</v>
      </c>
      <c r="E1627" t="s">
        <v>8</v>
      </c>
      <c r="F1627" t="s">
        <v>9</v>
      </c>
      <c r="G1627">
        <v>2</v>
      </c>
      <c r="H1627">
        <v>526</v>
      </c>
      <c r="I1627" t="s">
        <v>33</v>
      </c>
      <c r="J1627" t="str">
        <f>_xlfn.XLOOKUP(branches[[#This Row],[Филиал]], tbl_Filialy[Филиал], tbl_Filialy[Менеджер])</f>
        <v>Павел Ткаченко</v>
      </c>
    </row>
    <row r="1628" spans="1:10" x14ac:dyDescent="0.3">
      <c r="A1628" t="str">
        <f>_xlfn.XLOOKUP(branches[[#This Row],[Филиал]], tbl_Filialy[Филиал], tbl_Filialy[Город])</f>
        <v>Краснодар</v>
      </c>
      <c r="B1628" s="1" t="s">
        <v>31</v>
      </c>
      <c r="C1628" s="2">
        <v>45682</v>
      </c>
      <c r="D1628" s="2" t="str">
        <f>CHOOSE(MONTH(branches[[#This Row],[Дата]]),"Январь","Февраль","Март","Апрель","Май","Июнь","Июль","Август","Сентябрь","Октябрь","Ноябрь","Декабрь")&amp;" "&amp;YEAR(branches[[#This Row],[Дата]])</f>
        <v>Январь 2025</v>
      </c>
      <c r="E1628" t="s">
        <v>28</v>
      </c>
      <c r="F1628" t="s">
        <v>12</v>
      </c>
      <c r="G1628">
        <v>2</v>
      </c>
      <c r="H1628">
        <v>448</v>
      </c>
      <c r="I1628" t="s">
        <v>13</v>
      </c>
      <c r="J1628" t="str">
        <f>_xlfn.XLOOKUP(branches[[#This Row],[Филиал]], tbl_Filialy[Филиал], tbl_Filialy[Менеджер])</f>
        <v>Павел Ткаченко</v>
      </c>
    </row>
    <row r="1629" spans="1:10" x14ac:dyDescent="0.3">
      <c r="A1629" t="str">
        <f>_xlfn.XLOOKUP(branches[[#This Row],[Филиал]], tbl_Filialy[Филиал], tbl_Filialy[Город])</f>
        <v>Краснодар</v>
      </c>
      <c r="B1629" s="1" t="s">
        <v>31</v>
      </c>
      <c r="C1629" s="2">
        <v>45981</v>
      </c>
      <c r="D1629" s="2" t="str">
        <f>CHOOSE(MONTH(branches[[#This Row],[Дата]]),"Январь","Февраль","Март","Апрель","Май","Июнь","Июль","Август","Сентябрь","Октябрь","Ноябрь","Декабрь")&amp;" "&amp;YEAR(branches[[#This Row],[Дата]])</f>
        <v>Ноябрь 2025</v>
      </c>
      <c r="E1629" t="s">
        <v>27</v>
      </c>
      <c r="F1629" t="s">
        <v>12</v>
      </c>
      <c r="G1629">
        <v>1</v>
      </c>
      <c r="H1629">
        <v>199</v>
      </c>
      <c r="I1629" t="s">
        <v>19</v>
      </c>
      <c r="J1629" t="str">
        <f>_xlfn.XLOOKUP(branches[[#This Row],[Филиал]], tbl_Filialy[Филиал], tbl_Filialy[Менеджер])</f>
        <v>Павел Ткаченко</v>
      </c>
    </row>
    <row r="1630" spans="1:10" x14ac:dyDescent="0.3">
      <c r="A1630" t="str">
        <f>_xlfn.XLOOKUP(branches[[#This Row],[Филиал]], tbl_Filialy[Филиал], tbl_Filialy[Город])</f>
        <v>Краснодар</v>
      </c>
      <c r="B1630" s="1" t="s">
        <v>31</v>
      </c>
      <c r="C1630" s="2">
        <v>45695</v>
      </c>
      <c r="D1630" s="2" t="str">
        <f>CHOOSE(MONTH(branches[[#This Row],[Дата]]),"Январь","Февраль","Март","Апрель","Май","Июнь","Июль","Август","Сентябрь","Октябрь","Ноябрь","Декабрь")&amp;" "&amp;YEAR(branches[[#This Row],[Дата]])</f>
        <v>Февраль 2025</v>
      </c>
      <c r="E1630" t="s">
        <v>26</v>
      </c>
      <c r="F1630" t="s">
        <v>9</v>
      </c>
      <c r="G1630">
        <v>1</v>
      </c>
      <c r="H1630">
        <v>235</v>
      </c>
      <c r="I1630" t="s">
        <v>35</v>
      </c>
      <c r="J1630" t="str">
        <f>_xlfn.XLOOKUP(branches[[#This Row],[Филиал]], tbl_Filialy[Филиал], tbl_Filialy[Менеджер])</f>
        <v>Павел Ткаченко</v>
      </c>
    </row>
    <row r="1631" spans="1:10" x14ac:dyDescent="0.3">
      <c r="A1631" t="str">
        <f>_xlfn.XLOOKUP(branches[[#This Row],[Филиал]], tbl_Filialy[Филиал], tbl_Filialy[Город])</f>
        <v>Краснодар</v>
      </c>
      <c r="B1631" s="1" t="s">
        <v>31</v>
      </c>
      <c r="C1631" s="2">
        <v>45986</v>
      </c>
      <c r="D1631" s="2" t="str">
        <f>CHOOSE(MONTH(branches[[#This Row],[Дата]]),"Январь","Февраль","Март","Апрель","Май","Июнь","Июль","Август","Сентябрь","Октябрь","Ноябрь","Декабрь")&amp;" "&amp;YEAR(branches[[#This Row],[Дата]])</f>
        <v>Ноябрь 2025</v>
      </c>
      <c r="E1631" t="s">
        <v>20</v>
      </c>
      <c r="F1631" t="s">
        <v>12</v>
      </c>
      <c r="G1631">
        <v>1</v>
      </c>
      <c r="H1631">
        <v>262</v>
      </c>
      <c r="I1631" t="s">
        <v>33</v>
      </c>
      <c r="J1631" t="str">
        <f>_xlfn.XLOOKUP(branches[[#This Row],[Филиал]], tbl_Filialy[Филиал], tbl_Filialy[Менеджер])</f>
        <v>Павел Ткаченко</v>
      </c>
    </row>
    <row r="1632" spans="1:10" x14ac:dyDescent="0.3">
      <c r="A1632" t="str">
        <f>_xlfn.XLOOKUP(branches[[#This Row],[Филиал]], tbl_Filialy[Филиал], tbl_Filialy[Город])</f>
        <v>Краснодар</v>
      </c>
      <c r="B1632" s="1" t="s">
        <v>31</v>
      </c>
      <c r="C1632" s="2">
        <v>45743</v>
      </c>
      <c r="D1632" s="2" t="str">
        <f>CHOOSE(MONTH(branches[[#This Row],[Дата]]),"Январь","Февраль","Март","Апрель","Май","Июнь","Июль","Август","Сентябрь","Октябрь","Ноябрь","Декабрь")&amp;" "&amp;YEAR(branches[[#This Row],[Дата]])</f>
        <v>Март 2025</v>
      </c>
      <c r="E1632" t="s">
        <v>28</v>
      </c>
      <c r="F1632" t="s">
        <v>12</v>
      </c>
      <c r="G1632">
        <v>3</v>
      </c>
      <c r="H1632">
        <v>627</v>
      </c>
      <c r="I1632" t="s">
        <v>19</v>
      </c>
      <c r="J1632" t="str">
        <f>_xlfn.XLOOKUP(branches[[#This Row],[Филиал]], tbl_Filialy[Филиал], tbl_Filialy[Менеджер])</f>
        <v>Павел Ткаченко</v>
      </c>
    </row>
    <row r="1633" spans="1:10" x14ac:dyDescent="0.3">
      <c r="A1633" t="str">
        <f>_xlfn.XLOOKUP(branches[[#This Row],[Филиал]], tbl_Filialy[Филиал], tbl_Filialy[Город])</f>
        <v>Краснодар</v>
      </c>
      <c r="B1633" s="1" t="s">
        <v>31</v>
      </c>
      <c r="C1633" s="2">
        <v>45948</v>
      </c>
      <c r="D1633" s="2" t="str">
        <f>CHOOSE(MONTH(branches[[#This Row],[Дата]]),"Январь","Февраль","Март","Апрель","Май","Июнь","Июль","Август","Сентябрь","Октябрь","Ноябрь","Декабрь")&amp;" "&amp;YEAR(branches[[#This Row],[Дата]])</f>
        <v>Октябрь 2025</v>
      </c>
      <c r="E1633" t="s">
        <v>27</v>
      </c>
      <c r="F1633" t="s">
        <v>12</v>
      </c>
      <c r="G1633">
        <v>2</v>
      </c>
      <c r="H1633">
        <v>382</v>
      </c>
      <c r="I1633" t="s">
        <v>13</v>
      </c>
      <c r="J1633" t="str">
        <f>_xlfn.XLOOKUP(branches[[#This Row],[Филиал]], tbl_Filialy[Филиал], tbl_Filialy[Менеджер])</f>
        <v>Павел Ткаченко</v>
      </c>
    </row>
    <row r="1634" spans="1:10" x14ac:dyDescent="0.3">
      <c r="A1634" t="str">
        <f>_xlfn.XLOOKUP(branches[[#This Row],[Филиал]], tbl_Filialy[Филиал], tbl_Filialy[Город])</f>
        <v>Краснодар</v>
      </c>
      <c r="B1634" s="1" t="s">
        <v>31</v>
      </c>
      <c r="C1634" s="2">
        <v>45901</v>
      </c>
      <c r="D1634" s="2" t="str">
        <f>CHOOSE(MONTH(branches[[#This Row],[Дата]]),"Январь","Февраль","Март","Апрель","Май","Июнь","Июль","Август","Сентябрь","Октябрь","Ноябрь","Декабрь")&amp;" "&amp;YEAR(branches[[#This Row],[Дата]])</f>
        <v>Сентябрь 2025</v>
      </c>
      <c r="E1634" t="s">
        <v>24</v>
      </c>
      <c r="F1634" t="s">
        <v>17</v>
      </c>
      <c r="G1634">
        <v>1</v>
      </c>
      <c r="H1634">
        <v>424</v>
      </c>
      <c r="I1634" t="s">
        <v>33</v>
      </c>
      <c r="J1634" t="str">
        <f>_xlfn.XLOOKUP(branches[[#This Row],[Филиал]], tbl_Filialy[Филиал], tbl_Filialy[Менеджер])</f>
        <v>Павел Ткаченко</v>
      </c>
    </row>
    <row r="1635" spans="1:10" x14ac:dyDescent="0.3">
      <c r="A1635" t="str">
        <f>_xlfn.XLOOKUP(branches[[#This Row],[Филиал]], tbl_Filialy[Филиал], tbl_Filialy[Город])</f>
        <v>Краснодар</v>
      </c>
      <c r="B1635" s="1" t="s">
        <v>31</v>
      </c>
      <c r="C1635" s="2">
        <v>45798</v>
      </c>
      <c r="D1635" s="2" t="str">
        <f>CHOOSE(MONTH(branches[[#This Row],[Дата]]),"Январь","Февраль","Март","Апрель","Май","Июнь","Июль","Август","Сентябрь","Октябрь","Ноябрь","Декабрь")&amp;" "&amp;YEAR(branches[[#This Row],[Дата]])</f>
        <v>Май 2025</v>
      </c>
      <c r="E1635" t="s">
        <v>24</v>
      </c>
      <c r="F1635" t="s">
        <v>17</v>
      </c>
      <c r="G1635">
        <v>1</v>
      </c>
      <c r="H1635">
        <v>355</v>
      </c>
      <c r="I1635" t="s">
        <v>34</v>
      </c>
      <c r="J1635" t="str">
        <f>_xlfn.XLOOKUP(branches[[#This Row],[Филиал]], tbl_Filialy[Филиал], tbl_Filialy[Менеджер])</f>
        <v>Павел Ткаченко</v>
      </c>
    </row>
    <row r="1636" spans="1:10" x14ac:dyDescent="0.3">
      <c r="A1636" t="str">
        <f>_xlfn.XLOOKUP(branches[[#This Row],[Филиал]], tbl_Filialy[Филиал], tbl_Filialy[Город])</f>
        <v>Краснодар</v>
      </c>
      <c r="B1636" s="1" t="s">
        <v>31</v>
      </c>
      <c r="C1636" s="2">
        <v>45755</v>
      </c>
      <c r="D1636" s="2" t="str">
        <f>CHOOSE(MONTH(branches[[#This Row],[Дата]]),"Январь","Февраль","Март","Апрель","Май","Июнь","Июль","Август","Сентябрь","Октябрь","Ноябрь","Декабрь")&amp;" "&amp;YEAR(branches[[#This Row],[Дата]])</f>
        <v>Апрель 2025</v>
      </c>
      <c r="E1636" t="s">
        <v>14</v>
      </c>
      <c r="F1636" t="s">
        <v>12</v>
      </c>
      <c r="G1636">
        <v>1</v>
      </c>
      <c r="H1636">
        <v>230</v>
      </c>
      <c r="I1636" t="s">
        <v>35</v>
      </c>
      <c r="J1636" t="str">
        <f>_xlfn.XLOOKUP(branches[[#This Row],[Филиал]], tbl_Filialy[Филиал], tbl_Filialy[Менеджер])</f>
        <v>Павел Ткаченко</v>
      </c>
    </row>
    <row r="1637" spans="1:10" x14ac:dyDescent="0.3">
      <c r="A1637" t="str">
        <f>_xlfn.XLOOKUP(branches[[#This Row],[Филиал]], tbl_Filialy[Филиал], tbl_Filialy[Город])</f>
        <v>Москва</v>
      </c>
      <c r="B1637" s="1" t="s">
        <v>36</v>
      </c>
      <c r="C1637" s="2">
        <v>45955</v>
      </c>
      <c r="D1637" s="2" t="str">
        <f>CHOOSE(MONTH(branches[[#This Row],[Дата]]),"Январь","Февраль","Март","Апрель","Май","Июнь","Июль","Август","Сентябрь","Октябрь","Ноябрь","Декабрь")&amp;" "&amp;YEAR(branches[[#This Row],[Дата]])</f>
        <v>Октябрь 2025</v>
      </c>
      <c r="E1637" t="s">
        <v>14</v>
      </c>
      <c r="F1637" t="s">
        <v>12</v>
      </c>
      <c r="G1637">
        <v>3</v>
      </c>
      <c r="H1637">
        <v>840</v>
      </c>
      <c r="I1637" t="s">
        <v>19</v>
      </c>
      <c r="J1637" t="str">
        <f>_xlfn.XLOOKUP(branches[[#This Row],[Филиал]], tbl_Filialy[Филиал], tbl_Filialy[Менеджер])</f>
        <v>Ирина Соколова</v>
      </c>
    </row>
    <row r="1638" spans="1:10" x14ac:dyDescent="0.3">
      <c r="A1638" t="str">
        <f>_xlfn.XLOOKUP(branches[[#This Row],[Филиал]], tbl_Filialy[Филиал], tbl_Filialy[Город])</f>
        <v>Москва</v>
      </c>
      <c r="B1638" s="1" t="s">
        <v>36</v>
      </c>
      <c r="C1638" s="2">
        <v>45743</v>
      </c>
      <c r="D1638" s="2" t="str">
        <f>CHOOSE(MONTH(branches[[#This Row],[Дата]]),"Январь","Февраль","Март","Апрель","Май","Июнь","Июль","Август","Сентябрь","Октябрь","Ноябрь","Декабрь")&amp;" "&amp;YEAR(branches[[#This Row],[Дата]])</f>
        <v>Март 2025</v>
      </c>
      <c r="E1638" t="s">
        <v>24</v>
      </c>
      <c r="F1638" t="s">
        <v>17</v>
      </c>
      <c r="G1638">
        <v>2</v>
      </c>
      <c r="H1638">
        <v>778</v>
      </c>
      <c r="I1638" t="s">
        <v>19</v>
      </c>
      <c r="J1638" t="str">
        <f>_xlfn.XLOOKUP(branches[[#This Row],[Филиал]], tbl_Filialy[Филиал], tbl_Filialy[Менеджер])</f>
        <v>Ирина Соколова</v>
      </c>
    </row>
    <row r="1639" spans="1:10" x14ac:dyDescent="0.3">
      <c r="A1639" t="str">
        <f>_xlfn.XLOOKUP(branches[[#This Row],[Филиал]], tbl_Filialy[Филиал], tbl_Filialy[Город])</f>
        <v>Москва</v>
      </c>
      <c r="B1639" s="1" t="s">
        <v>36</v>
      </c>
      <c r="C1639" s="2">
        <v>45693</v>
      </c>
      <c r="D1639" s="2" t="str">
        <f>CHOOSE(MONTH(branches[[#This Row],[Дата]]),"Январь","Февраль","Март","Апрель","Май","Июнь","Июль","Август","Сентябрь","Октябрь","Ноябрь","Декабрь")&amp;" "&amp;YEAR(branches[[#This Row],[Дата]])</f>
        <v>Февраль 2025</v>
      </c>
      <c r="E1639" t="s">
        <v>20</v>
      </c>
      <c r="F1639" t="s">
        <v>12</v>
      </c>
      <c r="G1639">
        <v>2</v>
      </c>
      <c r="H1639">
        <v>630</v>
      </c>
      <c r="I1639" t="s">
        <v>15</v>
      </c>
      <c r="J1639" t="str">
        <f>_xlfn.XLOOKUP(branches[[#This Row],[Филиал]], tbl_Filialy[Филиал], tbl_Filialy[Менеджер])</f>
        <v>Ирина Соколова</v>
      </c>
    </row>
    <row r="1640" spans="1:10" x14ac:dyDescent="0.3">
      <c r="A1640" t="str">
        <f>_xlfn.XLOOKUP(branches[[#This Row],[Филиал]], tbl_Filialy[Филиал], tbl_Filialy[Город])</f>
        <v>Москва</v>
      </c>
      <c r="B1640" s="1" t="s">
        <v>36</v>
      </c>
      <c r="C1640" s="2">
        <v>45825</v>
      </c>
      <c r="D1640" s="2" t="str">
        <f>CHOOSE(MONTH(branches[[#This Row],[Дата]]),"Январь","Февраль","Март","Апрель","Май","Июнь","Июль","Август","Сентябрь","Октябрь","Ноябрь","Декабрь")&amp;" "&amp;YEAR(branches[[#This Row],[Дата]])</f>
        <v>Июнь 2025</v>
      </c>
      <c r="E1640" t="s">
        <v>22</v>
      </c>
      <c r="F1640" t="s">
        <v>9</v>
      </c>
      <c r="G1640">
        <v>2</v>
      </c>
      <c r="H1640">
        <v>366</v>
      </c>
      <c r="I1640" t="s">
        <v>19</v>
      </c>
      <c r="J1640" t="str">
        <f>_xlfn.XLOOKUP(branches[[#This Row],[Филиал]], tbl_Filialy[Филиал], tbl_Filialy[Менеджер])</f>
        <v>Ирина Соколова</v>
      </c>
    </row>
    <row r="1641" spans="1:10" x14ac:dyDescent="0.3">
      <c r="A1641" t="str">
        <f>_xlfn.XLOOKUP(branches[[#This Row],[Филиал]], tbl_Filialy[Филиал], tbl_Filialy[Город])</f>
        <v>Москва</v>
      </c>
      <c r="B1641" s="1" t="s">
        <v>36</v>
      </c>
      <c r="C1641" s="2">
        <v>45823</v>
      </c>
      <c r="D1641" s="2" t="str">
        <f>CHOOSE(MONTH(branches[[#This Row],[Дата]]),"Январь","Февраль","Март","Апрель","Май","Июнь","Июль","Август","Сентябрь","Октябрь","Ноябрь","Декабрь")&amp;" "&amp;YEAR(branches[[#This Row],[Дата]])</f>
        <v>Июнь 2025</v>
      </c>
      <c r="E1641" t="s">
        <v>28</v>
      </c>
      <c r="F1641" t="s">
        <v>12</v>
      </c>
      <c r="G1641">
        <v>2</v>
      </c>
      <c r="H1641">
        <v>490</v>
      </c>
      <c r="I1641" t="s">
        <v>23</v>
      </c>
      <c r="J1641" t="str">
        <f>_xlfn.XLOOKUP(branches[[#This Row],[Филиал]], tbl_Filialy[Филиал], tbl_Filialy[Менеджер])</f>
        <v>Ирина Соколова</v>
      </c>
    </row>
    <row r="1642" spans="1:10" x14ac:dyDescent="0.3">
      <c r="A1642" t="str">
        <f>_xlfn.XLOOKUP(branches[[#This Row],[Филиал]], tbl_Filialy[Филиал], tbl_Filialy[Город])</f>
        <v>Москва</v>
      </c>
      <c r="B1642" s="1" t="s">
        <v>36</v>
      </c>
      <c r="C1642" s="2">
        <v>45668</v>
      </c>
      <c r="D1642" s="2" t="str">
        <f>CHOOSE(MONTH(branches[[#This Row],[Дата]]),"Январь","Февраль","Март","Апрель","Май","Июнь","Июль","Август","Сентябрь","Октябрь","Ноябрь","Декабрь")&amp;" "&amp;YEAR(branches[[#This Row],[Дата]])</f>
        <v>Январь 2025</v>
      </c>
      <c r="E1642" t="s">
        <v>8</v>
      </c>
      <c r="F1642" t="s">
        <v>9</v>
      </c>
      <c r="G1642">
        <v>1</v>
      </c>
      <c r="H1642">
        <v>263</v>
      </c>
      <c r="I1642" t="s">
        <v>23</v>
      </c>
      <c r="J1642" t="str">
        <f>_xlfn.XLOOKUP(branches[[#This Row],[Филиал]], tbl_Filialy[Филиал], tbl_Filialy[Менеджер])</f>
        <v>Ирина Соколова</v>
      </c>
    </row>
    <row r="1643" spans="1:10" x14ac:dyDescent="0.3">
      <c r="A1643" t="str">
        <f>_xlfn.XLOOKUP(branches[[#This Row],[Филиал]], tbl_Filialy[Филиал], tbl_Filialy[Город])</f>
        <v>Москва</v>
      </c>
      <c r="B1643" s="1" t="s">
        <v>36</v>
      </c>
      <c r="C1643" s="2">
        <v>45915</v>
      </c>
      <c r="D1643" s="2" t="str">
        <f>CHOOSE(MONTH(branches[[#This Row],[Дата]]),"Январь","Февраль","Март","Апрель","Май","Июнь","Июль","Август","Сентябрь","Октябрь","Ноябрь","Декабрь")&amp;" "&amp;YEAR(branches[[#This Row],[Дата]])</f>
        <v>Сентябрь 2025</v>
      </c>
      <c r="E1643" t="s">
        <v>8</v>
      </c>
      <c r="F1643" t="s">
        <v>9</v>
      </c>
      <c r="G1643">
        <v>2</v>
      </c>
      <c r="H1643">
        <v>486</v>
      </c>
      <c r="I1643" t="s">
        <v>19</v>
      </c>
      <c r="J1643" t="str">
        <f>_xlfn.XLOOKUP(branches[[#This Row],[Филиал]], tbl_Filialy[Филиал], tbl_Filialy[Менеджер])</f>
        <v>Ирина Соколова</v>
      </c>
    </row>
    <row r="1644" spans="1:10" x14ac:dyDescent="0.3">
      <c r="A1644" t="str">
        <f>_xlfn.XLOOKUP(branches[[#This Row],[Филиал]], tbl_Filialy[Филиал], tbl_Filialy[Город])</f>
        <v>Москва</v>
      </c>
      <c r="B1644" s="1" t="s">
        <v>36</v>
      </c>
      <c r="C1644" s="2">
        <v>45679</v>
      </c>
      <c r="D1644" s="2" t="str">
        <f>CHOOSE(MONTH(branches[[#This Row],[Дата]]),"Январь","Февраль","Март","Апрель","Май","Июнь","Июль","Август","Сентябрь","Октябрь","Ноябрь","Декабрь")&amp;" "&amp;YEAR(branches[[#This Row],[Дата]])</f>
        <v>Январь 2025</v>
      </c>
      <c r="E1644" t="s">
        <v>11</v>
      </c>
      <c r="F1644" t="s">
        <v>12</v>
      </c>
      <c r="G1644">
        <v>3</v>
      </c>
      <c r="H1644">
        <v>453</v>
      </c>
      <c r="I1644" t="s">
        <v>13</v>
      </c>
      <c r="J1644" t="str">
        <f>_xlfn.XLOOKUP(branches[[#This Row],[Филиал]], tbl_Filialy[Филиал], tbl_Filialy[Менеджер])</f>
        <v>Ирина Соколова</v>
      </c>
    </row>
    <row r="1645" spans="1:10" x14ac:dyDescent="0.3">
      <c r="A1645" t="str">
        <f>_xlfn.XLOOKUP(branches[[#This Row],[Филиал]], tbl_Filialy[Филиал], tbl_Filialy[Город])</f>
        <v>Москва</v>
      </c>
      <c r="B1645" s="1" t="s">
        <v>36</v>
      </c>
      <c r="C1645" s="2">
        <v>45978</v>
      </c>
      <c r="D1645" s="2" t="str">
        <f>CHOOSE(MONTH(branches[[#This Row],[Дата]]),"Январь","Февраль","Март","Апрель","Май","Июнь","Июль","Август","Сентябрь","Октябрь","Ноябрь","Декабрь")&amp;" "&amp;YEAR(branches[[#This Row],[Дата]])</f>
        <v>Ноябрь 2025</v>
      </c>
      <c r="E1645" t="s">
        <v>27</v>
      </c>
      <c r="F1645" t="s">
        <v>12</v>
      </c>
      <c r="G1645">
        <v>2</v>
      </c>
      <c r="H1645">
        <v>474</v>
      </c>
      <c r="I1645" t="s">
        <v>21</v>
      </c>
      <c r="J1645" t="str">
        <f>_xlfn.XLOOKUP(branches[[#This Row],[Филиал]], tbl_Filialy[Филиал], tbl_Filialy[Менеджер])</f>
        <v>Ирина Соколова</v>
      </c>
    </row>
    <row r="1646" spans="1:10" x14ac:dyDescent="0.3">
      <c r="A1646" t="str">
        <f>_xlfn.XLOOKUP(branches[[#This Row],[Филиал]], tbl_Filialy[Филиал], tbl_Filialy[Город])</f>
        <v>Москва</v>
      </c>
      <c r="B1646" s="1" t="s">
        <v>36</v>
      </c>
      <c r="C1646" s="2">
        <v>45710</v>
      </c>
      <c r="D1646" s="2" t="str">
        <f>CHOOSE(MONTH(branches[[#This Row],[Дата]]),"Январь","Февраль","Март","Апрель","Май","Июнь","Июль","Август","Сентябрь","Октябрь","Ноябрь","Декабрь")&amp;" "&amp;YEAR(branches[[#This Row],[Дата]])</f>
        <v>Февраль 2025</v>
      </c>
      <c r="E1646" t="s">
        <v>14</v>
      </c>
      <c r="F1646" t="s">
        <v>12</v>
      </c>
      <c r="G1646">
        <v>2</v>
      </c>
      <c r="H1646">
        <v>498</v>
      </c>
      <c r="I1646" t="s">
        <v>15</v>
      </c>
      <c r="J1646" t="str">
        <f>_xlfn.XLOOKUP(branches[[#This Row],[Филиал]], tbl_Filialy[Филиал], tbl_Filialy[Менеджер])</f>
        <v>Ирина Соколова</v>
      </c>
    </row>
    <row r="1647" spans="1:10" x14ac:dyDescent="0.3">
      <c r="A1647" t="str">
        <f>_xlfn.XLOOKUP(branches[[#This Row],[Филиал]], tbl_Filialy[Филиал], tbl_Filialy[Город])</f>
        <v>Москва</v>
      </c>
      <c r="B1647" s="1" t="s">
        <v>36</v>
      </c>
      <c r="C1647" s="2">
        <v>45675</v>
      </c>
      <c r="D1647" s="2" t="str">
        <f>CHOOSE(MONTH(branches[[#This Row],[Дата]]),"Январь","Февраль","Март","Апрель","Май","Июнь","Июль","Август","Сентябрь","Октябрь","Ноябрь","Декабрь")&amp;" "&amp;YEAR(branches[[#This Row],[Дата]])</f>
        <v>Январь 2025</v>
      </c>
      <c r="E1647" t="s">
        <v>28</v>
      </c>
      <c r="F1647" t="s">
        <v>12</v>
      </c>
      <c r="G1647">
        <v>2</v>
      </c>
      <c r="H1647">
        <v>410</v>
      </c>
      <c r="I1647" t="s">
        <v>10</v>
      </c>
      <c r="J1647" t="str">
        <f>_xlfn.XLOOKUP(branches[[#This Row],[Филиал]], tbl_Filialy[Филиал], tbl_Filialy[Менеджер])</f>
        <v>Ирина Соколова</v>
      </c>
    </row>
    <row r="1648" spans="1:10" x14ac:dyDescent="0.3">
      <c r="A1648" t="str">
        <f>_xlfn.XLOOKUP(branches[[#This Row],[Филиал]], tbl_Filialy[Филиал], tbl_Filialy[Город])</f>
        <v>Москва</v>
      </c>
      <c r="B1648" s="1" t="s">
        <v>36</v>
      </c>
      <c r="C1648" s="2">
        <v>45817</v>
      </c>
      <c r="D1648" s="2" t="str">
        <f>CHOOSE(MONTH(branches[[#This Row],[Дата]]),"Январь","Февраль","Март","Апрель","Май","Июнь","Июль","Август","Сентябрь","Октябрь","Ноябрь","Декабрь")&amp;" "&amp;YEAR(branches[[#This Row],[Дата]])</f>
        <v>Июнь 2025</v>
      </c>
      <c r="E1648" t="s">
        <v>26</v>
      </c>
      <c r="F1648" t="s">
        <v>9</v>
      </c>
      <c r="G1648">
        <v>3</v>
      </c>
      <c r="H1648">
        <v>687</v>
      </c>
      <c r="I1648" t="s">
        <v>23</v>
      </c>
      <c r="J1648" t="str">
        <f>_xlfn.XLOOKUP(branches[[#This Row],[Филиал]], tbl_Filialy[Филиал], tbl_Filialy[Менеджер])</f>
        <v>Ирина Соколова</v>
      </c>
    </row>
    <row r="1649" spans="1:10" x14ac:dyDescent="0.3">
      <c r="A1649" t="str">
        <f>_xlfn.XLOOKUP(branches[[#This Row],[Филиал]], tbl_Filialy[Филиал], tbl_Filialy[Город])</f>
        <v>Москва</v>
      </c>
      <c r="B1649" s="1" t="s">
        <v>36</v>
      </c>
      <c r="C1649" s="2">
        <v>45947</v>
      </c>
      <c r="D1649" s="2" t="str">
        <f>CHOOSE(MONTH(branches[[#This Row],[Дата]]),"Январь","Февраль","Март","Апрель","Май","Июнь","Июль","Август","Сентябрь","Октябрь","Ноябрь","Декабрь")&amp;" "&amp;YEAR(branches[[#This Row],[Дата]])</f>
        <v>Октябрь 2025</v>
      </c>
      <c r="E1649" t="s">
        <v>22</v>
      </c>
      <c r="F1649" t="s">
        <v>9</v>
      </c>
      <c r="G1649">
        <v>1</v>
      </c>
      <c r="H1649">
        <v>198</v>
      </c>
      <c r="I1649" t="s">
        <v>21</v>
      </c>
      <c r="J1649" t="str">
        <f>_xlfn.XLOOKUP(branches[[#This Row],[Филиал]], tbl_Filialy[Филиал], tbl_Filialy[Менеджер])</f>
        <v>Ирина Соколова</v>
      </c>
    </row>
    <row r="1650" spans="1:10" x14ac:dyDescent="0.3">
      <c r="A1650" t="str">
        <f>_xlfn.XLOOKUP(branches[[#This Row],[Филиал]], tbl_Filialy[Филиал], tbl_Filialy[Город])</f>
        <v>Москва</v>
      </c>
      <c r="B1650" s="1" t="s">
        <v>36</v>
      </c>
      <c r="C1650" s="2">
        <v>45685</v>
      </c>
      <c r="D1650" s="2" t="str">
        <f>CHOOSE(MONTH(branches[[#This Row],[Дата]]),"Январь","Февраль","Март","Апрель","Май","Июнь","Июль","Август","Сентябрь","Октябрь","Ноябрь","Декабрь")&amp;" "&amp;YEAR(branches[[#This Row],[Дата]])</f>
        <v>Январь 2025</v>
      </c>
      <c r="E1650" t="s">
        <v>28</v>
      </c>
      <c r="F1650" t="s">
        <v>12</v>
      </c>
      <c r="G1650">
        <v>2</v>
      </c>
      <c r="H1650">
        <v>502</v>
      </c>
      <c r="I1650" t="s">
        <v>19</v>
      </c>
      <c r="J1650" t="str">
        <f>_xlfn.XLOOKUP(branches[[#This Row],[Филиал]], tbl_Filialy[Филиал], tbl_Filialy[Менеджер])</f>
        <v>Ирина Соколова</v>
      </c>
    </row>
    <row r="1651" spans="1:10" x14ac:dyDescent="0.3">
      <c r="A1651" t="str">
        <f>_xlfn.XLOOKUP(branches[[#This Row],[Филиал]], tbl_Filialy[Филиал], tbl_Filialy[Город])</f>
        <v>Москва</v>
      </c>
      <c r="B1651" s="1" t="s">
        <v>36</v>
      </c>
      <c r="C1651" s="2">
        <v>45965</v>
      </c>
      <c r="D1651" s="2" t="str">
        <f>CHOOSE(MONTH(branches[[#This Row],[Дата]]),"Январь","Февраль","Март","Апрель","Май","Июнь","Июль","Август","Сентябрь","Октябрь","Ноябрь","Декабрь")&amp;" "&amp;YEAR(branches[[#This Row],[Дата]])</f>
        <v>Ноябрь 2025</v>
      </c>
      <c r="E1651" t="s">
        <v>11</v>
      </c>
      <c r="F1651" t="s">
        <v>12</v>
      </c>
      <c r="G1651">
        <v>3</v>
      </c>
      <c r="H1651">
        <v>501</v>
      </c>
      <c r="I1651" t="s">
        <v>21</v>
      </c>
      <c r="J1651" t="str">
        <f>_xlfn.XLOOKUP(branches[[#This Row],[Филиал]], tbl_Filialy[Филиал], tbl_Filialy[Менеджер])</f>
        <v>Ирина Соколова</v>
      </c>
    </row>
    <row r="1652" spans="1:10" x14ac:dyDescent="0.3">
      <c r="A1652" t="str">
        <f>_xlfn.XLOOKUP(branches[[#This Row],[Филиал]], tbl_Filialy[Филиал], tbl_Filialy[Город])</f>
        <v>Москва</v>
      </c>
      <c r="B1652" s="1" t="s">
        <v>36</v>
      </c>
      <c r="C1652" s="2">
        <v>45764</v>
      </c>
      <c r="D1652" s="2" t="str">
        <f>CHOOSE(MONTH(branches[[#This Row],[Дата]]),"Январь","Февраль","Март","Апрель","Май","Июнь","Июль","Август","Сентябрь","Октябрь","Ноябрь","Декабрь")&amp;" "&amp;YEAR(branches[[#This Row],[Дата]])</f>
        <v>Апрель 2025</v>
      </c>
      <c r="E1652" t="s">
        <v>25</v>
      </c>
      <c r="F1652" t="s">
        <v>12</v>
      </c>
      <c r="G1652">
        <v>1</v>
      </c>
      <c r="H1652">
        <v>245</v>
      </c>
      <c r="I1652" t="s">
        <v>10</v>
      </c>
      <c r="J1652" t="str">
        <f>_xlfn.XLOOKUP(branches[[#This Row],[Филиал]], tbl_Filialy[Филиал], tbl_Filialy[Менеджер])</f>
        <v>Ирина Соколова</v>
      </c>
    </row>
    <row r="1653" spans="1:10" x14ac:dyDescent="0.3">
      <c r="A1653" t="str">
        <f>_xlfn.XLOOKUP(branches[[#This Row],[Филиал]], tbl_Filialy[Филиал], tbl_Filialy[Город])</f>
        <v>Москва</v>
      </c>
      <c r="B1653" s="1" t="s">
        <v>36</v>
      </c>
      <c r="C1653" s="2">
        <v>45997</v>
      </c>
      <c r="D1653" s="2" t="str">
        <f>CHOOSE(MONTH(branches[[#This Row],[Дата]]),"Январь","Февраль","Март","Апрель","Май","Июнь","Июль","Август","Сентябрь","Октябрь","Ноябрь","Декабрь")&amp;" "&amp;YEAR(branches[[#This Row],[Дата]])</f>
        <v>Декабрь 2025</v>
      </c>
      <c r="E1653" t="s">
        <v>11</v>
      </c>
      <c r="F1653" t="s">
        <v>12</v>
      </c>
      <c r="G1653">
        <v>1</v>
      </c>
      <c r="H1653">
        <v>169</v>
      </c>
      <c r="I1653" t="s">
        <v>19</v>
      </c>
      <c r="J1653" t="str">
        <f>_xlfn.XLOOKUP(branches[[#This Row],[Филиал]], tbl_Filialy[Филиал], tbl_Filialy[Менеджер])</f>
        <v>Ирина Соколова</v>
      </c>
    </row>
    <row r="1654" spans="1:10" x14ac:dyDescent="0.3">
      <c r="A1654" t="str">
        <f>_xlfn.XLOOKUP(branches[[#This Row],[Филиал]], tbl_Filialy[Филиал], tbl_Filialy[Город])</f>
        <v>Москва</v>
      </c>
      <c r="B1654" s="1" t="s">
        <v>36</v>
      </c>
      <c r="C1654" s="2">
        <v>45658</v>
      </c>
      <c r="D1654" s="2" t="str">
        <f>CHOOSE(MONTH(branches[[#This Row],[Дата]]),"Январь","Февраль","Март","Апрель","Май","Июнь","Июль","Август","Сентябрь","Октябрь","Ноябрь","Декабрь")&amp;" "&amp;YEAR(branches[[#This Row],[Дата]])</f>
        <v>Январь 2025</v>
      </c>
      <c r="E1654" t="s">
        <v>18</v>
      </c>
      <c r="F1654" t="s">
        <v>12</v>
      </c>
      <c r="G1654">
        <v>1</v>
      </c>
      <c r="H1654">
        <v>141</v>
      </c>
      <c r="I1654" t="s">
        <v>19</v>
      </c>
      <c r="J1654" t="str">
        <f>_xlfn.XLOOKUP(branches[[#This Row],[Филиал]], tbl_Filialy[Филиал], tbl_Filialy[Менеджер])</f>
        <v>Ирина Соколова</v>
      </c>
    </row>
    <row r="1655" spans="1:10" x14ac:dyDescent="0.3">
      <c r="A1655" t="str">
        <f>_xlfn.XLOOKUP(branches[[#This Row],[Филиал]], tbl_Filialy[Филиал], tbl_Filialy[Город])</f>
        <v>Москва</v>
      </c>
      <c r="B1655" s="1" t="s">
        <v>36</v>
      </c>
      <c r="C1655" s="2">
        <v>46015</v>
      </c>
      <c r="D1655" s="2" t="str">
        <f>CHOOSE(MONTH(branches[[#This Row],[Дата]]),"Январь","Февраль","Март","Апрель","Май","Июнь","Июль","Август","Сентябрь","Октябрь","Ноябрь","Декабрь")&amp;" "&amp;YEAR(branches[[#This Row],[Дата]])</f>
        <v>Декабрь 2025</v>
      </c>
      <c r="E1655" t="s">
        <v>20</v>
      </c>
      <c r="F1655" t="s">
        <v>12</v>
      </c>
      <c r="G1655">
        <v>1</v>
      </c>
      <c r="H1655">
        <v>262</v>
      </c>
      <c r="I1655" t="s">
        <v>19</v>
      </c>
      <c r="J1655" t="str">
        <f>_xlfn.XLOOKUP(branches[[#This Row],[Филиал]], tbl_Filialy[Филиал], tbl_Filialy[Менеджер])</f>
        <v>Ирина Соколова</v>
      </c>
    </row>
    <row r="1656" spans="1:10" x14ac:dyDescent="0.3">
      <c r="A1656" t="str">
        <f>_xlfn.XLOOKUP(branches[[#This Row],[Филиал]], tbl_Filialy[Филиал], tbl_Filialy[Город])</f>
        <v>Москва</v>
      </c>
      <c r="B1656" s="1" t="s">
        <v>36</v>
      </c>
      <c r="C1656" s="2">
        <v>45803</v>
      </c>
      <c r="D1656" s="2" t="str">
        <f>CHOOSE(MONTH(branches[[#This Row],[Дата]]),"Январь","Февраль","Март","Апрель","Май","Июнь","Июль","Август","Сентябрь","Октябрь","Ноябрь","Декабрь")&amp;" "&amp;YEAR(branches[[#This Row],[Дата]])</f>
        <v>Май 2025</v>
      </c>
      <c r="E1656" t="s">
        <v>22</v>
      </c>
      <c r="F1656" t="s">
        <v>9</v>
      </c>
      <c r="G1656">
        <v>1</v>
      </c>
      <c r="H1656">
        <v>181</v>
      </c>
      <c r="I1656" t="s">
        <v>23</v>
      </c>
      <c r="J1656" t="str">
        <f>_xlfn.XLOOKUP(branches[[#This Row],[Филиал]], tbl_Filialy[Филиал], tbl_Filialy[Менеджер])</f>
        <v>Ирина Соколова</v>
      </c>
    </row>
    <row r="1657" spans="1:10" x14ac:dyDescent="0.3">
      <c r="A1657" t="str">
        <f>_xlfn.XLOOKUP(branches[[#This Row],[Филиал]], tbl_Filialy[Филиал], tbl_Filialy[Город])</f>
        <v>Москва</v>
      </c>
      <c r="B1657" s="1" t="s">
        <v>36</v>
      </c>
      <c r="C1657" s="2">
        <v>45994</v>
      </c>
      <c r="D1657" s="2" t="str">
        <f>CHOOSE(MONTH(branches[[#This Row],[Дата]]),"Январь","Февраль","Март","Апрель","Май","Июнь","Июль","Август","Сентябрь","Октябрь","Ноябрь","Декабрь")&amp;" "&amp;YEAR(branches[[#This Row],[Дата]])</f>
        <v>Декабрь 2025</v>
      </c>
      <c r="E1657" t="s">
        <v>16</v>
      </c>
      <c r="F1657" t="s">
        <v>17</v>
      </c>
      <c r="G1657">
        <v>1</v>
      </c>
      <c r="H1657">
        <v>301</v>
      </c>
      <c r="I1657" t="s">
        <v>15</v>
      </c>
      <c r="J1657" t="str">
        <f>_xlfn.XLOOKUP(branches[[#This Row],[Филиал]], tbl_Filialy[Филиал], tbl_Filialy[Менеджер])</f>
        <v>Ирина Соколова</v>
      </c>
    </row>
    <row r="1658" spans="1:10" x14ac:dyDescent="0.3">
      <c r="A1658" t="str">
        <f>_xlfn.XLOOKUP(branches[[#This Row],[Филиал]], tbl_Filialy[Филиал], tbl_Filialy[Город])</f>
        <v>Москва</v>
      </c>
      <c r="B1658" s="1" t="s">
        <v>36</v>
      </c>
      <c r="C1658" s="2">
        <v>45949</v>
      </c>
      <c r="D1658" s="2" t="str">
        <f>CHOOSE(MONTH(branches[[#This Row],[Дата]]),"Январь","Февраль","Март","Апрель","Май","Июнь","Июль","Август","Сентябрь","Октябрь","Ноябрь","Декабрь")&amp;" "&amp;YEAR(branches[[#This Row],[Дата]])</f>
        <v>Октябрь 2025</v>
      </c>
      <c r="E1658" t="s">
        <v>27</v>
      </c>
      <c r="F1658" t="s">
        <v>12</v>
      </c>
      <c r="G1658">
        <v>3</v>
      </c>
      <c r="H1658">
        <v>687</v>
      </c>
      <c r="I1658" t="s">
        <v>10</v>
      </c>
      <c r="J1658" t="str">
        <f>_xlfn.XLOOKUP(branches[[#This Row],[Филиал]], tbl_Filialy[Филиал], tbl_Filialy[Менеджер])</f>
        <v>Ирина Соколова</v>
      </c>
    </row>
    <row r="1659" spans="1:10" x14ac:dyDescent="0.3">
      <c r="A1659" t="str">
        <f>_xlfn.XLOOKUP(branches[[#This Row],[Филиал]], tbl_Filialy[Филиал], tbl_Filialy[Город])</f>
        <v>Москва</v>
      </c>
      <c r="B1659" s="1" t="s">
        <v>36</v>
      </c>
      <c r="C1659" s="2">
        <v>46006</v>
      </c>
      <c r="D1659" s="2" t="str">
        <f>CHOOSE(MONTH(branches[[#This Row],[Дата]]),"Январь","Февраль","Март","Апрель","Май","Июнь","Июль","Август","Сентябрь","Октябрь","Ноябрь","Декабрь")&amp;" "&amp;YEAR(branches[[#This Row],[Дата]])</f>
        <v>Декабрь 2025</v>
      </c>
      <c r="E1659" t="s">
        <v>22</v>
      </c>
      <c r="F1659" t="s">
        <v>9</v>
      </c>
      <c r="G1659">
        <v>3</v>
      </c>
      <c r="H1659">
        <v>573</v>
      </c>
      <c r="I1659" t="s">
        <v>21</v>
      </c>
      <c r="J1659" t="str">
        <f>_xlfn.XLOOKUP(branches[[#This Row],[Филиал]], tbl_Filialy[Филиал], tbl_Filialy[Менеджер])</f>
        <v>Ирина Соколова</v>
      </c>
    </row>
    <row r="1660" spans="1:10" x14ac:dyDescent="0.3">
      <c r="A1660" t="str">
        <f>_xlfn.XLOOKUP(branches[[#This Row],[Филиал]], tbl_Filialy[Филиал], tbl_Filialy[Город])</f>
        <v>Москва</v>
      </c>
      <c r="B1660" s="1" t="s">
        <v>36</v>
      </c>
      <c r="C1660" s="2">
        <v>45703</v>
      </c>
      <c r="D1660" s="2" t="str">
        <f>CHOOSE(MONTH(branches[[#This Row],[Дата]]),"Январь","Февраль","Март","Апрель","Май","Июнь","Июль","Август","Сентябрь","Октябрь","Ноябрь","Декабрь")&amp;" "&amp;YEAR(branches[[#This Row],[Дата]])</f>
        <v>Февраль 2025</v>
      </c>
      <c r="E1660" t="s">
        <v>16</v>
      </c>
      <c r="F1660" t="s">
        <v>17</v>
      </c>
      <c r="G1660">
        <v>3</v>
      </c>
      <c r="H1660">
        <v>954</v>
      </c>
      <c r="I1660" t="s">
        <v>10</v>
      </c>
      <c r="J1660" t="str">
        <f>_xlfn.XLOOKUP(branches[[#This Row],[Филиал]], tbl_Filialy[Филиал], tbl_Filialy[Менеджер])</f>
        <v>Ирина Соколова</v>
      </c>
    </row>
    <row r="1661" spans="1:10" x14ac:dyDescent="0.3">
      <c r="A1661" t="str">
        <f>_xlfn.XLOOKUP(branches[[#This Row],[Филиал]], tbl_Filialy[Филиал], tbl_Filialy[Город])</f>
        <v>Москва</v>
      </c>
      <c r="B1661" s="1" t="s">
        <v>36</v>
      </c>
      <c r="C1661" s="2">
        <v>45784</v>
      </c>
      <c r="D1661" s="2" t="str">
        <f>CHOOSE(MONTH(branches[[#This Row],[Дата]]),"Январь","Февраль","Март","Апрель","Май","Июнь","Июль","Август","Сентябрь","Октябрь","Ноябрь","Декабрь")&amp;" "&amp;YEAR(branches[[#This Row],[Дата]])</f>
        <v>Май 2025</v>
      </c>
      <c r="E1661" t="s">
        <v>24</v>
      </c>
      <c r="F1661" t="s">
        <v>17</v>
      </c>
      <c r="G1661">
        <v>2</v>
      </c>
      <c r="H1661">
        <v>714</v>
      </c>
      <c r="I1661" t="s">
        <v>21</v>
      </c>
      <c r="J1661" t="str">
        <f>_xlfn.XLOOKUP(branches[[#This Row],[Филиал]], tbl_Filialy[Филиал], tbl_Filialy[Менеджер])</f>
        <v>Ирина Соколова</v>
      </c>
    </row>
    <row r="1662" spans="1:10" x14ac:dyDescent="0.3">
      <c r="A1662" t="str">
        <f>_xlfn.XLOOKUP(branches[[#This Row],[Филиал]], tbl_Filialy[Филиал], tbl_Filialy[Город])</f>
        <v>Москва</v>
      </c>
      <c r="B1662" s="1" t="s">
        <v>36</v>
      </c>
      <c r="C1662" s="2">
        <v>46010</v>
      </c>
      <c r="D1662" s="2" t="str">
        <f>CHOOSE(MONTH(branches[[#This Row],[Дата]]),"Январь","Февраль","Март","Апрель","Май","Июнь","Июль","Август","Сентябрь","Октябрь","Ноябрь","Декабрь")&amp;" "&amp;YEAR(branches[[#This Row],[Дата]])</f>
        <v>Декабрь 2025</v>
      </c>
      <c r="E1662" t="s">
        <v>28</v>
      </c>
      <c r="F1662" t="s">
        <v>12</v>
      </c>
      <c r="G1662">
        <v>1</v>
      </c>
      <c r="H1662">
        <v>210</v>
      </c>
      <c r="I1662" t="s">
        <v>21</v>
      </c>
      <c r="J1662" t="str">
        <f>_xlfn.XLOOKUP(branches[[#This Row],[Филиал]], tbl_Filialy[Филиал], tbl_Filialy[Менеджер])</f>
        <v>Ирина Соколова</v>
      </c>
    </row>
    <row r="1663" spans="1:10" x14ac:dyDescent="0.3">
      <c r="A1663" t="str">
        <f>_xlfn.XLOOKUP(branches[[#This Row],[Филиал]], tbl_Filialy[Филиал], tbl_Filialy[Город])</f>
        <v>Москва</v>
      </c>
      <c r="B1663" s="1" t="s">
        <v>36</v>
      </c>
      <c r="C1663" s="2">
        <v>45730</v>
      </c>
      <c r="D1663" s="2" t="str">
        <f>CHOOSE(MONTH(branches[[#This Row],[Дата]]),"Январь","Февраль","Март","Апрель","Май","Июнь","Июль","Август","Сентябрь","Октябрь","Ноябрь","Декабрь")&amp;" "&amp;YEAR(branches[[#This Row],[Дата]])</f>
        <v>Март 2025</v>
      </c>
      <c r="E1663" t="s">
        <v>27</v>
      </c>
      <c r="F1663" t="s">
        <v>12</v>
      </c>
      <c r="G1663">
        <v>1</v>
      </c>
      <c r="H1663">
        <v>229</v>
      </c>
      <c r="I1663" t="s">
        <v>21</v>
      </c>
      <c r="J1663" t="str">
        <f>_xlfn.XLOOKUP(branches[[#This Row],[Филиал]], tbl_Filialy[Филиал], tbl_Filialy[Менеджер])</f>
        <v>Ирина Соколова</v>
      </c>
    </row>
    <row r="1664" spans="1:10" x14ac:dyDescent="0.3">
      <c r="A1664" t="str">
        <f>_xlfn.XLOOKUP(branches[[#This Row],[Филиал]], tbl_Filialy[Филиал], tbl_Filialy[Город])</f>
        <v>Москва</v>
      </c>
      <c r="B1664" s="1" t="s">
        <v>36</v>
      </c>
      <c r="C1664" s="2">
        <v>45792</v>
      </c>
      <c r="D1664" s="2" t="str">
        <f>CHOOSE(MONTH(branches[[#This Row],[Дата]]),"Январь","Февраль","Март","Апрель","Май","Июнь","Июль","Август","Сентябрь","Октябрь","Ноябрь","Декабрь")&amp;" "&amp;YEAR(branches[[#This Row],[Дата]])</f>
        <v>Май 2025</v>
      </c>
      <c r="E1664" t="s">
        <v>27</v>
      </c>
      <c r="F1664" t="s">
        <v>12</v>
      </c>
      <c r="G1664">
        <v>1</v>
      </c>
      <c r="H1664">
        <v>230</v>
      </c>
      <c r="I1664" t="s">
        <v>23</v>
      </c>
      <c r="J1664" t="str">
        <f>_xlfn.XLOOKUP(branches[[#This Row],[Филиал]], tbl_Filialy[Филиал], tbl_Filialy[Менеджер])</f>
        <v>Ирина Соколова</v>
      </c>
    </row>
    <row r="1665" spans="1:10" x14ac:dyDescent="0.3">
      <c r="A1665" t="str">
        <f>_xlfn.XLOOKUP(branches[[#This Row],[Филиал]], tbl_Filialy[Филиал], tbl_Filialy[Город])</f>
        <v>Москва</v>
      </c>
      <c r="B1665" s="1" t="s">
        <v>36</v>
      </c>
      <c r="C1665" s="2">
        <v>45979</v>
      </c>
      <c r="D1665" s="2" t="str">
        <f>CHOOSE(MONTH(branches[[#This Row],[Дата]]),"Январь","Февраль","Март","Апрель","Май","Июнь","Июль","Август","Сентябрь","Октябрь","Ноябрь","Декабрь")&amp;" "&amp;YEAR(branches[[#This Row],[Дата]])</f>
        <v>Ноябрь 2025</v>
      </c>
      <c r="E1665" t="s">
        <v>8</v>
      </c>
      <c r="F1665" t="s">
        <v>9</v>
      </c>
      <c r="G1665">
        <v>2</v>
      </c>
      <c r="H1665">
        <v>536</v>
      </c>
      <c r="I1665" t="s">
        <v>13</v>
      </c>
      <c r="J1665" t="str">
        <f>_xlfn.XLOOKUP(branches[[#This Row],[Филиал]], tbl_Filialy[Филиал], tbl_Filialy[Менеджер])</f>
        <v>Ирина Соколова</v>
      </c>
    </row>
    <row r="1666" spans="1:10" x14ac:dyDescent="0.3">
      <c r="A1666" t="str">
        <f>_xlfn.XLOOKUP(branches[[#This Row],[Филиал]], tbl_Filialy[Филиал], tbl_Filialy[Город])</f>
        <v>Москва</v>
      </c>
      <c r="B1666" s="1" t="s">
        <v>36</v>
      </c>
      <c r="C1666" s="2">
        <v>45772</v>
      </c>
      <c r="D1666" s="2" t="str">
        <f>CHOOSE(MONTH(branches[[#This Row],[Дата]]),"Январь","Февраль","Март","Апрель","Май","Июнь","Июль","Август","Сентябрь","Октябрь","Ноябрь","Декабрь")&amp;" "&amp;YEAR(branches[[#This Row],[Дата]])</f>
        <v>Апрель 2025</v>
      </c>
      <c r="E1666" t="s">
        <v>14</v>
      </c>
      <c r="F1666" t="s">
        <v>12</v>
      </c>
      <c r="G1666">
        <v>2</v>
      </c>
      <c r="H1666">
        <v>464</v>
      </c>
      <c r="I1666" t="s">
        <v>21</v>
      </c>
      <c r="J1666" t="str">
        <f>_xlfn.XLOOKUP(branches[[#This Row],[Филиал]], tbl_Filialy[Филиал], tbl_Filialy[Менеджер])</f>
        <v>Ирина Соколова</v>
      </c>
    </row>
    <row r="1667" spans="1:10" x14ac:dyDescent="0.3">
      <c r="A1667" t="str">
        <f>_xlfn.XLOOKUP(branches[[#This Row],[Филиал]], tbl_Filialy[Филиал], tbl_Filialy[Город])</f>
        <v>Москва</v>
      </c>
      <c r="B1667" s="1" t="s">
        <v>36</v>
      </c>
      <c r="C1667" s="2">
        <v>45664</v>
      </c>
      <c r="D1667" s="2" t="str">
        <f>CHOOSE(MONTH(branches[[#This Row],[Дата]]),"Январь","Февраль","Март","Апрель","Май","Июнь","Июль","Август","Сентябрь","Октябрь","Ноябрь","Декабрь")&amp;" "&amp;YEAR(branches[[#This Row],[Дата]])</f>
        <v>Январь 2025</v>
      </c>
      <c r="E1667" t="s">
        <v>16</v>
      </c>
      <c r="F1667" t="s">
        <v>17</v>
      </c>
      <c r="G1667">
        <v>2</v>
      </c>
      <c r="H1667">
        <v>714</v>
      </c>
      <c r="I1667" t="s">
        <v>21</v>
      </c>
      <c r="J1667" t="str">
        <f>_xlfn.XLOOKUP(branches[[#This Row],[Филиал]], tbl_Filialy[Филиал], tbl_Filialy[Менеджер])</f>
        <v>Ирина Соколова</v>
      </c>
    </row>
    <row r="1668" spans="1:10" x14ac:dyDescent="0.3">
      <c r="A1668" t="str">
        <f>_xlfn.XLOOKUP(branches[[#This Row],[Филиал]], tbl_Filialy[Филиал], tbl_Filialy[Город])</f>
        <v>Москва</v>
      </c>
      <c r="B1668" s="1" t="s">
        <v>36</v>
      </c>
      <c r="C1668" s="2">
        <v>45707</v>
      </c>
      <c r="D1668" s="2" t="str">
        <f>CHOOSE(MONTH(branches[[#This Row],[Дата]]),"Январь","Февраль","Март","Апрель","Май","Июнь","Июль","Август","Сентябрь","Октябрь","Ноябрь","Декабрь")&amp;" "&amp;YEAR(branches[[#This Row],[Дата]])</f>
        <v>Февраль 2025</v>
      </c>
      <c r="E1668" t="s">
        <v>27</v>
      </c>
      <c r="F1668" t="s">
        <v>12</v>
      </c>
      <c r="G1668">
        <v>2</v>
      </c>
      <c r="H1668">
        <v>438</v>
      </c>
      <c r="I1668" t="s">
        <v>23</v>
      </c>
      <c r="J1668" t="str">
        <f>_xlfn.XLOOKUP(branches[[#This Row],[Филиал]], tbl_Filialy[Филиал], tbl_Filialy[Менеджер])</f>
        <v>Ирина Соколова</v>
      </c>
    </row>
    <row r="1669" spans="1:10" x14ac:dyDescent="0.3">
      <c r="A1669" t="str">
        <f>_xlfn.XLOOKUP(branches[[#This Row],[Филиал]], tbl_Filialy[Филиал], tbl_Filialy[Город])</f>
        <v>Москва</v>
      </c>
      <c r="B1669" s="1" t="s">
        <v>36</v>
      </c>
      <c r="C1669" s="2">
        <v>45851</v>
      </c>
      <c r="D1669" s="2" t="str">
        <f>CHOOSE(MONTH(branches[[#This Row],[Дата]]),"Январь","Февраль","Март","Апрель","Май","Июнь","Июль","Август","Сентябрь","Октябрь","Ноябрь","Декабрь")&amp;" "&amp;YEAR(branches[[#This Row],[Дата]])</f>
        <v>Июль 2025</v>
      </c>
      <c r="E1669" t="s">
        <v>24</v>
      </c>
      <c r="F1669" t="s">
        <v>17</v>
      </c>
      <c r="G1669">
        <v>2</v>
      </c>
      <c r="H1669">
        <v>724</v>
      </c>
      <c r="I1669" t="s">
        <v>15</v>
      </c>
      <c r="J1669" t="str">
        <f>_xlfn.XLOOKUP(branches[[#This Row],[Филиал]], tbl_Filialy[Филиал], tbl_Filialy[Менеджер])</f>
        <v>Ирина Соколова</v>
      </c>
    </row>
    <row r="1670" spans="1:10" x14ac:dyDescent="0.3">
      <c r="A1670" t="str">
        <f>_xlfn.XLOOKUP(branches[[#This Row],[Филиал]], tbl_Filialy[Филиал], tbl_Filialy[Город])</f>
        <v>Москва</v>
      </c>
      <c r="B1670" s="1" t="s">
        <v>36</v>
      </c>
      <c r="C1670" s="2">
        <v>45741</v>
      </c>
      <c r="D1670" s="2" t="str">
        <f>CHOOSE(MONTH(branches[[#This Row],[Дата]]),"Январь","Февраль","Март","Апрель","Май","Июнь","Июль","Август","Сентябрь","Октябрь","Ноябрь","Декабрь")&amp;" "&amp;YEAR(branches[[#This Row],[Дата]])</f>
        <v>Март 2025</v>
      </c>
      <c r="E1670" t="s">
        <v>20</v>
      </c>
      <c r="F1670" t="s">
        <v>12</v>
      </c>
      <c r="G1670">
        <v>1</v>
      </c>
      <c r="H1670">
        <v>253</v>
      </c>
      <c r="I1670" t="s">
        <v>13</v>
      </c>
      <c r="J1670" t="str">
        <f>_xlfn.XLOOKUP(branches[[#This Row],[Филиал]], tbl_Filialy[Филиал], tbl_Filialy[Менеджер])</f>
        <v>Ирина Соколова</v>
      </c>
    </row>
    <row r="1671" spans="1:10" x14ac:dyDescent="0.3">
      <c r="A1671" t="str">
        <f>_xlfn.XLOOKUP(branches[[#This Row],[Филиал]], tbl_Filialy[Филиал], tbl_Filialy[Город])</f>
        <v>Москва</v>
      </c>
      <c r="B1671" s="1" t="s">
        <v>36</v>
      </c>
      <c r="C1671" s="2">
        <v>45947</v>
      </c>
      <c r="D1671" s="2" t="str">
        <f>CHOOSE(MONTH(branches[[#This Row],[Дата]]),"Январь","Февраль","Март","Апрель","Май","Июнь","Июль","Август","Сентябрь","Октябрь","Ноябрь","Декабрь")&amp;" "&amp;YEAR(branches[[#This Row],[Дата]])</f>
        <v>Октябрь 2025</v>
      </c>
      <c r="E1671" t="s">
        <v>26</v>
      </c>
      <c r="F1671" t="s">
        <v>9</v>
      </c>
      <c r="G1671">
        <v>2</v>
      </c>
      <c r="H1671">
        <v>420</v>
      </c>
      <c r="I1671" t="s">
        <v>23</v>
      </c>
      <c r="J1671" t="str">
        <f>_xlfn.XLOOKUP(branches[[#This Row],[Филиал]], tbl_Filialy[Филиал], tbl_Filialy[Менеджер])</f>
        <v>Ирина Соколова</v>
      </c>
    </row>
    <row r="1672" spans="1:10" x14ac:dyDescent="0.3">
      <c r="A1672" t="str">
        <f>_xlfn.XLOOKUP(branches[[#This Row],[Филиал]], tbl_Filialy[Филиал], tbl_Filialy[Город])</f>
        <v>Москва</v>
      </c>
      <c r="B1672" s="1" t="s">
        <v>36</v>
      </c>
      <c r="C1672" s="2">
        <v>45767</v>
      </c>
      <c r="D1672" s="2" t="str">
        <f>CHOOSE(MONTH(branches[[#This Row],[Дата]]),"Январь","Февраль","Март","Апрель","Май","Июнь","Июль","Август","Сентябрь","Октябрь","Ноябрь","Декабрь")&amp;" "&amp;YEAR(branches[[#This Row],[Дата]])</f>
        <v>Апрель 2025</v>
      </c>
      <c r="E1672" t="s">
        <v>22</v>
      </c>
      <c r="F1672" t="s">
        <v>9</v>
      </c>
      <c r="G1672">
        <v>2</v>
      </c>
      <c r="H1672">
        <v>330</v>
      </c>
      <c r="I1672" t="s">
        <v>23</v>
      </c>
      <c r="J1672" t="str">
        <f>_xlfn.XLOOKUP(branches[[#This Row],[Филиал]], tbl_Filialy[Филиал], tbl_Filialy[Менеджер])</f>
        <v>Ирина Соколова</v>
      </c>
    </row>
    <row r="1673" spans="1:10" x14ac:dyDescent="0.3">
      <c r="A1673" t="str">
        <f>_xlfn.XLOOKUP(branches[[#This Row],[Филиал]], tbl_Filialy[Филиал], tbl_Filialy[Город])</f>
        <v>Москва</v>
      </c>
      <c r="B1673" s="1" t="s">
        <v>36</v>
      </c>
      <c r="C1673" s="2">
        <v>45796</v>
      </c>
      <c r="D1673" s="2" t="str">
        <f>CHOOSE(MONTH(branches[[#This Row],[Дата]]),"Январь","Февраль","Март","Апрель","Май","Июнь","Июль","Август","Сентябрь","Октябрь","Ноябрь","Декабрь")&amp;" "&amp;YEAR(branches[[#This Row],[Дата]])</f>
        <v>Май 2025</v>
      </c>
      <c r="E1673" t="s">
        <v>20</v>
      </c>
      <c r="F1673" t="s">
        <v>12</v>
      </c>
      <c r="G1673">
        <v>1</v>
      </c>
      <c r="H1673">
        <v>275</v>
      </c>
      <c r="I1673" t="s">
        <v>15</v>
      </c>
      <c r="J1673" t="str">
        <f>_xlfn.XLOOKUP(branches[[#This Row],[Филиал]], tbl_Filialy[Филиал], tbl_Filialy[Менеджер])</f>
        <v>Ирина Соколова</v>
      </c>
    </row>
    <row r="1674" spans="1:10" x14ac:dyDescent="0.3">
      <c r="A1674" t="str">
        <f>_xlfn.XLOOKUP(branches[[#This Row],[Филиал]], tbl_Filialy[Филиал], tbl_Filialy[Город])</f>
        <v>Москва</v>
      </c>
      <c r="B1674" s="1" t="s">
        <v>36</v>
      </c>
      <c r="C1674" s="2">
        <v>45676</v>
      </c>
      <c r="D1674" s="2" t="str">
        <f>CHOOSE(MONTH(branches[[#This Row],[Дата]]),"Январь","Февраль","Март","Апрель","Май","Июнь","Июль","Август","Сентябрь","Октябрь","Ноябрь","Декабрь")&amp;" "&amp;YEAR(branches[[#This Row],[Дата]])</f>
        <v>Январь 2025</v>
      </c>
      <c r="E1674" t="s">
        <v>18</v>
      </c>
      <c r="F1674" t="s">
        <v>12</v>
      </c>
      <c r="G1674">
        <v>2</v>
      </c>
      <c r="H1674">
        <v>254</v>
      </c>
      <c r="I1674" t="s">
        <v>21</v>
      </c>
      <c r="J1674" t="str">
        <f>_xlfn.XLOOKUP(branches[[#This Row],[Филиал]], tbl_Filialy[Филиал], tbl_Filialy[Менеджер])</f>
        <v>Ирина Соколова</v>
      </c>
    </row>
    <row r="1675" spans="1:10" x14ac:dyDescent="0.3">
      <c r="A1675" t="str">
        <f>_xlfn.XLOOKUP(branches[[#This Row],[Филиал]], tbl_Filialy[Филиал], tbl_Filialy[Город])</f>
        <v>Москва</v>
      </c>
      <c r="B1675" s="1" t="s">
        <v>36</v>
      </c>
      <c r="C1675" s="2">
        <v>45982</v>
      </c>
      <c r="D1675" s="2" t="str">
        <f>CHOOSE(MONTH(branches[[#This Row],[Дата]]),"Январь","Февраль","Март","Апрель","Май","Июнь","Июль","Август","Сентябрь","Октябрь","Ноябрь","Декабрь")&amp;" "&amp;YEAR(branches[[#This Row],[Дата]])</f>
        <v>Ноябрь 2025</v>
      </c>
      <c r="E1675" t="s">
        <v>16</v>
      </c>
      <c r="F1675" t="s">
        <v>17</v>
      </c>
      <c r="G1675">
        <v>2</v>
      </c>
      <c r="H1675">
        <v>616</v>
      </c>
      <c r="I1675" t="s">
        <v>21</v>
      </c>
      <c r="J1675" t="str">
        <f>_xlfn.XLOOKUP(branches[[#This Row],[Филиал]], tbl_Filialy[Филиал], tbl_Filialy[Менеджер])</f>
        <v>Ирина Соколова</v>
      </c>
    </row>
    <row r="1676" spans="1:10" x14ac:dyDescent="0.3">
      <c r="A1676" t="str">
        <f>_xlfn.XLOOKUP(branches[[#This Row],[Филиал]], tbl_Filialy[Филиал], tbl_Filialy[Город])</f>
        <v>Москва</v>
      </c>
      <c r="B1676" s="1" t="s">
        <v>36</v>
      </c>
      <c r="C1676" s="2">
        <v>45892</v>
      </c>
      <c r="D1676" s="2" t="str">
        <f>CHOOSE(MONTH(branches[[#This Row],[Дата]]),"Январь","Февраль","Март","Апрель","Май","Июнь","Июль","Август","Сентябрь","Октябрь","Ноябрь","Декабрь")&amp;" "&amp;YEAR(branches[[#This Row],[Дата]])</f>
        <v>Август 2025</v>
      </c>
      <c r="E1676" t="s">
        <v>20</v>
      </c>
      <c r="F1676" t="s">
        <v>12</v>
      </c>
      <c r="G1676">
        <v>2</v>
      </c>
      <c r="H1676">
        <v>516</v>
      </c>
      <c r="I1676" t="s">
        <v>19</v>
      </c>
      <c r="J1676" t="str">
        <f>_xlfn.XLOOKUP(branches[[#This Row],[Филиал]], tbl_Filialy[Филиал], tbl_Filialy[Менеджер])</f>
        <v>Ирина Соколова</v>
      </c>
    </row>
    <row r="1677" spans="1:10" x14ac:dyDescent="0.3">
      <c r="A1677" t="str">
        <f>_xlfn.XLOOKUP(branches[[#This Row],[Филиал]], tbl_Filialy[Филиал], tbl_Filialy[Город])</f>
        <v>Москва</v>
      </c>
      <c r="B1677" s="1" t="s">
        <v>36</v>
      </c>
      <c r="C1677" s="2">
        <v>45996</v>
      </c>
      <c r="D1677" s="2" t="str">
        <f>CHOOSE(MONTH(branches[[#This Row],[Дата]]),"Январь","Февраль","Март","Апрель","Май","Июнь","Июль","Август","Сентябрь","Октябрь","Ноябрь","Декабрь")&amp;" "&amp;YEAR(branches[[#This Row],[Дата]])</f>
        <v>Декабрь 2025</v>
      </c>
      <c r="E1677" t="s">
        <v>20</v>
      </c>
      <c r="F1677" t="s">
        <v>12</v>
      </c>
      <c r="G1677">
        <v>1</v>
      </c>
      <c r="H1677">
        <v>283</v>
      </c>
      <c r="I1677" t="s">
        <v>13</v>
      </c>
      <c r="J1677" t="str">
        <f>_xlfn.XLOOKUP(branches[[#This Row],[Филиал]], tbl_Filialy[Филиал], tbl_Filialy[Менеджер])</f>
        <v>Ирина Соколова</v>
      </c>
    </row>
    <row r="1678" spans="1:10" x14ac:dyDescent="0.3">
      <c r="A1678" t="str">
        <f>_xlfn.XLOOKUP(branches[[#This Row],[Филиал]], tbl_Filialy[Филиал], tbl_Filialy[Город])</f>
        <v>Москва</v>
      </c>
      <c r="B1678" s="1" t="s">
        <v>36</v>
      </c>
      <c r="C1678" s="2">
        <v>45780</v>
      </c>
      <c r="D1678" s="2" t="str">
        <f>CHOOSE(MONTH(branches[[#This Row],[Дата]]),"Январь","Февраль","Март","Апрель","Май","Июнь","Июль","Август","Сентябрь","Октябрь","Ноябрь","Декабрь")&amp;" "&amp;YEAR(branches[[#This Row],[Дата]])</f>
        <v>Май 2025</v>
      </c>
      <c r="E1678" t="s">
        <v>24</v>
      </c>
      <c r="F1678" t="s">
        <v>17</v>
      </c>
      <c r="G1678">
        <v>2</v>
      </c>
      <c r="H1678">
        <v>836</v>
      </c>
      <c r="I1678" t="s">
        <v>10</v>
      </c>
      <c r="J1678" t="str">
        <f>_xlfn.XLOOKUP(branches[[#This Row],[Филиал]], tbl_Filialy[Филиал], tbl_Filialy[Менеджер])</f>
        <v>Ирина Соколова</v>
      </c>
    </row>
    <row r="1679" spans="1:10" x14ac:dyDescent="0.3">
      <c r="A1679" t="str">
        <f>_xlfn.XLOOKUP(branches[[#This Row],[Филиал]], tbl_Filialy[Филиал], tbl_Filialy[Город])</f>
        <v>Москва</v>
      </c>
      <c r="B1679" s="1" t="s">
        <v>36</v>
      </c>
      <c r="C1679" s="2">
        <v>45840</v>
      </c>
      <c r="D1679" s="2" t="str">
        <f>CHOOSE(MONTH(branches[[#This Row],[Дата]]),"Январь","Февраль","Март","Апрель","Май","Июнь","Июль","Август","Сентябрь","Октябрь","Ноябрь","Декабрь")&amp;" "&amp;YEAR(branches[[#This Row],[Дата]])</f>
        <v>Июль 2025</v>
      </c>
      <c r="E1679" t="s">
        <v>22</v>
      </c>
      <c r="F1679" t="s">
        <v>9</v>
      </c>
      <c r="G1679">
        <v>2</v>
      </c>
      <c r="H1679">
        <v>358</v>
      </c>
      <c r="I1679" t="s">
        <v>21</v>
      </c>
      <c r="J1679" t="str">
        <f>_xlfn.XLOOKUP(branches[[#This Row],[Филиал]], tbl_Filialy[Филиал], tbl_Filialy[Менеджер])</f>
        <v>Ирина Соколова</v>
      </c>
    </row>
    <row r="1680" spans="1:10" x14ac:dyDescent="0.3">
      <c r="A1680" t="str">
        <f>_xlfn.XLOOKUP(branches[[#This Row],[Филиал]], tbl_Filialy[Филиал], tbl_Filialy[Город])</f>
        <v>Москва</v>
      </c>
      <c r="B1680" s="1" t="s">
        <v>36</v>
      </c>
      <c r="C1680" s="2">
        <v>45689</v>
      </c>
      <c r="D1680" s="2" t="str">
        <f>CHOOSE(MONTH(branches[[#This Row],[Дата]]),"Январь","Февраль","Март","Апрель","Май","Июнь","Июль","Август","Сентябрь","Октябрь","Ноябрь","Декабрь")&amp;" "&amp;YEAR(branches[[#This Row],[Дата]])</f>
        <v>Февраль 2025</v>
      </c>
      <c r="E1680" t="s">
        <v>11</v>
      </c>
      <c r="F1680" t="s">
        <v>12</v>
      </c>
      <c r="G1680">
        <v>1</v>
      </c>
      <c r="H1680">
        <v>171</v>
      </c>
      <c r="I1680" t="s">
        <v>21</v>
      </c>
      <c r="J1680" t="str">
        <f>_xlfn.XLOOKUP(branches[[#This Row],[Филиал]], tbl_Filialy[Филиал], tbl_Filialy[Менеджер])</f>
        <v>Ирина Соколова</v>
      </c>
    </row>
    <row r="1681" spans="1:10" x14ac:dyDescent="0.3">
      <c r="A1681" t="str">
        <f>_xlfn.XLOOKUP(branches[[#This Row],[Филиал]], tbl_Filialy[Филиал], tbl_Filialy[Город])</f>
        <v>Москва</v>
      </c>
      <c r="B1681" s="1" t="s">
        <v>36</v>
      </c>
      <c r="C1681" s="2">
        <v>45670</v>
      </c>
      <c r="D1681" s="2" t="str">
        <f>CHOOSE(MONTH(branches[[#This Row],[Дата]]),"Январь","Февраль","Март","Апрель","Май","Июнь","Июль","Август","Сентябрь","Октябрь","Ноябрь","Декабрь")&amp;" "&amp;YEAR(branches[[#This Row],[Дата]])</f>
        <v>Январь 2025</v>
      </c>
      <c r="E1681" t="s">
        <v>16</v>
      </c>
      <c r="F1681" t="s">
        <v>17</v>
      </c>
      <c r="G1681">
        <v>1</v>
      </c>
      <c r="H1681">
        <v>287</v>
      </c>
      <c r="I1681" t="s">
        <v>13</v>
      </c>
      <c r="J1681" t="str">
        <f>_xlfn.XLOOKUP(branches[[#This Row],[Филиал]], tbl_Filialy[Филиал], tbl_Filialy[Менеджер])</f>
        <v>Ирина Соколова</v>
      </c>
    </row>
    <row r="1682" spans="1:10" x14ac:dyDescent="0.3">
      <c r="A1682" t="str">
        <f>_xlfn.XLOOKUP(branches[[#This Row],[Филиал]], tbl_Filialy[Филиал], tbl_Filialy[Город])</f>
        <v>Москва</v>
      </c>
      <c r="B1682" s="1" t="s">
        <v>36</v>
      </c>
      <c r="C1682" s="2">
        <v>45785</v>
      </c>
      <c r="D1682" s="2" t="str">
        <f>CHOOSE(MONTH(branches[[#This Row],[Дата]]),"Январь","Февраль","Март","Апрель","Май","Июнь","Июль","Август","Сентябрь","Октябрь","Ноябрь","Декабрь")&amp;" "&amp;YEAR(branches[[#This Row],[Дата]])</f>
        <v>Май 2025</v>
      </c>
      <c r="E1682" t="s">
        <v>18</v>
      </c>
      <c r="F1682" t="s">
        <v>12</v>
      </c>
      <c r="G1682">
        <v>2</v>
      </c>
      <c r="H1682">
        <v>284</v>
      </c>
      <c r="I1682" t="s">
        <v>13</v>
      </c>
      <c r="J1682" t="str">
        <f>_xlfn.XLOOKUP(branches[[#This Row],[Филиал]], tbl_Filialy[Филиал], tbl_Filialy[Менеджер])</f>
        <v>Ирина Соколова</v>
      </c>
    </row>
    <row r="1683" spans="1:10" x14ac:dyDescent="0.3">
      <c r="A1683" t="str">
        <f>_xlfn.XLOOKUP(branches[[#This Row],[Филиал]], tbl_Filialy[Филиал], tbl_Filialy[Город])</f>
        <v>Москва</v>
      </c>
      <c r="B1683" s="1" t="s">
        <v>36</v>
      </c>
      <c r="C1683" s="2">
        <v>45882</v>
      </c>
      <c r="D1683" s="2" t="str">
        <f>CHOOSE(MONTH(branches[[#This Row],[Дата]]),"Январь","Февраль","Март","Апрель","Май","Июнь","Июль","Август","Сентябрь","Октябрь","Ноябрь","Декабрь")&amp;" "&amp;YEAR(branches[[#This Row],[Дата]])</f>
        <v>Август 2025</v>
      </c>
      <c r="E1683" t="s">
        <v>28</v>
      </c>
      <c r="F1683" t="s">
        <v>12</v>
      </c>
      <c r="G1683">
        <v>1</v>
      </c>
      <c r="H1683">
        <v>235</v>
      </c>
      <c r="I1683" t="s">
        <v>13</v>
      </c>
      <c r="J1683" t="str">
        <f>_xlfn.XLOOKUP(branches[[#This Row],[Филиал]], tbl_Filialy[Филиал], tbl_Filialy[Менеджер])</f>
        <v>Ирина Соколова</v>
      </c>
    </row>
    <row r="1684" spans="1:10" x14ac:dyDescent="0.3">
      <c r="A1684" t="str">
        <f>_xlfn.XLOOKUP(branches[[#This Row],[Филиал]], tbl_Filialy[Филиал], tbl_Filialy[Город])</f>
        <v>Москва</v>
      </c>
      <c r="B1684" s="1" t="s">
        <v>36</v>
      </c>
      <c r="C1684" s="2">
        <v>45972</v>
      </c>
      <c r="D1684" s="2" t="str">
        <f>CHOOSE(MONTH(branches[[#This Row],[Дата]]),"Январь","Февраль","Март","Апрель","Май","Июнь","Июль","Август","Сентябрь","Октябрь","Ноябрь","Декабрь")&amp;" "&amp;YEAR(branches[[#This Row],[Дата]])</f>
        <v>Ноябрь 2025</v>
      </c>
      <c r="E1684" t="s">
        <v>26</v>
      </c>
      <c r="F1684" t="s">
        <v>9</v>
      </c>
      <c r="G1684">
        <v>2</v>
      </c>
      <c r="H1684">
        <v>382</v>
      </c>
      <c r="I1684" t="s">
        <v>10</v>
      </c>
      <c r="J1684" t="str">
        <f>_xlfn.XLOOKUP(branches[[#This Row],[Филиал]], tbl_Filialy[Филиал], tbl_Filialy[Менеджер])</f>
        <v>Ирина Соколова</v>
      </c>
    </row>
    <row r="1685" spans="1:10" x14ac:dyDescent="0.3">
      <c r="A1685" t="str">
        <f>_xlfn.XLOOKUP(branches[[#This Row],[Филиал]], tbl_Filialy[Филиал], tbl_Filialy[Город])</f>
        <v>Москва</v>
      </c>
      <c r="B1685" s="1" t="s">
        <v>36</v>
      </c>
      <c r="C1685" s="2">
        <v>45681</v>
      </c>
      <c r="D1685" s="2" t="str">
        <f>CHOOSE(MONTH(branches[[#This Row],[Дата]]),"Январь","Февраль","Март","Апрель","Май","Июнь","Июль","Август","Сентябрь","Октябрь","Ноябрь","Декабрь")&amp;" "&amp;YEAR(branches[[#This Row],[Дата]])</f>
        <v>Январь 2025</v>
      </c>
      <c r="E1685" t="s">
        <v>18</v>
      </c>
      <c r="F1685" t="s">
        <v>12</v>
      </c>
      <c r="G1685">
        <v>2</v>
      </c>
      <c r="H1685">
        <v>256</v>
      </c>
      <c r="I1685" t="s">
        <v>19</v>
      </c>
      <c r="J1685" t="str">
        <f>_xlfn.XLOOKUP(branches[[#This Row],[Филиал]], tbl_Filialy[Филиал], tbl_Filialy[Менеджер])</f>
        <v>Ирина Соколова</v>
      </c>
    </row>
    <row r="1686" spans="1:10" x14ac:dyDescent="0.3">
      <c r="A1686" t="str">
        <f>_xlfn.XLOOKUP(branches[[#This Row],[Филиал]], tbl_Filialy[Филиал], tbl_Filialy[Город])</f>
        <v>Москва</v>
      </c>
      <c r="B1686" s="1" t="s">
        <v>36</v>
      </c>
      <c r="C1686" s="2">
        <v>45757</v>
      </c>
      <c r="D1686" s="2" t="str">
        <f>CHOOSE(MONTH(branches[[#This Row],[Дата]]),"Январь","Февраль","Март","Апрель","Май","Июнь","Июль","Август","Сентябрь","Октябрь","Ноябрь","Декабрь")&amp;" "&amp;YEAR(branches[[#This Row],[Дата]])</f>
        <v>Апрель 2025</v>
      </c>
      <c r="E1686" t="s">
        <v>27</v>
      </c>
      <c r="F1686" t="s">
        <v>12</v>
      </c>
      <c r="G1686">
        <v>1</v>
      </c>
      <c r="H1686">
        <v>230</v>
      </c>
      <c r="I1686" t="s">
        <v>19</v>
      </c>
      <c r="J1686" t="str">
        <f>_xlfn.XLOOKUP(branches[[#This Row],[Филиал]], tbl_Filialy[Филиал], tbl_Filialy[Менеджер])</f>
        <v>Ирина Соколова</v>
      </c>
    </row>
    <row r="1687" spans="1:10" x14ac:dyDescent="0.3">
      <c r="A1687" t="str">
        <f>_xlfn.XLOOKUP(branches[[#This Row],[Филиал]], tbl_Filialy[Филиал], tbl_Filialy[Город])</f>
        <v>Москва</v>
      </c>
      <c r="B1687" s="1" t="s">
        <v>36</v>
      </c>
      <c r="C1687" s="2">
        <v>45749</v>
      </c>
      <c r="D1687" s="2" t="str">
        <f>CHOOSE(MONTH(branches[[#This Row],[Дата]]),"Январь","Февраль","Март","Апрель","Май","Июнь","Июль","Август","Сентябрь","Октябрь","Ноябрь","Декабрь")&amp;" "&amp;YEAR(branches[[#This Row],[Дата]])</f>
        <v>Апрель 2025</v>
      </c>
      <c r="E1687" t="s">
        <v>26</v>
      </c>
      <c r="F1687" t="s">
        <v>9</v>
      </c>
      <c r="G1687">
        <v>2</v>
      </c>
      <c r="H1687">
        <v>406</v>
      </c>
      <c r="I1687" t="s">
        <v>21</v>
      </c>
      <c r="J1687" t="str">
        <f>_xlfn.XLOOKUP(branches[[#This Row],[Филиал]], tbl_Filialy[Филиал], tbl_Filialy[Менеджер])</f>
        <v>Ирина Соколова</v>
      </c>
    </row>
    <row r="1688" spans="1:10" x14ac:dyDescent="0.3">
      <c r="A1688" t="str">
        <f>_xlfn.XLOOKUP(branches[[#This Row],[Филиал]], tbl_Filialy[Филиал], tbl_Filialy[Город])</f>
        <v>Москва</v>
      </c>
      <c r="B1688" s="1" t="s">
        <v>36</v>
      </c>
      <c r="C1688" s="2">
        <v>45913</v>
      </c>
      <c r="D1688" s="2" t="str">
        <f>CHOOSE(MONTH(branches[[#This Row],[Дата]]),"Январь","Февраль","Март","Апрель","Май","Июнь","Июль","Август","Сентябрь","Октябрь","Ноябрь","Декабрь")&amp;" "&amp;YEAR(branches[[#This Row],[Дата]])</f>
        <v>Сентябрь 2025</v>
      </c>
      <c r="E1688" t="s">
        <v>25</v>
      </c>
      <c r="F1688" t="s">
        <v>12</v>
      </c>
      <c r="G1688">
        <v>3</v>
      </c>
      <c r="H1688">
        <v>669</v>
      </c>
      <c r="I1688" t="s">
        <v>10</v>
      </c>
      <c r="J1688" t="str">
        <f>_xlfn.XLOOKUP(branches[[#This Row],[Филиал]], tbl_Filialy[Филиал], tbl_Filialy[Менеджер])</f>
        <v>Ирина Соколова</v>
      </c>
    </row>
    <row r="1689" spans="1:10" x14ac:dyDescent="0.3">
      <c r="A1689" t="str">
        <f>_xlfn.XLOOKUP(branches[[#This Row],[Филиал]], tbl_Filialy[Филиал], tbl_Filialy[Город])</f>
        <v>Москва</v>
      </c>
      <c r="B1689" s="1" t="s">
        <v>36</v>
      </c>
      <c r="C1689" s="2">
        <v>45988</v>
      </c>
      <c r="D1689" s="2" t="str">
        <f>CHOOSE(MONTH(branches[[#This Row],[Дата]]),"Январь","Февраль","Март","Апрель","Май","Июнь","Июль","Август","Сентябрь","Октябрь","Ноябрь","Декабрь")&amp;" "&amp;YEAR(branches[[#This Row],[Дата]])</f>
        <v>Ноябрь 2025</v>
      </c>
      <c r="E1689" t="s">
        <v>27</v>
      </c>
      <c r="F1689" t="s">
        <v>12</v>
      </c>
      <c r="G1689">
        <v>2</v>
      </c>
      <c r="H1689">
        <v>392</v>
      </c>
      <c r="I1689" t="s">
        <v>23</v>
      </c>
      <c r="J1689" t="str">
        <f>_xlfn.XLOOKUP(branches[[#This Row],[Филиал]], tbl_Filialy[Филиал], tbl_Filialy[Менеджер])</f>
        <v>Ирина Соколова</v>
      </c>
    </row>
    <row r="1690" spans="1:10" x14ac:dyDescent="0.3">
      <c r="A1690" t="str">
        <f>_xlfn.XLOOKUP(branches[[#This Row],[Филиал]], tbl_Filialy[Филиал], tbl_Filialy[Город])</f>
        <v>Москва</v>
      </c>
      <c r="B1690" s="1" t="s">
        <v>36</v>
      </c>
      <c r="C1690" s="2">
        <v>45963</v>
      </c>
      <c r="D1690" s="2" t="str">
        <f>CHOOSE(MONTH(branches[[#This Row],[Дата]]),"Январь","Февраль","Март","Апрель","Май","Июнь","Июль","Август","Сентябрь","Октябрь","Ноябрь","Декабрь")&amp;" "&amp;YEAR(branches[[#This Row],[Дата]])</f>
        <v>Ноябрь 2025</v>
      </c>
      <c r="E1690" t="s">
        <v>11</v>
      </c>
      <c r="F1690" t="s">
        <v>12</v>
      </c>
      <c r="G1690">
        <v>2</v>
      </c>
      <c r="H1690">
        <v>312</v>
      </c>
      <c r="I1690" t="s">
        <v>15</v>
      </c>
      <c r="J1690" t="str">
        <f>_xlfn.XLOOKUP(branches[[#This Row],[Филиал]], tbl_Filialy[Филиал], tbl_Filialy[Менеджер])</f>
        <v>Ирина Соколова</v>
      </c>
    </row>
    <row r="1691" spans="1:10" x14ac:dyDescent="0.3">
      <c r="A1691" t="str">
        <f>_xlfn.XLOOKUP(branches[[#This Row],[Филиал]], tbl_Filialy[Филиал], tbl_Filialy[Город])</f>
        <v>Москва</v>
      </c>
      <c r="B1691" s="1" t="s">
        <v>36</v>
      </c>
      <c r="C1691" s="2">
        <v>45850</v>
      </c>
      <c r="D1691" s="2" t="str">
        <f>CHOOSE(MONTH(branches[[#This Row],[Дата]]),"Январь","Февраль","Март","Апрель","Май","Июнь","Июль","Август","Сентябрь","Октябрь","Ноябрь","Декабрь")&amp;" "&amp;YEAR(branches[[#This Row],[Дата]])</f>
        <v>Июль 2025</v>
      </c>
      <c r="E1691" t="s">
        <v>26</v>
      </c>
      <c r="F1691" t="s">
        <v>9</v>
      </c>
      <c r="G1691">
        <v>2</v>
      </c>
      <c r="H1691">
        <v>458</v>
      </c>
      <c r="I1691" t="s">
        <v>23</v>
      </c>
      <c r="J1691" t="str">
        <f>_xlfn.XLOOKUP(branches[[#This Row],[Филиал]], tbl_Filialy[Филиал], tbl_Filialy[Менеджер])</f>
        <v>Ирина Соколова</v>
      </c>
    </row>
    <row r="1692" spans="1:10" x14ac:dyDescent="0.3">
      <c r="A1692" t="str">
        <f>_xlfn.XLOOKUP(branches[[#This Row],[Филиал]], tbl_Filialy[Филиал], tbl_Filialy[Город])</f>
        <v>Москва</v>
      </c>
      <c r="B1692" s="1" t="s">
        <v>36</v>
      </c>
      <c r="C1692" s="2">
        <v>45780</v>
      </c>
      <c r="D1692" s="2" t="str">
        <f>CHOOSE(MONTH(branches[[#This Row],[Дата]]),"Январь","Февраль","Март","Апрель","Май","Июнь","Июль","Август","Сентябрь","Октябрь","Ноябрь","Декабрь")&amp;" "&amp;YEAR(branches[[#This Row],[Дата]])</f>
        <v>Май 2025</v>
      </c>
      <c r="E1692" t="s">
        <v>20</v>
      </c>
      <c r="F1692" t="s">
        <v>12</v>
      </c>
      <c r="G1692">
        <v>3</v>
      </c>
      <c r="H1692">
        <v>783</v>
      </c>
      <c r="I1692" t="s">
        <v>10</v>
      </c>
      <c r="J1692" t="str">
        <f>_xlfn.XLOOKUP(branches[[#This Row],[Филиал]], tbl_Filialy[Филиал], tbl_Filialy[Менеджер])</f>
        <v>Ирина Соколова</v>
      </c>
    </row>
    <row r="1693" spans="1:10" x14ac:dyDescent="0.3">
      <c r="A1693" t="str">
        <f>_xlfn.XLOOKUP(branches[[#This Row],[Филиал]], tbl_Filialy[Филиал], tbl_Filialy[Город])</f>
        <v>Москва</v>
      </c>
      <c r="B1693" s="1" t="s">
        <v>36</v>
      </c>
      <c r="C1693" s="2">
        <v>45981</v>
      </c>
      <c r="D1693" s="2" t="str">
        <f>CHOOSE(MONTH(branches[[#This Row],[Дата]]),"Январь","Февраль","Март","Апрель","Май","Июнь","Июль","Август","Сентябрь","Октябрь","Ноябрь","Декабрь")&amp;" "&amp;YEAR(branches[[#This Row],[Дата]])</f>
        <v>Ноябрь 2025</v>
      </c>
      <c r="E1693" t="s">
        <v>16</v>
      </c>
      <c r="F1693" t="s">
        <v>17</v>
      </c>
      <c r="G1693">
        <v>1</v>
      </c>
      <c r="H1693">
        <v>302</v>
      </c>
      <c r="I1693" t="s">
        <v>13</v>
      </c>
      <c r="J1693" t="str">
        <f>_xlfn.XLOOKUP(branches[[#This Row],[Филиал]], tbl_Filialy[Филиал], tbl_Filialy[Менеджер])</f>
        <v>Ирина Соколова</v>
      </c>
    </row>
    <row r="1694" spans="1:10" x14ac:dyDescent="0.3">
      <c r="A1694" t="str">
        <f>_xlfn.XLOOKUP(branches[[#This Row],[Филиал]], tbl_Filialy[Филиал], tbl_Filialy[Город])</f>
        <v>Москва</v>
      </c>
      <c r="B1694" s="1" t="s">
        <v>36</v>
      </c>
      <c r="C1694" s="2">
        <v>45671</v>
      </c>
      <c r="D1694" s="2" t="str">
        <f>CHOOSE(MONTH(branches[[#This Row],[Дата]]),"Январь","Февраль","Март","Апрель","Май","Июнь","Июль","Август","Сентябрь","Октябрь","Ноябрь","Декабрь")&amp;" "&amp;YEAR(branches[[#This Row],[Дата]])</f>
        <v>Январь 2025</v>
      </c>
      <c r="E1694" t="s">
        <v>18</v>
      </c>
      <c r="F1694" t="s">
        <v>12</v>
      </c>
      <c r="G1694">
        <v>3</v>
      </c>
      <c r="H1694">
        <v>462</v>
      </c>
      <c r="I1694" t="s">
        <v>21</v>
      </c>
      <c r="J1694" t="str">
        <f>_xlfn.XLOOKUP(branches[[#This Row],[Филиал]], tbl_Filialy[Филиал], tbl_Filialy[Менеджер])</f>
        <v>Ирина Соколова</v>
      </c>
    </row>
    <row r="1695" spans="1:10" x14ac:dyDescent="0.3">
      <c r="A1695" t="str">
        <f>_xlfn.XLOOKUP(branches[[#This Row],[Филиал]], tbl_Filialy[Филиал], tbl_Filialy[Город])</f>
        <v>Москва</v>
      </c>
      <c r="B1695" s="1" t="s">
        <v>36</v>
      </c>
      <c r="C1695" s="2">
        <v>45853</v>
      </c>
      <c r="D1695" s="2" t="str">
        <f>CHOOSE(MONTH(branches[[#This Row],[Дата]]),"Январь","Февраль","Март","Апрель","Май","Июнь","Июль","Август","Сентябрь","Октябрь","Ноябрь","Декабрь")&amp;" "&amp;YEAR(branches[[#This Row],[Дата]])</f>
        <v>Июль 2025</v>
      </c>
      <c r="E1695" t="s">
        <v>28</v>
      </c>
      <c r="F1695" t="s">
        <v>12</v>
      </c>
      <c r="G1695">
        <v>1</v>
      </c>
      <c r="H1695">
        <v>229</v>
      </c>
      <c r="I1695" t="s">
        <v>23</v>
      </c>
      <c r="J1695" t="str">
        <f>_xlfn.XLOOKUP(branches[[#This Row],[Филиал]], tbl_Filialy[Филиал], tbl_Filialy[Менеджер])</f>
        <v>Ирина Соколова</v>
      </c>
    </row>
    <row r="1696" spans="1:10" x14ac:dyDescent="0.3">
      <c r="A1696" t="str">
        <f>_xlfn.XLOOKUP(branches[[#This Row],[Филиал]], tbl_Filialy[Филиал], tbl_Filialy[Город])</f>
        <v>Москва</v>
      </c>
      <c r="B1696" s="1" t="s">
        <v>36</v>
      </c>
      <c r="C1696" s="2">
        <v>45815</v>
      </c>
      <c r="D1696" s="2" t="str">
        <f>CHOOSE(MONTH(branches[[#This Row],[Дата]]),"Январь","Февраль","Март","Апрель","Май","Июнь","Июль","Август","Сентябрь","Октябрь","Ноябрь","Декабрь")&amp;" "&amp;YEAR(branches[[#This Row],[Дата]])</f>
        <v>Июнь 2025</v>
      </c>
      <c r="E1696" t="s">
        <v>18</v>
      </c>
      <c r="F1696" t="s">
        <v>12</v>
      </c>
      <c r="G1696">
        <v>1</v>
      </c>
      <c r="H1696">
        <v>156</v>
      </c>
      <c r="I1696" t="s">
        <v>23</v>
      </c>
      <c r="J1696" t="str">
        <f>_xlfn.XLOOKUP(branches[[#This Row],[Филиал]], tbl_Filialy[Филиал], tbl_Filialy[Менеджер])</f>
        <v>Ирина Соколова</v>
      </c>
    </row>
    <row r="1697" spans="1:10" x14ac:dyDescent="0.3">
      <c r="A1697" t="str">
        <f>_xlfn.XLOOKUP(branches[[#This Row],[Филиал]], tbl_Filialy[Филиал], tbl_Filialy[Город])</f>
        <v>Москва</v>
      </c>
      <c r="B1697" s="1" t="s">
        <v>36</v>
      </c>
      <c r="C1697" s="2">
        <v>45999</v>
      </c>
      <c r="D1697" s="2" t="str">
        <f>CHOOSE(MONTH(branches[[#This Row],[Дата]]),"Январь","Февраль","Март","Апрель","Май","Июнь","Июль","Август","Сентябрь","Октябрь","Ноябрь","Декабрь")&amp;" "&amp;YEAR(branches[[#This Row],[Дата]])</f>
        <v>Декабрь 2025</v>
      </c>
      <c r="E1697" t="s">
        <v>8</v>
      </c>
      <c r="F1697" t="s">
        <v>9</v>
      </c>
      <c r="G1697">
        <v>1</v>
      </c>
      <c r="H1697">
        <v>266</v>
      </c>
      <c r="I1697" t="s">
        <v>23</v>
      </c>
      <c r="J1697" t="str">
        <f>_xlfn.XLOOKUP(branches[[#This Row],[Филиал]], tbl_Filialy[Филиал], tbl_Filialy[Менеджер])</f>
        <v>Ирина Соколова</v>
      </c>
    </row>
    <row r="1698" spans="1:10" x14ac:dyDescent="0.3">
      <c r="A1698" t="str">
        <f>_xlfn.XLOOKUP(branches[[#This Row],[Филиал]], tbl_Filialy[Филиал], tbl_Filialy[Город])</f>
        <v>Москва</v>
      </c>
      <c r="B1698" s="1" t="s">
        <v>36</v>
      </c>
      <c r="C1698" s="2">
        <v>45977</v>
      </c>
      <c r="D1698" s="2" t="str">
        <f>CHOOSE(MONTH(branches[[#This Row],[Дата]]),"Январь","Февраль","Март","Апрель","Май","Июнь","Июль","Август","Сентябрь","Октябрь","Ноябрь","Декабрь")&amp;" "&amp;YEAR(branches[[#This Row],[Дата]])</f>
        <v>Ноябрь 2025</v>
      </c>
      <c r="E1698" t="s">
        <v>28</v>
      </c>
      <c r="F1698" t="s">
        <v>12</v>
      </c>
      <c r="G1698">
        <v>1</v>
      </c>
      <c r="H1698">
        <v>208</v>
      </c>
      <c r="I1698" t="s">
        <v>10</v>
      </c>
      <c r="J1698" t="str">
        <f>_xlfn.XLOOKUP(branches[[#This Row],[Филиал]], tbl_Filialy[Филиал], tbl_Filialy[Менеджер])</f>
        <v>Ирина Соколова</v>
      </c>
    </row>
    <row r="1699" spans="1:10" x14ac:dyDescent="0.3">
      <c r="A1699" t="str">
        <f>_xlfn.XLOOKUP(branches[[#This Row],[Филиал]], tbl_Filialy[Филиал], tbl_Filialy[Город])</f>
        <v>Москва</v>
      </c>
      <c r="B1699" s="1" t="s">
        <v>36</v>
      </c>
      <c r="C1699" s="2">
        <v>45949</v>
      </c>
      <c r="D1699" s="2" t="str">
        <f>CHOOSE(MONTH(branches[[#This Row],[Дата]]),"Январь","Февраль","Март","Апрель","Май","Июнь","Июль","Август","Сентябрь","Октябрь","Ноябрь","Декабрь")&amp;" "&amp;YEAR(branches[[#This Row],[Дата]])</f>
        <v>Октябрь 2025</v>
      </c>
      <c r="E1699" t="s">
        <v>27</v>
      </c>
      <c r="F1699" t="s">
        <v>12</v>
      </c>
      <c r="G1699">
        <v>2</v>
      </c>
      <c r="H1699">
        <v>366</v>
      </c>
      <c r="I1699" t="s">
        <v>19</v>
      </c>
      <c r="J1699" t="str">
        <f>_xlfn.XLOOKUP(branches[[#This Row],[Филиал]], tbl_Filialy[Филиал], tbl_Filialy[Менеджер])</f>
        <v>Ирина Соколова</v>
      </c>
    </row>
    <row r="1700" spans="1:10" x14ac:dyDescent="0.3">
      <c r="A1700" t="str">
        <f>_xlfn.XLOOKUP(branches[[#This Row],[Филиал]], tbl_Filialy[Филиал], tbl_Filialy[Город])</f>
        <v>Москва</v>
      </c>
      <c r="B1700" s="1" t="s">
        <v>36</v>
      </c>
      <c r="C1700" s="2">
        <v>45823</v>
      </c>
      <c r="D1700" s="2" t="str">
        <f>CHOOSE(MONTH(branches[[#This Row],[Дата]]),"Январь","Февраль","Март","Апрель","Май","Июнь","Июль","Август","Сентябрь","Октябрь","Ноябрь","Декабрь")&amp;" "&amp;YEAR(branches[[#This Row],[Дата]])</f>
        <v>Июнь 2025</v>
      </c>
      <c r="E1700" t="s">
        <v>16</v>
      </c>
      <c r="F1700" t="s">
        <v>17</v>
      </c>
      <c r="G1700">
        <v>2</v>
      </c>
      <c r="H1700">
        <v>636</v>
      </c>
      <c r="I1700" t="s">
        <v>13</v>
      </c>
      <c r="J1700" t="str">
        <f>_xlfn.XLOOKUP(branches[[#This Row],[Филиал]], tbl_Filialy[Филиал], tbl_Filialy[Менеджер])</f>
        <v>Ирина Соколова</v>
      </c>
    </row>
    <row r="1701" spans="1:10" x14ac:dyDescent="0.3">
      <c r="A1701" t="str">
        <f>_xlfn.XLOOKUP(branches[[#This Row],[Филиал]], tbl_Filialy[Филиал], tbl_Filialy[Город])</f>
        <v>Москва</v>
      </c>
      <c r="B1701" s="1" t="s">
        <v>36</v>
      </c>
      <c r="C1701" s="2">
        <v>45944</v>
      </c>
      <c r="D1701" s="2" t="str">
        <f>CHOOSE(MONTH(branches[[#This Row],[Дата]]),"Январь","Февраль","Март","Апрель","Май","Июнь","Июль","Август","Сентябрь","Октябрь","Ноябрь","Декабрь")&amp;" "&amp;YEAR(branches[[#This Row],[Дата]])</f>
        <v>Октябрь 2025</v>
      </c>
      <c r="E1701" t="s">
        <v>25</v>
      </c>
      <c r="F1701" t="s">
        <v>12</v>
      </c>
      <c r="G1701">
        <v>3</v>
      </c>
      <c r="H1701">
        <v>624</v>
      </c>
      <c r="I1701" t="s">
        <v>19</v>
      </c>
      <c r="J1701" t="str">
        <f>_xlfn.XLOOKUP(branches[[#This Row],[Филиал]], tbl_Filialy[Филиал], tbl_Filialy[Менеджер])</f>
        <v>Ирина Соколова</v>
      </c>
    </row>
    <row r="1702" spans="1:10" x14ac:dyDescent="0.3">
      <c r="A1702" t="str">
        <f>_xlfn.XLOOKUP(branches[[#This Row],[Филиал]], tbl_Filialy[Филиал], tbl_Filialy[Город])</f>
        <v>Москва</v>
      </c>
      <c r="B1702" s="1" t="s">
        <v>36</v>
      </c>
      <c r="C1702" s="2">
        <v>45857</v>
      </c>
      <c r="D1702" s="2" t="str">
        <f>CHOOSE(MONTH(branches[[#This Row],[Дата]]),"Январь","Февраль","Март","Апрель","Май","Июнь","Июль","Август","Сентябрь","Октябрь","Ноябрь","Декабрь")&amp;" "&amp;YEAR(branches[[#This Row],[Дата]])</f>
        <v>Июль 2025</v>
      </c>
      <c r="E1702" t="s">
        <v>28</v>
      </c>
      <c r="F1702" t="s">
        <v>12</v>
      </c>
      <c r="G1702">
        <v>1</v>
      </c>
      <c r="H1702">
        <v>227</v>
      </c>
      <c r="I1702" t="s">
        <v>15</v>
      </c>
      <c r="J1702" t="str">
        <f>_xlfn.XLOOKUP(branches[[#This Row],[Филиал]], tbl_Filialy[Филиал], tbl_Filialy[Менеджер])</f>
        <v>Ирина Соколова</v>
      </c>
    </row>
    <row r="1703" spans="1:10" x14ac:dyDescent="0.3">
      <c r="A1703" t="str">
        <f>_xlfn.XLOOKUP(branches[[#This Row],[Филиал]], tbl_Filialy[Филиал], tbl_Filialy[Город])</f>
        <v>Москва</v>
      </c>
      <c r="B1703" s="1" t="s">
        <v>36</v>
      </c>
      <c r="C1703" s="2">
        <v>45999</v>
      </c>
      <c r="D1703" s="2" t="str">
        <f>CHOOSE(MONTH(branches[[#This Row],[Дата]]),"Январь","Февраль","Март","Апрель","Май","Июнь","Июль","Август","Сентябрь","Октябрь","Ноябрь","Декабрь")&amp;" "&amp;YEAR(branches[[#This Row],[Дата]])</f>
        <v>Декабрь 2025</v>
      </c>
      <c r="E1703" t="s">
        <v>8</v>
      </c>
      <c r="F1703" t="s">
        <v>9</v>
      </c>
      <c r="G1703">
        <v>2</v>
      </c>
      <c r="H1703">
        <v>544</v>
      </c>
      <c r="I1703" t="s">
        <v>21</v>
      </c>
      <c r="J1703" t="str">
        <f>_xlfn.XLOOKUP(branches[[#This Row],[Филиал]], tbl_Filialy[Филиал], tbl_Filialy[Менеджер])</f>
        <v>Ирина Соколова</v>
      </c>
    </row>
    <row r="1704" spans="1:10" x14ac:dyDescent="0.3">
      <c r="A1704" t="str">
        <f>_xlfn.XLOOKUP(branches[[#This Row],[Филиал]], tbl_Filialy[Филиал], tbl_Filialy[Город])</f>
        <v>Москва</v>
      </c>
      <c r="B1704" s="1" t="s">
        <v>36</v>
      </c>
      <c r="C1704" s="2">
        <v>45773</v>
      </c>
      <c r="D1704" s="2" t="str">
        <f>CHOOSE(MONTH(branches[[#This Row],[Дата]]),"Январь","Февраль","Март","Апрель","Май","Июнь","Июль","Август","Сентябрь","Октябрь","Ноябрь","Декабрь")&amp;" "&amp;YEAR(branches[[#This Row],[Дата]])</f>
        <v>Апрель 2025</v>
      </c>
      <c r="E1704" t="s">
        <v>16</v>
      </c>
      <c r="F1704" t="s">
        <v>17</v>
      </c>
      <c r="G1704">
        <v>1</v>
      </c>
      <c r="H1704">
        <v>313</v>
      </c>
      <c r="I1704" t="s">
        <v>13</v>
      </c>
      <c r="J1704" t="str">
        <f>_xlfn.XLOOKUP(branches[[#This Row],[Филиал]], tbl_Filialy[Филиал], tbl_Filialy[Менеджер])</f>
        <v>Ирина Соколова</v>
      </c>
    </row>
    <row r="1705" spans="1:10" x14ac:dyDescent="0.3">
      <c r="A1705" t="str">
        <f>_xlfn.XLOOKUP(branches[[#This Row],[Филиал]], tbl_Filialy[Филиал], tbl_Filialy[Город])</f>
        <v>Москва</v>
      </c>
      <c r="B1705" s="1" t="s">
        <v>36</v>
      </c>
      <c r="C1705" s="2">
        <v>45877</v>
      </c>
      <c r="D1705" s="2" t="str">
        <f>CHOOSE(MONTH(branches[[#This Row],[Дата]]),"Январь","Февраль","Март","Апрель","Май","Июнь","Июль","Август","Сентябрь","Октябрь","Ноябрь","Декабрь")&amp;" "&amp;YEAR(branches[[#This Row],[Дата]])</f>
        <v>Август 2025</v>
      </c>
      <c r="E1705" t="s">
        <v>20</v>
      </c>
      <c r="F1705" t="s">
        <v>12</v>
      </c>
      <c r="G1705">
        <v>2</v>
      </c>
      <c r="H1705">
        <v>538</v>
      </c>
      <c r="I1705" t="s">
        <v>21</v>
      </c>
      <c r="J1705" t="str">
        <f>_xlfn.XLOOKUP(branches[[#This Row],[Филиал]], tbl_Filialy[Филиал], tbl_Filialy[Менеджер])</f>
        <v>Ирина Соколова</v>
      </c>
    </row>
    <row r="1706" spans="1:10" x14ac:dyDescent="0.3">
      <c r="A1706" t="str">
        <f>_xlfn.XLOOKUP(branches[[#This Row],[Филиал]], tbl_Filialy[Филиал], tbl_Filialy[Город])</f>
        <v>Москва</v>
      </c>
      <c r="B1706" s="1" t="s">
        <v>36</v>
      </c>
      <c r="C1706" s="2">
        <v>45796</v>
      </c>
      <c r="D1706" s="2" t="str">
        <f>CHOOSE(MONTH(branches[[#This Row],[Дата]]),"Январь","Февраль","Март","Апрель","Май","Июнь","Июль","Август","Сентябрь","Октябрь","Ноябрь","Декабрь")&amp;" "&amp;YEAR(branches[[#This Row],[Дата]])</f>
        <v>Май 2025</v>
      </c>
      <c r="E1706" t="s">
        <v>16</v>
      </c>
      <c r="F1706" t="s">
        <v>17</v>
      </c>
      <c r="G1706">
        <v>1</v>
      </c>
      <c r="H1706">
        <v>343</v>
      </c>
      <c r="I1706" t="s">
        <v>21</v>
      </c>
      <c r="J1706" t="str">
        <f>_xlfn.XLOOKUP(branches[[#This Row],[Филиал]], tbl_Filialy[Филиал], tbl_Filialy[Менеджер])</f>
        <v>Ирина Соколова</v>
      </c>
    </row>
    <row r="1707" spans="1:10" x14ac:dyDescent="0.3">
      <c r="A1707" t="str">
        <f>_xlfn.XLOOKUP(branches[[#This Row],[Филиал]], tbl_Filialy[Филиал], tbl_Filialy[Город])</f>
        <v>Москва</v>
      </c>
      <c r="B1707" s="1" t="s">
        <v>36</v>
      </c>
      <c r="C1707" s="2">
        <v>45781</v>
      </c>
      <c r="D1707" s="2" t="str">
        <f>CHOOSE(MONTH(branches[[#This Row],[Дата]]),"Январь","Февраль","Март","Апрель","Май","Июнь","Июль","Август","Сентябрь","Октябрь","Ноябрь","Декабрь")&amp;" "&amp;YEAR(branches[[#This Row],[Дата]])</f>
        <v>Май 2025</v>
      </c>
      <c r="E1707" t="s">
        <v>11</v>
      </c>
      <c r="F1707" t="s">
        <v>12</v>
      </c>
      <c r="G1707">
        <v>2</v>
      </c>
      <c r="H1707">
        <v>372</v>
      </c>
      <c r="I1707" t="s">
        <v>15</v>
      </c>
      <c r="J1707" t="str">
        <f>_xlfn.XLOOKUP(branches[[#This Row],[Филиал]], tbl_Filialy[Филиал], tbl_Filialy[Менеджер])</f>
        <v>Ирина Соколова</v>
      </c>
    </row>
    <row r="1708" spans="1:10" x14ac:dyDescent="0.3">
      <c r="A1708" t="str">
        <f>_xlfn.XLOOKUP(branches[[#This Row],[Филиал]], tbl_Filialy[Филиал], tbl_Filialy[Город])</f>
        <v>Москва</v>
      </c>
      <c r="B1708" s="1" t="s">
        <v>36</v>
      </c>
      <c r="C1708" s="2">
        <v>45761</v>
      </c>
      <c r="D1708" s="2" t="str">
        <f>CHOOSE(MONTH(branches[[#This Row],[Дата]]),"Январь","Февраль","Март","Апрель","Май","Июнь","Июль","Август","Сентябрь","Октябрь","Ноябрь","Декабрь")&amp;" "&amp;YEAR(branches[[#This Row],[Дата]])</f>
        <v>Апрель 2025</v>
      </c>
      <c r="E1708" t="s">
        <v>16</v>
      </c>
      <c r="F1708" t="s">
        <v>17</v>
      </c>
      <c r="G1708">
        <v>2</v>
      </c>
      <c r="H1708">
        <v>678</v>
      </c>
      <c r="I1708" t="s">
        <v>23</v>
      </c>
      <c r="J1708" t="str">
        <f>_xlfn.XLOOKUP(branches[[#This Row],[Филиал]], tbl_Filialy[Филиал], tbl_Filialy[Менеджер])</f>
        <v>Ирина Соколова</v>
      </c>
    </row>
    <row r="1709" spans="1:10" x14ac:dyDescent="0.3">
      <c r="A1709" t="str">
        <f>_xlfn.XLOOKUP(branches[[#This Row],[Филиал]], tbl_Filialy[Филиал], tbl_Filialy[Город])</f>
        <v>Москва</v>
      </c>
      <c r="B1709" s="1" t="s">
        <v>36</v>
      </c>
      <c r="C1709" s="2">
        <v>45734</v>
      </c>
      <c r="D1709" s="2" t="str">
        <f>CHOOSE(MONTH(branches[[#This Row],[Дата]]),"Январь","Февраль","Март","Апрель","Май","Июнь","Июль","Август","Сентябрь","Октябрь","Ноябрь","Декабрь")&amp;" "&amp;YEAR(branches[[#This Row],[Дата]])</f>
        <v>Март 2025</v>
      </c>
      <c r="E1709" t="s">
        <v>24</v>
      </c>
      <c r="F1709" t="s">
        <v>17</v>
      </c>
      <c r="G1709">
        <v>2</v>
      </c>
      <c r="H1709">
        <v>794</v>
      </c>
      <c r="I1709" t="s">
        <v>21</v>
      </c>
      <c r="J1709" t="str">
        <f>_xlfn.XLOOKUP(branches[[#This Row],[Филиал]], tbl_Filialy[Филиал], tbl_Filialy[Менеджер])</f>
        <v>Ирина Соколова</v>
      </c>
    </row>
    <row r="1710" spans="1:10" x14ac:dyDescent="0.3">
      <c r="A1710" t="str">
        <f>_xlfn.XLOOKUP(branches[[#This Row],[Филиал]], tbl_Filialy[Филиал], tbl_Filialy[Город])</f>
        <v>Москва</v>
      </c>
      <c r="B1710" s="1" t="s">
        <v>36</v>
      </c>
      <c r="C1710" s="2">
        <v>45671</v>
      </c>
      <c r="D1710" s="2" t="str">
        <f>CHOOSE(MONTH(branches[[#This Row],[Дата]]),"Январь","Февраль","Март","Апрель","Май","Июнь","Июль","Август","Сентябрь","Октябрь","Ноябрь","Декабрь")&amp;" "&amp;YEAR(branches[[#This Row],[Дата]])</f>
        <v>Январь 2025</v>
      </c>
      <c r="E1710" t="s">
        <v>28</v>
      </c>
      <c r="F1710" t="s">
        <v>12</v>
      </c>
      <c r="G1710">
        <v>1</v>
      </c>
      <c r="H1710">
        <v>242</v>
      </c>
      <c r="I1710" t="s">
        <v>10</v>
      </c>
      <c r="J1710" t="str">
        <f>_xlfn.XLOOKUP(branches[[#This Row],[Филиал]], tbl_Filialy[Филиал], tbl_Filialy[Менеджер])</f>
        <v>Ирина Соколова</v>
      </c>
    </row>
    <row r="1711" spans="1:10" x14ac:dyDescent="0.3">
      <c r="A1711" t="str">
        <f>_xlfn.XLOOKUP(branches[[#This Row],[Филиал]], tbl_Filialy[Филиал], tbl_Filialy[Город])</f>
        <v>Москва</v>
      </c>
      <c r="B1711" s="1" t="s">
        <v>36</v>
      </c>
      <c r="C1711" s="2">
        <v>45739</v>
      </c>
      <c r="D1711" s="2" t="str">
        <f>CHOOSE(MONTH(branches[[#This Row],[Дата]]),"Январь","Февраль","Март","Апрель","Май","Июнь","Июль","Август","Сентябрь","Октябрь","Ноябрь","Декабрь")&amp;" "&amp;YEAR(branches[[#This Row],[Дата]])</f>
        <v>Март 2025</v>
      </c>
      <c r="E1711" t="s">
        <v>11</v>
      </c>
      <c r="F1711" t="s">
        <v>12</v>
      </c>
      <c r="G1711">
        <v>1</v>
      </c>
      <c r="H1711">
        <v>169</v>
      </c>
      <c r="I1711" t="s">
        <v>21</v>
      </c>
      <c r="J1711" t="str">
        <f>_xlfn.XLOOKUP(branches[[#This Row],[Филиал]], tbl_Filialy[Филиал], tbl_Filialy[Менеджер])</f>
        <v>Ирина Соколова</v>
      </c>
    </row>
    <row r="1712" spans="1:10" x14ac:dyDescent="0.3">
      <c r="A1712" t="str">
        <f>_xlfn.XLOOKUP(branches[[#This Row],[Филиал]], tbl_Filialy[Филиал], tbl_Filialy[Город])</f>
        <v>Москва</v>
      </c>
      <c r="B1712" s="1" t="s">
        <v>36</v>
      </c>
      <c r="C1712" s="2">
        <v>45970</v>
      </c>
      <c r="D1712" s="2" t="str">
        <f>CHOOSE(MONTH(branches[[#This Row],[Дата]]),"Январь","Февраль","Март","Апрель","Май","Июнь","Июль","Август","Сентябрь","Октябрь","Ноябрь","Декабрь")&amp;" "&amp;YEAR(branches[[#This Row],[Дата]])</f>
        <v>Ноябрь 2025</v>
      </c>
      <c r="E1712" t="s">
        <v>20</v>
      </c>
      <c r="F1712" t="s">
        <v>12</v>
      </c>
      <c r="G1712">
        <v>1</v>
      </c>
      <c r="H1712">
        <v>246</v>
      </c>
      <c r="I1712" t="s">
        <v>13</v>
      </c>
      <c r="J1712" t="str">
        <f>_xlfn.XLOOKUP(branches[[#This Row],[Филиал]], tbl_Filialy[Филиал], tbl_Filialy[Менеджер])</f>
        <v>Ирина Соколова</v>
      </c>
    </row>
    <row r="1713" spans="1:10" x14ac:dyDescent="0.3">
      <c r="A1713" t="str">
        <f>_xlfn.XLOOKUP(branches[[#This Row],[Филиал]], tbl_Filialy[Филиал], tbl_Filialy[Город])</f>
        <v>Москва</v>
      </c>
      <c r="B1713" s="1" t="s">
        <v>36</v>
      </c>
      <c r="C1713" s="2">
        <v>45854</v>
      </c>
      <c r="D1713" s="2" t="str">
        <f>CHOOSE(MONTH(branches[[#This Row],[Дата]]),"Январь","Февраль","Март","Апрель","Май","Июнь","Июль","Август","Сентябрь","Октябрь","Ноябрь","Декабрь")&amp;" "&amp;YEAR(branches[[#This Row],[Дата]])</f>
        <v>Июль 2025</v>
      </c>
      <c r="E1713" t="s">
        <v>18</v>
      </c>
      <c r="F1713" t="s">
        <v>12</v>
      </c>
      <c r="G1713">
        <v>1</v>
      </c>
      <c r="H1713">
        <v>158</v>
      </c>
      <c r="I1713" t="s">
        <v>19</v>
      </c>
      <c r="J1713" t="str">
        <f>_xlfn.XLOOKUP(branches[[#This Row],[Филиал]], tbl_Filialy[Филиал], tbl_Filialy[Менеджер])</f>
        <v>Ирина Соколова</v>
      </c>
    </row>
    <row r="1714" spans="1:10" x14ac:dyDescent="0.3">
      <c r="A1714" t="str">
        <f>_xlfn.XLOOKUP(branches[[#This Row],[Филиал]], tbl_Filialy[Филиал], tbl_Filialy[Город])</f>
        <v>Москва</v>
      </c>
      <c r="B1714" s="1" t="s">
        <v>36</v>
      </c>
      <c r="C1714" s="2">
        <v>45670</v>
      </c>
      <c r="D1714" s="2" t="str">
        <f>CHOOSE(MONTH(branches[[#This Row],[Дата]]),"Январь","Февраль","Март","Апрель","Май","Июнь","Июль","Август","Сентябрь","Октябрь","Ноябрь","Декабрь")&amp;" "&amp;YEAR(branches[[#This Row],[Дата]])</f>
        <v>Январь 2025</v>
      </c>
      <c r="E1714" t="s">
        <v>24</v>
      </c>
      <c r="F1714" t="s">
        <v>17</v>
      </c>
      <c r="G1714">
        <v>1</v>
      </c>
      <c r="H1714">
        <v>374</v>
      </c>
      <c r="I1714" t="s">
        <v>13</v>
      </c>
      <c r="J1714" t="str">
        <f>_xlfn.XLOOKUP(branches[[#This Row],[Филиал]], tbl_Filialy[Филиал], tbl_Filialy[Менеджер])</f>
        <v>Ирина Соколова</v>
      </c>
    </row>
    <row r="1715" spans="1:10" x14ac:dyDescent="0.3">
      <c r="A1715" t="str">
        <f>_xlfn.XLOOKUP(branches[[#This Row],[Филиал]], tbl_Filialy[Филиал], tbl_Filialy[Город])</f>
        <v>Москва</v>
      </c>
      <c r="B1715" s="1" t="s">
        <v>36</v>
      </c>
      <c r="C1715" s="2">
        <v>46006</v>
      </c>
      <c r="D1715" s="2" t="str">
        <f>CHOOSE(MONTH(branches[[#This Row],[Дата]]),"Январь","Февраль","Март","Апрель","Май","Июнь","Июль","Август","Сентябрь","Октябрь","Ноябрь","Декабрь")&amp;" "&amp;YEAR(branches[[#This Row],[Дата]])</f>
        <v>Декабрь 2025</v>
      </c>
      <c r="E1715" t="s">
        <v>27</v>
      </c>
      <c r="F1715" t="s">
        <v>12</v>
      </c>
      <c r="G1715">
        <v>1</v>
      </c>
      <c r="H1715">
        <v>212</v>
      </c>
      <c r="I1715" t="s">
        <v>10</v>
      </c>
      <c r="J1715" t="str">
        <f>_xlfn.XLOOKUP(branches[[#This Row],[Филиал]], tbl_Filialy[Филиал], tbl_Filialy[Менеджер])</f>
        <v>Ирина Соколова</v>
      </c>
    </row>
    <row r="1716" spans="1:10" x14ac:dyDescent="0.3">
      <c r="A1716" t="str">
        <f>_xlfn.XLOOKUP(branches[[#This Row],[Филиал]], tbl_Filialy[Филиал], tbl_Filialy[Город])</f>
        <v>Москва</v>
      </c>
      <c r="B1716" s="1" t="s">
        <v>36</v>
      </c>
      <c r="C1716" s="2">
        <v>45670</v>
      </c>
      <c r="D1716" s="2" t="str">
        <f>CHOOSE(MONTH(branches[[#This Row],[Дата]]),"Январь","Февраль","Март","Апрель","Май","Июнь","Июль","Август","Сентябрь","Октябрь","Ноябрь","Декабрь")&amp;" "&amp;YEAR(branches[[#This Row],[Дата]])</f>
        <v>Январь 2025</v>
      </c>
      <c r="E1716" t="s">
        <v>26</v>
      </c>
      <c r="F1716" t="s">
        <v>9</v>
      </c>
      <c r="G1716">
        <v>1</v>
      </c>
      <c r="H1716">
        <v>209</v>
      </c>
      <c r="I1716" t="s">
        <v>19</v>
      </c>
      <c r="J1716" t="str">
        <f>_xlfn.XLOOKUP(branches[[#This Row],[Филиал]], tbl_Filialy[Филиал], tbl_Filialy[Менеджер])</f>
        <v>Ирина Соколова</v>
      </c>
    </row>
    <row r="1717" spans="1:10" x14ac:dyDescent="0.3">
      <c r="A1717" t="str">
        <f>_xlfn.XLOOKUP(branches[[#This Row],[Филиал]], tbl_Filialy[Филиал], tbl_Filialy[Город])</f>
        <v>Москва</v>
      </c>
      <c r="B1717" s="1" t="s">
        <v>36</v>
      </c>
      <c r="C1717" s="2">
        <v>45767</v>
      </c>
      <c r="D1717" s="2" t="str">
        <f>CHOOSE(MONTH(branches[[#This Row],[Дата]]),"Январь","Февраль","Март","Апрель","Май","Июнь","Июль","Август","Сентябрь","Октябрь","Ноябрь","Декабрь")&amp;" "&amp;YEAR(branches[[#This Row],[Дата]])</f>
        <v>Апрель 2025</v>
      </c>
      <c r="E1717" t="s">
        <v>24</v>
      </c>
      <c r="F1717" t="s">
        <v>17</v>
      </c>
      <c r="G1717">
        <v>2</v>
      </c>
      <c r="H1717">
        <v>804</v>
      </c>
      <c r="I1717" t="s">
        <v>10</v>
      </c>
      <c r="J1717" t="str">
        <f>_xlfn.XLOOKUP(branches[[#This Row],[Филиал]], tbl_Filialy[Филиал], tbl_Filialy[Менеджер])</f>
        <v>Ирина Соколова</v>
      </c>
    </row>
    <row r="1718" spans="1:10" x14ac:dyDescent="0.3">
      <c r="A1718" t="str">
        <f>_xlfn.XLOOKUP(branches[[#This Row],[Филиал]], tbl_Filialy[Филиал], tbl_Filialy[Город])</f>
        <v>Москва</v>
      </c>
      <c r="B1718" s="1" t="s">
        <v>36</v>
      </c>
      <c r="C1718" s="2">
        <v>45905</v>
      </c>
      <c r="D1718" s="2" t="str">
        <f>CHOOSE(MONTH(branches[[#This Row],[Дата]]),"Январь","Февраль","Март","Апрель","Май","Июнь","Июль","Август","Сентябрь","Октябрь","Ноябрь","Декабрь")&amp;" "&amp;YEAR(branches[[#This Row],[Дата]])</f>
        <v>Сентябрь 2025</v>
      </c>
      <c r="E1718" t="s">
        <v>22</v>
      </c>
      <c r="F1718" t="s">
        <v>9</v>
      </c>
      <c r="G1718">
        <v>1</v>
      </c>
      <c r="H1718">
        <v>196</v>
      </c>
      <c r="I1718" t="s">
        <v>19</v>
      </c>
      <c r="J1718" t="str">
        <f>_xlfn.XLOOKUP(branches[[#This Row],[Филиал]], tbl_Filialy[Филиал], tbl_Filialy[Менеджер])</f>
        <v>Ирина Соколова</v>
      </c>
    </row>
    <row r="1719" spans="1:10" x14ac:dyDescent="0.3">
      <c r="A1719" t="str">
        <f>_xlfn.XLOOKUP(branches[[#This Row],[Филиал]], tbl_Filialy[Филиал], tbl_Filialy[Город])</f>
        <v>Москва</v>
      </c>
      <c r="B1719" s="1" t="s">
        <v>36</v>
      </c>
      <c r="C1719" s="2">
        <v>45983</v>
      </c>
      <c r="D1719" s="2" t="str">
        <f>CHOOSE(MONTH(branches[[#This Row],[Дата]]),"Январь","Февраль","Март","Апрель","Май","Июнь","Июль","Август","Сентябрь","Октябрь","Ноябрь","Декабрь")&amp;" "&amp;YEAR(branches[[#This Row],[Дата]])</f>
        <v>Ноябрь 2025</v>
      </c>
      <c r="E1719" t="s">
        <v>24</v>
      </c>
      <c r="F1719" t="s">
        <v>17</v>
      </c>
      <c r="G1719">
        <v>1</v>
      </c>
      <c r="H1719">
        <v>342</v>
      </c>
      <c r="I1719" t="s">
        <v>23</v>
      </c>
      <c r="J1719" t="str">
        <f>_xlfn.XLOOKUP(branches[[#This Row],[Филиал]], tbl_Filialy[Филиал], tbl_Filialy[Менеджер])</f>
        <v>Ирина Соколова</v>
      </c>
    </row>
    <row r="1720" spans="1:10" x14ac:dyDescent="0.3">
      <c r="A1720" t="str">
        <f>_xlfn.XLOOKUP(branches[[#This Row],[Филиал]], tbl_Filialy[Филиал], tbl_Filialy[Город])</f>
        <v>Москва</v>
      </c>
      <c r="B1720" s="1" t="s">
        <v>36</v>
      </c>
      <c r="C1720" s="2">
        <v>45998</v>
      </c>
      <c r="D1720" s="2" t="str">
        <f>CHOOSE(MONTH(branches[[#This Row],[Дата]]),"Январь","Февраль","Март","Апрель","Май","Июнь","Июль","Август","Сентябрь","Октябрь","Ноябрь","Декабрь")&amp;" "&amp;YEAR(branches[[#This Row],[Дата]])</f>
        <v>Декабрь 2025</v>
      </c>
      <c r="E1720" t="s">
        <v>8</v>
      </c>
      <c r="F1720" t="s">
        <v>9</v>
      </c>
      <c r="G1720">
        <v>3</v>
      </c>
      <c r="H1720">
        <v>819</v>
      </c>
      <c r="I1720" t="s">
        <v>23</v>
      </c>
      <c r="J1720" t="str">
        <f>_xlfn.XLOOKUP(branches[[#This Row],[Филиал]], tbl_Filialy[Филиал], tbl_Filialy[Менеджер])</f>
        <v>Ирина Соколова</v>
      </c>
    </row>
    <row r="1721" spans="1:10" x14ac:dyDescent="0.3">
      <c r="A1721" t="str">
        <f>_xlfn.XLOOKUP(branches[[#This Row],[Филиал]], tbl_Filialy[Филиал], tbl_Filialy[Город])</f>
        <v>Москва</v>
      </c>
      <c r="B1721" s="1" t="s">
        <v>36</v>
      </c>
      <c r="C1721" s="2">
        <v>45662</v>
      </c>
      <c r="D1721" s="2" t="str">
        <f>CHOOSE(MONTH(branches[[#This Row],[Дата]]),"Январь","Февраль","Март","Апрель","Май","Июнь","Июль","Август","Сентябрь","Октябрь","Ноябрь","Декабрь")&amp;" "&amp;YEAR(branches[[#This Row],[Дата]])</f>
        <v>Январь 2025</v>
      </c>
      <c r="E1721" t="s">
        <v>25</v>
      </c>
      <c r="F1721" t="s">
        <v>12</v>
      </c>
      <c r="G1721">
        <v>3</v>
      </c>
      <c r="H1721">
        <v>672</v>
      </c>
      <c r="I1721" t="s">
        <v>10</v>
      </c>
      <c r="J1721" t="str">
        <f>_xlfn.XLOOKUP(branches[[#This Row],[Филиал]], tbl_Filialy[Филиал], tbl_Filialy[Менеджер])</f>
        <v>Ирина Соколова</v>
      </c>
    </row>
    <row r="1722" spans="1:10" x14ac:dyDescent="0.3">
      <c r="A1722" t="str">
        <f>_xlfn.XLOOKUP(branches[[#This Row],[Филиал]], tbl_Filialy[Филиал], tbl_Filialy[Город])</f>
        <v>Москва</v>
      </c>
      <c r="B1722" s="1" t="s">
        <v>36</v>
      </c>
      <c r="C1722" s="2">
        <v>45725</v>
      </c>
      <c r="D1722" s="2" t="str">
        <f>CHOOSE(MONTH(branches[[#This Row],[Дата]]),"Январь","Февраль","Март","Апрель","Май","Июнь","Июль","Август","Сентябрь","Октябрь","Ноябрь","Декабрь")&amp;" "&amp;YEAR(branches[[#This Row],[Дата]])</f>
        <v>Март 2025</v>
      </c>
      <c r="E1722" t="s">
        <v>25</v>
      </c>
      <c r="F1722" t="s">
        <v>12</v>
      </c>
      <c r="G1722">
        <v>3</v>
      </c>
      <c r="H1722">
        <v>696</v>
      </c>
      <c r="I1722" t="s">
        <v>10</v>
      </c>
      <c r="J1722" t="str">
        <f>_xlfn.XLOOKUP(branches[[#This Row],[Филиал]], tbl_Filialy[Филиал], tbl_Filialy[Менеджер])</f>
        <v>Ирина Соколова</v>
      </c>
    </row>
    <row r="1723" spans="1:10" x14ac:dyDescent="0.3">
      <c r="A1723" t="str">
        <f>_xlfn.XLOOKUP(branches[[#This Row],[Филиал]], tbl_Filialy[Филиал], tbl_Filialy[Город])</f>
        <v>Москва</v>
      </c>
      <c r="B1723" s="1" t="s">
        <v>36</v>
      </c>
      <c r="C1723" s="2">
        <v>45925</v>
      </c>
      <c r="D1723" s="2" t="str">
        <f>CHOOSE(MONTH(branches[[#This Row],[Дата]]),"Январь","Февраль","Март","Апрель","Май","Июнь","Июль","Август","Сентябрь","Октябрь","Ноябрь","Декабрь")&amp;" "&amp;YEAR(branches[[#This Row],[Дата]])</f>
        <v>Сентябрь 2025</v>
      </c>
      <c r="E1723" t="s">
        <v>16</v>
      </c>
      <c r="F1723" t="s">
        <v>17</v>
      </c>
      <c r="G1723">
        <v>1</v>
      </c>
      <c r="H1723">
        <v>606</v>
      </c>
      <c r="I1723" t="s">
        <v>21</v>
      </c>
      <c r="J1723" t="str">
        <f>_xlfn.XLOOKUP(branches[[#This Row],[Филиал]], tbl_Filialy[Филиал], tbl_Filialy[Менеджер])</f>
        <v>Ирина Соколова</v>
      </c>
    </row>
    <row r="1724" spans="1:10" x14ac:dyDescent="0.3">
      <c r="A1724" t="str">
        <f>_xlfn.XLOOKUP(branches[[#This Row],[Филиал]], tbl_Filialy[Филиал], tbl_Filialy[Город])</f>
        <v>Москва</v>
      </c>
      <c r="B1724" s="1" t="s">
        <v>36</v>
      </c>
      <c r="C1724" s="2">
        <v>45982</v>
      </c>
      <c r="D1724" s="2" t="str">
        <f>CHOOSE(MONTH(branches[[#This Row],[Дата]]),"Январь","Февраль","Март","Апрель","Май","Июнь","Июль","Август","Сентябрь","Октябрь","Ноябрь","Декабрь")&amp;" "&amp;YEAR(branches[[#This Row],[Дата]])</f>
        <v>Ноябрь 2025</v>
      </c>
      <c r="E1724" t="s">
        <v>11</v>
      </c>
      <c r="F1724" t="s">
        <v>12</v>
      </c>
      <c r="G1724">
        <v>3</v>
      </c>
      <c r="H1724">
        <v>522</v>
      </c>
      <c r="I1724" t="s">
        <v>10</v>
      </c>
      <c r="J1724" t="str">
        <f>_xlfn.XLOOKUP(branches[[#This Row],[Филиал]], tbl_Filialy[Филиал], tbl_Filialy[Менеджер])</f>
        <v>Ирина Соколова</v>
      </c>
    </row>
    <row r="1725" spans="1:10" x14ac:dyDescent="0.3">
      <c r="A1725" t="str">
        <f>_xlfn.XLOOKUP(branches[[#This Row],[Филиал]], tbl_Filialy[Филиал], tbl_Filialy[Город])</f>
        <v>Москва</v>
      </c>
      <c r="B1725" s="1" t="s">
        <v>36</v>
      </c>
      <c r="C1725" s="2">
        <v>45963</v>
      </c>
      <c r="D1725" s="2" t="str">
        <f>CHOOSE(MONTH(branches[[#This Row],[Дата]]),"Январь","Февраль","Март","Апрель","Май","Июнь","Июль","Август","Сентябрь","Октябрь","Ноябрь","Декабрь")&amp;" "&amp;YEAR(branches[[#This Row],[Дата]])</f>
        <v>Ноябрь 2025</v>
      </c>
      <c r="E1725" t="s">
        <v>24</v>
      </c>
      <c r="F1725" t="s">
        <v>17</v>
      </c>
      <c r="G1725">
        <v>1</v>
      </c>
      <c r="H1725">
        <v>404</v>
      </c>
      <c r="I1725" t="s">
        <v>23</v>
      </c>
      <c r="J1725" t="str">
        <f>_xlfn.XLOOKUP(branches[[#This Row],[Филиал]], tbl_Filialy[Филиал], tbl_Filialy[Менеджер])</f>
        <v>Ирина Соколова</v>
      </c>
    </row>
    <row r="1726" spans="1:10" x14ac:dyDescent="0.3">
      <c r="A1726" t="str">
        <f>_xlfn.XLOOKUP(branches[[#This Row],[Филиал]], tbl_Filialy[Филиал], tbl_Filialy[Город])</f>
        <v>Москва</v>
      </c>
      <c r="B1726" s="1" t="s">
        <v>36</v>
      </c>
      <c r="C1726" s="2">
        <v>45915</v>
      </c>
      <c r="D1726" s="2" t="str">
        <f>CHOOSE(MONTH(branches[[#This Row],[Дата]]),"Январь","Февраль","Март","Апрель","Май","Июнь","Июль","Август","Сентябрь","Октябрь","Ноябрь","Декабрь")&amp;" "&amp;YEAR(branches[[#This Row],[Дата]])</f>
        <v>Сентябрь 2025</v>
      </c>
      <c r="E1726" t="s">
        <v>11</v>
      </c>
      <c r="F1726" t="s">
        <v>12</v>
      </c>
      <c r="G1726">
        <v>3</v>
      </c>
      <c r="H1726">
        <v>525</v>
      </c>
      <c r="I1726" t="s">
        <v>19</v>
      </c>
      <c r="J1726" t="str">
        <f>_xlfn.XLOOKUP(branches[[#This Row],[Филиал]], tbl_Filialy[Филиал], tbl_Filialy[Менеджер])</f>
        <v>Ирина Соколова</v>
      </c>
    </row>
    <row r="1727" spans="1:10" x14ac:dyDescent="0.3">
      <c r="A1727" t="str">
        <f>_xlfn.XLOOKUP(branches[[#This Row],[Филиал]], tbl_Filialy[Филиал], tbl_Filialy[Город])</f>
        <v>Москва</v>
      </c>
      <c r="B1727" s="1" t="s">
        <v>36</v>
      </c>
      <c r="C1727" s="2">
        <v>45902</v>
      </c>
      <c r="D1727" s="2" t="str">
        <f>CHOOSE(MONTH(branches[[#This Row],[Дата]]),"Январь","Февраль","Март","Апрель","Май","Июнь","Июль","Август","Сентябрь","Октябрь","Ноябрь","Декабрь")&amp;" "&amp;YEAR(branches[[#This Row],[Дата]])</f>
        <v>Сентябрь 2025</v>
      </c>
      <c r="E1727" t="s">
        <v>18</v>
      </c>
      <c r="F1727" t="s">
        <v>12</v>
      </c>
      <c r="G1727">
        <v>1</v>
      </c>
      <c r="H1727">
        <v>132</v>
      </c>
      <c r="I1727" t="s">
        <v>10</v>
      </c>
      <c r="J1727" t="str">
        <f>_xlfn.XLOOKUP(branches[[#This Row],[Филиал]], tbl_Filialy[Филиал], tbl_Filialy[Менеджер])</f>
        <v>Ирина Соколова</v>
      </c>
    </row>
    <row r="1728" spans="1:10" x14ac:dyDescent="0.3">
      <c r="A1728" t="str">
        <f>_xlfn.XLOOKUP(branches[[#This Row],[Филиал]], tbl_Filialy[Филиал], tbl_Filialy[Город])</f>
        <v>Москва</v>
      </c>
      <c r="B1728" s="1" t="s">
        <v>36</v>
      </c>
      <c r="C1728" s="2">
        <v>45662</v>
      </c>
      <c r="D1728" s="2" t="str">
        <f>CHOOSE(MONTH(branches[[#This Row],[Дата]]),"Январь","Февраль","Март","Апрель","Май","Июнь","Июль","Август","Сентябрь","Октябрь","Ноябрь","Декабрь")&amp;" "&amp;YEAR(branches[[#This Row],[Дата]])</f>
        <v>Январь 2025</v>
      </c>
      <c r="E1728" t="s">
        <v>25</v>
      </c>
      <c r="F1728" t="s">
        <v>12</v>
      </c>
      <c r="G1728">
        <v>1</v>
      </c>
      <c r="H1728">
        <v>212</v>
      </c>
      <c r="I1728" t="s">
        <v>21</v>
      </c>
      <c r="J1728" t="str">
        <f>_xlfn.XLOOKUP(branches[[#This Row],[Филиал]], tbl_Filialy[Филиал], tbl_Filialy[Менеджер])</f>
        <v>Ирина Соколова</v>
      </c>
    </row>
    <row r="1729" spans="1:10" x14ac:dyDescent="0.3">
      <c r="A1729" t="str">
        <f>_xlfn.XLOOKUP(branches[[#This Row],[Филиал]], tbl_Filialy[Филиал], tbl_Filialy[Город])</f>
        <v>Москва</v>
      </c>
      <c r="B1729" s="1" t="s">
        <v>36</v>
      </c>
      <c r="C1729" s="2">
        <v>45714</v>
      </c>
      <c r="D1729" s="2" t="str">
        <f>CHOOSE(MONTH(branches[[#This Row],[Дата]]),"Январь","Февраль","Март","Апрель","Май","Июнь","Июль","Август","Сентябрь","Октябрь","Ноябрь","Декабрь")&amp;" "&amp;YEAR(branches[[#This Row],[Дата]])</f>
        <v>Февраль 2025</v>
      </c>
      <c r="E1729" t="s">
        <v>27</v>
      </c>
      <c r="F1729" t="s">
        <v>12</v>
      </c>
      <c r="G1729">
        <v>1</v>
      </c>
      <c r="H1729">
        <v>203</v>
      </c>
      <c r="I1729" t="s">
        <v>23</v>
      </c>
      <c r="J1729" t="str">
        <f>_xlfn.XLOOKUP(branches[[#This Row],[Филиал]], tbl_Filialy[Филиал], tbl_Filialy[Менеджер])</f>
        <v>Ирина Соколова</v>
      </c>
    </row>
    <row r="1730" spans="1:10" x14ac:dyDescent="0.3">
      <c r="A1730" t="str">
        <f>_xlfn.XLOOKUP(branches[[#This Row],[Филиал]], tbl_Filialy[Филиал], tbl_Filialy[Город])</f>
        <v>Москва</v>
      </c>
      <c r="B1730" s="1" t="s">
        <v>36</v>
      </c>
      <c r="C1730" s="2">
        <v>45914</v>
      </c>
      <c r="D1730" s="2" t="str">
        <f>CHOOSE(MONTH(branches[[#This Row],[Дата]]),"Январь","Февраль","Март","Апрель","Май","Июнь","Июль","Август","Сентябрь","Октябрь","Ноябрь","Декабрь")&amp;" "&amp;YEAR(branches[[#This Row],[Дата]])</f>
        <v>Сентябрь 2025</v>
      </c>
      <c r="E1730" t="s">
        <v>24</v>
      </c>
      <c r="F1730" t="s">
        <v>17</v>
      </c>
      <c r="G1730">
        <v>2</v>
      </c>
      <c r="H1730">
        <v>804</v>
      </c>
      <c r="I1730" t="s">
        <v>15</v>
      </c>
      <c r="J1730" t="str">
        <f>_xlfn.XLOOKUP(branches[[#This Row],[Филиал]], tbl_Filialy[Филиал], tbl_Filialy[Менеджер])</f>
        <v>Ирина Соколова</v>
      </c>
    </row>
    <row r="1731" spans="1:10" x14ac:dyDescent="0.3">
      <c r="A1731" t="str">
        <f>_xlfn.XLOOKUP(branches[[#This Row],[Филиал]], tbl_Filialy[Филиал], tbl_Filialy[Город])</f>
        <v>Москва</v>
      </c>
      <c r="B1731" s="1" t="s">
        <v>36</v>
      </c>
      <c r="C1731" s="2">
        <v>45702</v>
      </c>
      <c r="D1731" s="2" t="str">
        <f>CHOOSE(MONTH(branches[[#This Row],[Дата]]),"Январь","Февраль","Март","Апрель","Май","Июнь","Июль","Август","Сентябрь","Октябрь","Ноябрь","Декабрь")&amp;" "&amp;YEAR(branches[[#This Row],[Дата]])</f>
        <v>Февраль 2025</v>
      </c>
      <c r="E1731" t="s">
        <v>27</v>
      </c>
      <c r="F1731" t="s">
        <v>12</v>
      </c>
      <c r="G1731">
        <v>2</v>
      </c>
      <c r="H1731">
        <v>370</v>
      </c>
      <c r="I1731" t="s">
        <v>13</v>
      </c>
      <c r="J1731" t="str">
        <f>_xlfn.XLOOKUP(branches[[#This Row],[Филиал]], tbl_Filialy[Филиал], tbl_Filialy[Менеджер])</f>
        <v>Ирина Соколова</v>
      </c>
    </row>
    <row r="1732" spans="1:10" x14ac:dyDescent="0.3">
      <c r="A1732" t="str">
        <f>_xlfn.XLOOKUP(branches[[#This Row],[Филиал]], tbl_Filialy[Филиал], tbl_Filialy[Город])</f>
        <v>Москва</v>
      </c>
      <c r="B1732" s="1" t="s">
        <v>36</v>
      </c>
      <c r="C1732" s="2">
        <v>45828</v>
      </c>
      <c r="D1732" s="2" t="str">
        <f>CHOOSE(MONTH(branches[[#This Row],[Дата]]),"Январь","Февраль","Март","Апрель","Май","Июнь","Июль","Август","Сентябрь","Октябрь","Ноябрь","Декабрь")&amp;" "&amp;YEAR(branches[[#This Row],[Дата]])</f>
        <v>Июнь 2025</v>
      </c>
      <c r="E1732" t="s">
        <v>22</v>
      </c>
      <c r="F1732" t="s">
        <v>9</v>
      </c>
      <c r="G1732">
        <v>2</v>
      </c>
      <c r="H1732">
        <v>348</v>
      </c>
      <c r="I1732" t="s">
        <v>23</v>
      </c>
      <c r="J1732" t="str">
        <f>_xlfn.XLOOKUP(branches[[#This Row],[Филиал]], tbl_Filialy[Филиал], tbl_Filialy[Менеджер])</f>
        <v>Ирина Соколова</v>
      </c>
    </row>
    <row r="1733" spans="1:10" x14ac:dyDescent="0.3">
      <c r="A1733" t="str">
        <f>_xlfn.XLOOKUP(branches[[#This Row],[Филиал]], tbl_Filialy[Филиал], tbl_Filialy[Город])</f>
        <v>Москва</v>
      </c>
      <c r="B1733" s="1" t="s">
        <v>36</v>
      </c>
      <c r="C1733" s="2">
        <v>45666</v>
      </c>
      <c r="D1733" s="2" t="str">
        <f>CHOOSE(MONTH(branches[[#This Row],[Дата]]),"Январь","Февраль","Март","Апрель","Май","Июнь","Июль","Август","Сентябрь","Октябрь","Ноябрь","Декабрь")&amp;" "&amp;YEAR(branches[[#This Row],[Дата]])</f>
        <v>Январь 2025</v>
      </c>
      <c r="E1733" t="s">
        <v>11</v>
      </c>
      <c r="F1733" t="s">
        <v>12</v>
      </c>
      <c r="G1733">
        <v>2</v>
      </c>
      <c r="H1733">
        <v>338</v>
      </c>
      <c r="I1733" t="s">
        <v>13</v>
      </c>
      <c r="J1733" t="str">
        <f>_xlfn.XLOOKUP(branches[[#This Row],[Филиал]], tbl_Filialy[Филиал], tbl_Filialy[Менеджер])</f>
        <v>Ирина Соколова</v>
      </c>
    </row>
    <row r="1734" spans="1:10" x14ac:dyDescent="0.3">
      <c r="A1734" t="str">
        <f>_xlfn.XLOOKUP(branches[[#This Row],[Филиал]], tbl_Filialy[Филиал], tbl_Filialy[Город])</f>
        <v>Москва</v>
      </c>
      <c r="B1734" s="1" t="s">
        <v>36</v>
      </c>
      <c r="C1734" s="2">
        <v>45861</v>
      </c>
      <c r="D1734" s="2" t="str">
        <f>CHOOSE(MONTH(branches[[#This Row],[Дата]]),"Январь","Февраль","Март","Апрель","Май","Июнь","Июль","Август","Сентябрь","Октябрь","Ноябрь","Декабрь")&amp;" "&amp;YEAR(branches[[#This Row],[Дата]])</f>
        <v>Июль 2025</v>
      </c>
      <c r="E1734" t="s">
        <v>25</v>
      </c>
      <c r="F1734" t="s">
        <v>12</v>
      </c>
      <c r="G1734">
        <v>2</v>
      </c>
      <c r="H1734">
        <v>440</v>
      </c>
      <c r="I1734" t="s">
        <v>13</v>
      </c>
      <c r="J1734" t="str">
        <f>_xlfn.XLOOKUP(branches[[#This Row],[Филиал]], tbl_Filialy[Филиал], tbl_Filialy[Менеджер])</f>
        <v>Ирина Соколова</v>
      </c>
    </row>
    <row r="1735" spans="1:10" x14ac:dyDescent="0.3">
      <c r="A1735" t="str">
        <f>_xlfn.XLOOKUP(branches[[#This Row],[Филиал]], tbl_Filialy[Филиал], tbl_Filialy[Город])</f>
        <v>Москва</v>
      </c>
      <c r="B1735" s="1" t="s">
        <v>36</v>
      </c>
      <c r="C1735" s="2">
        <v>45871</v>
      </c>
      <c r="D1735" s="2" t="str">
        <f>CHOOSE(MONTH(branches[[#This Row],[Дата]]),"Январь","Февраль","Март","Апрель","Май","Июнь","Июль","Август","Сентябрь","Октябрь","Ноябрь","Декабрь")&amp;" "&amp;YEAR(branches[[#This Row],[Дата]])</f>
        <v>Август 2025</v>
      </c>
      <c r="E1735" t="s">
        <v>20</v>
      </c>
      <c r="F1735" t="s">
        <v>12</v>
      </c>
      <c r="G1735">
        <v>1</v>
      </c>
      <c r="H1735">
        <v>262</v>
      </c>
      <c r="I1735" t="s">
        <v>10</v>
      </c>
      <c r="J1735" t="str">
        <f>_xlfn.XLOOKUP(branches[[#This Row],[Филиал]], tbl_Filialy[Филиал], tbl_Filialy[Менеджер])</f>
        <v>Ирина Соколова</v>
      </c>
    </row>
    <row r="1736" spans="1:10" x14ac:dyDescent="0.3">
      <c r="A1736" t="str">
        <f>_xlfn.XLOOKUP(branches[[#This Row],[Филиал]], tbl_Filialy[Филиал], tbl_Filialy[Город])</f>
        <v>Москва</v>
      </c>
      <c r="B1736" s="1" t="s">
        <v>36</v>
      </c>
      <c r="C1736" s="2">
        <v>45810</v>
      </c>
      <c r="D1736" s="2" t="str">
        <f>CHOOSE(MONTH(branches[[#This Row],[Дата]]),"Январь","Февраль","Март","Апрель","Май","Июнь","Июль","Август","Сентябрь","Октябрь","Ноябрь","Декабрь")&amp;" "&amp;YEAR(branches[[#This Row],[Дата]])</f>
        <v>Июнь 2025</v>
      </c>
      <c r="E1736" t="s">
        <v>8</v>
      </c>
      <c r="F1736" t="s">
        <v>9</v>
      </c>
      <c r="G1736">
        <v>3</v>
      </c>
      <c r="H1736">
        <v>726</v>
      </c>
      <c r="I1736" t="s">
        <v>15</v>
      </c>
      <c r="J1736" t="str">
        <f>_xlfn.XLOOKUP(branches[[#This Row],[Филиал]], tbl_Filialy[Филиал], tbl_Filialy[Менеджер])</f>
        <v>Ирина Соколова</v>
      </c>
    </row>
    <row r="1737" spans="1:10" x14ac:dyDescent="0.3">
      <c r="A1737" t="str">
        <f>_xlfn.XLOOKUP(branches[[#This Row],[Филиал]], tbl_Filialy[Филиал], tbl_Filialy[Город])</f>
        <v>Москва</v>
      </c>
      <c r="B1737" s="1" t="s">
        <v>36</v>
      </c>
      <c r="C1737" s="2">
        <v>45998</v>
      </c>
      <c r="D1737" s="2" t="str">
        <f>CHOOSE(MONTH(branches[[#This Row],[Дата]]),"Январь","Февраль","Март","Апрель","Май","Июнь","Июль","Август","Сентябрь","Октябрь","Ноябрь","Декабрь")&amp;" "&amp;YEAR(branches[[#This Row],[Дата]])</f>
        <v>Декабрь 2025</v>
      </c>
      <c r="E1737" t="s">
        <v>20</v>
      </c>
      <c r="F1737" t="s">
        <v>12</v>
      </c>
      <c r="G1737">
        <v>1</v>
      </c>
      <c r="H1737">
        <v>246</v>
      </c>
      <c r="I1737" t="s">
        <v>21</v>
      </c>
      <c r="J1737" t="str">
        <f>_xlfn.XLOOKUP(branches[[#This Row],[Филиал]], tbl_Filialy[Филиал], tbl_Filialy[Менеджер])</f>
        <v>Ирина Соколова</v>
      </c>
    </row>
    <row r="1738" spans="1:10" x14ac:dyDescent="0.3">
      <c r="A1738" t="str">
        <f>_xlfn.XLOOKUP(branches[[#This Row],[Филиал]], tbl_Filialy[Филиал], tbl_Filialy[Город])</f>
        <v>Москва</v>
      </c>
      <c r="B1738" s="1" t="s">
        <v>36</v>
      </c>
      <c r="C1738" s="2">
        <v>45846</v>
      </c>
      <c r="D1738" s="2" t="str">
        <f>CHOOSE(MONTH(branches[[#This Row],[Дата]]),"Январь","Февраль","Март","Апрель","Май","Июнь","Июль","Август","Сентябрь","Октябрь","Ноябрь","Декабрь")&amp;" "&amp;YEAR(branches[[#This Row],[Дата]])</f>
        <v>Июль 2025</v>
      </c>
      <c r="E1738" t="s">
        <v>24</v>
      </c>
      <c r="F1738" t="s">
        <v>17</v>
      </c>
      <c r="G1738">
        <v>3</v>
      </c>
      <c r="H1738">
        <v>1059</v>
      </c>
      <c r="I1738" t="s">
        <v>23</v>
      </c>
      <c r="J1738" t="str">
        <f>_xlfn.XLOOKUP(branches[[#This Row],[Филиал]], tbl_Filialy[Филиал], tbl_Filialy[Менеджер])</f>
        <v>Ирина Соколова</v>
      </c>
    </row>
    <row r="1739" spans="1:10" x14ac:dyDescent="0.3">
      <c r="A1739" t="str">
        <f>_xlfn.XLOOKUP(branches[[#This Row],[Филиал]], tbl_Filialy[Филиал], tbl_Filialy[Город])</f>
        <v>Москва</v>
      </c>
      <c r="B1739" s="1" t="s">
        <v>36</v>
      </c>
      <c r="C1739" s="2">
        <v>45811</v>
      </c>
      <c r="D1739" s="2" t="str">
        <f>CHOOSE(MONTH(branches[[#This Row],[Дата]]),"Январь","Февраль","Март","Апрель","Май","Июнь","Июль","Август","Сентябрь","Октябрь","Ноябрь","Декабрь")&amp;" "&amp;YEAR(branches[[#This Row],[Дата]])</f>
        <v>Июнь 2025</v>
      </c>
      <c r="E1739" t="s">
        <v>28</v>
      </c>
      <c r="F1739" t="s">
        <v>12</v>
      </c>
      <c r="G1739">
        <v>1</v>
      </c>
      <c r="H1739">
        <v>253</v>
      </c>
      <c r="I1739" t="s">
        <v>23</v>
      </c>
      <c r="J1739" t="str">
        <f>_xlfn.XLOOKUP(branches[[#This Row],[Филиал]], tbl_Filialy[Филиал], tbl_Filialy[Менеджер])</f>
        <v>Ирина Соколова</v>
      </c>
    </row>
    <row r="1740" spans="1:10" x14ac:dyDescent="0.3">
      <c r="A1740" t="str">
        <f>_xlfn.XLOOKUP(branches[[#This Row],[Филиал]], tbl_Filialy[Филиал], tbl_Filialy[Город])</f>
        <v>Москва</v>
      </c>
      <c r="B1740" s="1" t="s">
        <v>36</v>
      </c>
      <c r="C1740" s="2">
        <v>46006</v>
      </c>
      <c r="D1740" s="2" t="str">
        <f>CHOOSE(MONTH(branches[[#This Row],[Дата]]),"Январь","Февраль","Март","Апрель","Май","Июнь","Июль","Август","Сентябрь","Октябрь","Ноябрь","Декабрь")&amp;" "&amp;YEAR(branches[[#This Row],[Дата]])</f>
        <v>Декабрь 2025</v>
      </c>
      <c r="E1740" t="s">
        <v>24</v>
      </c>
      <c r="F1740" t="s">
        <v>17</v>
      </c>
      <c r="G1740">
        <v>1</v>
      </c>
      <c r="H1740">
        <v>386</v>
      </c>
      <c r="I1740" t="s">
        <v>21</v>
      </c>
      <c r="J1740" t="str">
        <f>_xlfn.XLOOKUP(branches[[#This Row],[Филиал]], tbl_Filialy[Филиал], tbl_Filialy[Менеджер])</f>
        <v>Ирина Соколова</v>
      </c>
    </row>
    <row r="1741" spans="1:10" x14ac:dyDescent="0.3">
      <c r="A1741" t="str">
        <f>_xlfn.XLOOKUP(branches[[#This Row],[Филиал]], tbl_Filialy[Филиал], tbl_Filialy[Город])</f>
        <v>Москва</v>
      </c>
      <c r="B1741" s="1" t="s">
        <v>36</v>
      </c>
      <c r="C1741" s="2">
        <v>45957</v>
      </c>
      <c r="D1741" s="2" t="str">
        <f>CHOOSE(MONTH(branches[[#This Row],[Дата]]),"Январь","Февраль","Март","Апрель","Май","Июнь","Июль","Август","Сентябрь","Октябрь","Ноябрь","Декабрь")&amp;" "&amp;YEAR(branches[[#This Row],[Дата]])</f>
        <v>Октябрь 2025</v>
      </c>
      <c r="E1741" t="s">
        <v>22</v>
      </c>
      <c r="F1741" t="s">
        <v>9</v>
      </c>
      <c r="G1741">
        <v>2</v>
      </c>
      <c r="H1741">
        <v>354</v>
      </c>
      <c r="I1741" t="s">
        <v>19</v>
      </c>
      <c r="J1741" t="str">
        <f>_xlfn.XLOOKUP(branches[[#This Row],[Филиал]], tbl_Filialy[Филиал], tbl_Filialy[Менеджер])</f>
        <v>Ирина Соколова</v>
      </c>
    </row>
    <row r="1742" spans="1:10" x14ac:dyDescent="0.3">
      <c r="A1742" t="str">
        <f>_xlfn.XLOOKUP(branches[[#This Row],[Филиал]], tbl_Filialy[Филиал], tbl_Filialy[Город])</f>
        <v>Москва</v>
      </c>
      <c r="B1742" s="1" t="s">
        <v>36</v>
      </c>
      <c r="C1742" s="2">
        <v>45973</v>
      </c>
      <c r="D1742" s="2" t="str">
        <f>CHOOSE(MONTH(branches[[#This Row],[Дата]]),"Январь","Февраль","Март","Апрель","Май","Июнь","Июль","Август","Сентябрь","Октябрь","Ноябрь","Декабрь")&amp;" "&amp;YEAR(branches[[#This Row],[Дата]])</f>
        <v>Ноябрь 2025</v>
      </c>
      <c r="E1742" t="s">
        <v>22</v>
      </c>
      <c r="F1742" t="s">
        <v>9</v>
      </c>
      <c r="G1742">
        <v>3</v>
      </c>
      <c r="H1742">
        <v>594</v>
      </c>
      <c r="I1742" t="s">
        <v>15</v>
      </c>
      <c r="J1742" t="str">
        <f>_xlfn.XLOOKUP(branches[[#This Row],[Филиал]], tbl_Filialy[Филиал], tbl_Filialy[Менеджер])</f>
        <v>Ирина Соколова</v>
      </c>
    </row>
    <row r="1743" spans="1:10" x14ac:dyDescent="0.3">
      <c r="A1743" t="str">
        <f>_xlfn.XLOOKUP(branches[[#This Row],[Филиал]], tbl_Filialy[Филиал], tbl_Filialy[Город])</f>
        <v>Москва</v>
      </c>
      <c r="B1743" s="1" t="s">
        <v>36</v>
      </c>
      <c r="C1743" s="2">
        <v>45918</v>
      </c>
      <c r="D1743" s="2" t="str">
        <f>CHOOSE(MONTH(branches[[#This Row],[Дата]]),"Январь","Февраль","Март","Апрель","Май","Июнь","Июль","Август","Сентябрь","Октябрь","Ноябрь","Декабрь")&amp;" "&amp;YEAR(branches[[#This Row],[Дата]])</f>
        <v>Сентябрь 2025</v>
      </c>
      <c r="E1743" t="s">
        <v>8</v>
      </c>
      <c r="F1743" t="s">
        <v>9</v>
      </c>
      <c r="G1743">
        <v>2</v>
      </c>
      <c r="H1743">
        <v>544</v>
      </c>
      <c r="I1743" t="s">
        <v>15</v>
      </c>
      <c r="J1743" t="str">
        <f>_xlfn.XLOOKUP(branches[[#This Row],[Филиал]], tbl_Filialy[Филиал], tbl_Filialy[Менеджер])</f>
        <v>Ирина Соколова</v>
      </c>
    </row>
    <row r="1744" spans="1:10" x14ac:dyDescent="0.3">
      <c r="A1744" t="str">
        <f>_xlfn.XLOOKUP(branches[[#This Row],[Филиал]], tbl_Filialy[Филиал], tbl_Filialy[Город])</f>
        <v>Москва</v>
      </c>
      <c r="B1744" s="1" t="s">
        <v>36</v>
      </c>
      <c r="C1744" s="2">
        <v>45675</v>
      </c>
      <c r="D1744" s="2" t="str">
        <f>CHOOSE(MONTH(branches[[#This Row],[Дата]]),"Январь","Февраль","Март","Апрель","Май","Июнь","Июль","Август","Сентябрь","Октябрь","Ноябрь","Декабрь")&amp;" "&amp;YEAR(branches[[#This Row],[Дата]])</f>
        <v>Январь 2025</v>
      </c>
      <c r="E1744" t="s">
        <v>24</v>
      </c>
      <c r="F1744" t="s">
        <v>17</v>
      </c>
      <c r="G1744">
        <v>1</v>
      </c>
      <c r="H1744">
        <v>422</v>
      </c>
      <c r="I1744" t="s">
        <v>10</v>
      </c>
      <c r="J1744" t="str">
        <f>_xlfn.XLOOKUP(branches[[#This Row],[Филиал]], tbl_Filialy[Филиал], tbl_Filialy[Менеджер])</f>
        <v>Ирина Соколова</v>
      </c>
    </row>
    <row r="1745" spans="1:10" x14ac:dyDescent="0.3">
      <c r="A1745" t="str">
        <f>_xlfn.XLOOKUP(branches[[#This Row],[Филиал]], tbl_Filialy[Филиал], tbl_Filialy[Город])</f>
        <v>Москва</v>
      </c>
      <c r="B1745" s="1" t="s">
        <v>36</v>
      </c>
      <c r="C1745" s="2">
        <v>45915</v>
      </c>
      <c r="D1745" s="2" t="str">
        <f>CHOOSE(MONTH(branches[[#This Row],[Дата]]),"Январь","Февраль","Март","Апрель","Май","Июнь","Июль","Август","Сентябрь","Октябрь","Ноябрь","Декабрь")&amp;" "&amp;YEAR(branches[[#This Row],[Дата]])</f>
        <v>Сентябрь 2025</v>
      </c>
      <c r="E1745" t="s">
        <v>28</v>
      </c>
      <c r="F1745" t="s">
        <v>12</v>
      </c>
      <c r="G1745">
        <v>3</v>
      </c>
      <c r="H1745">
        <v>747</v>
      </c>
      <c r="I1745" t="s">
        <v>23</v>
      </c>
      <c r="J1745" t="str">
        <f>_xlfn.XLOOKUP(branches[[#This Row],[Филиал]], tbl_Filialy[Филиал], tbl_Filialy[Менеджер])</f>
        <v>Ирина Соколова</v>
      </c>
    </row>
    <row r="1746" spans="1:10" x14ac:dyDescent="0.3">
      <c r="A1746" t="str">
        <f>_xlfn.XLOOKUP(branches[[#This Row],[Филиал]], tbl_Filialy[Филиал], tbl_Filialy[Город])</f>
        <v>Москва</v>
      </c>
      <c r="B1746" s="1" t="s">
        <v>36</v>
      </c>
      <c r="C1746" s="2">
        <v>45938</v>
      </c>
      <c r="D1746" s="2" t="str">
        <f>CHOOSE(MONTH(branches[[#This Row],[Дата]]),"Январь","Февраль","Март","Апрель","Май","Июнь","Июль","Август","Сентябрь","Октябрь","Ноябрь","Декабрь")&amp;" "&amp;YEAR(branches[[#This Row],[Дата]])</f>
        <v>Октябрь 2025</v>
      </c>
      <c r="E1746" t="s">
        <v>28</v>
      </c>
      <c r="F1746" t="s">
        <v>12</v>
      </c>
      <c r="G1746">
        <v>1</v>
      </c>
      <c r="H1746">
        <v>228</v>
      </c>
      <c r="I1746" t="s">
        <v>21</v>
      </c>
      <c r="J1746" t="str">
        <f>_xlfn.XLOOKUP(branches[[#This Row],[Филиал]], tbl_Filialy[Филиал], tbl_Filialy[Менеджер])</f>
        <v>Ирина Соколова</v>
      </c>
    </row>
    <row r="1747" spans="1:10" x14ac:dyDescent="0.3">
      <c r="A1747" t="str">
        <f>_xlfn.XLOOKUP(branches[[#This Row],[Филиал]], tbl_Filialy[Филиал], tbl_Filialy[Город])</f>
        <v>Москва</v>
      </c>
      <c r="B1747" s="1" t="s">
        <v>36</v>
      </c>
      <c r="C1747" s="2">
        <v>45985</v>
      </c>
      <c r="D1747" s="2" t="str">
        <f>CHOOSE(MONTH(branches[[#This Row],[Дата]]),"Январь","Февраль","Март","Апрель","Май","Июнь","Июль","Август","Сентябрь","Октябрь","Ноябрь","Декабрь")&amp;" "&amp;YEAR(branches[[#This Row],[Дата]])</f>
        <v>Ноябрь 2025</v>
      </c>
      <c r="E1747" t="s">
        <v>26</v>
      </c>
      <c r="F1747" t="s">
        <v>9</v>
      </c>
      <c r="G1747">
        <v>1</v>
      </c>
      <c r="H1747">
        <v>219</v>
      </c>
      <c r="I1747" t="s">
        <v>13</v>
      </c>
      <c r="J1747" t="str">
        <f>_xlfn.XLOOKUP(branches[[#This Row],[Филиал]], tbl_Filialy[Филиал], tbl_Filialy[Менеджер])</f>
        <v>Ирина Соколова</v>
      </c>
    </row>
    <row r="1748" spans="1:10" x14ac:dyDescent="0.3">
      <c r="A1748" t="str">
        <f>_xlfn.XLOOKUP(branches[[#This Row],[Филиал]], tbl_Filialy[Филиал], tbl_Filialy[Город])</f>
        <v>Москва</v>
      </c>
      <c r="B1748" s="1" t="s">
        <v>36</v>
      </c>
      <c r="C1748" s="2">
        <v>45786</v>
      </c>
      <c r="D1748" s="2" t="str">
        <f>CHOOSE(MONTH(branches[[#This Row],[Дата]]),"Январь","Февраль","Март","Апрель","Май","Июнь","Июль","Август","Сентябрь","Октябрь","Ноябрь","Декабрь")&amp;" "&amp;YEAR(branches[[#This Row],[Дата]])</f>
        <v>Май 2025</v>
      </c>
      <c r="E1748" t="s">
        <v>20</v>
      </c>
      <c r="F1748" t="s">
        <v>12</v>
      </c>
      <c r="G1748">
        <v>2</v>
      </c>
      <c r="H1748">
        <v>618</v>
      </c>
      <c r="I1748" t="s">
        <v>21</v>
      </c>
      <c r="J1748" t="str">
        <f>_xlfn.XLOOKUP(branches[[#This Row],[Филиал]], tbl_Filialy[Филиал], tbl_Filialy[Менеджер])</f>
        <v>Ирина Соколова</v>
      </c>
    </row>
    <row r="1749" spans="1:10" x14ac:dyDescent="0.3">
      <c r="A1749" t="str">
        <f>_xlfn.XLOOKUP(branches[[#This Row],[Филиал]], tbl_Filialy[Филиал], tbl_Filialy[Город])</f>
        <v>Москва</v>
      </c>
      <c r="B1749" s="1" t="s">
        <v>36</v>
      </c>
      <c r="C1749" s="2">
        <v>45723</v>
      </c>
      <c r="D1749" s="2" t="str">
        <f>CHOOSE(MONTH(branches[[#This Row],[Дата]]),"Январь","Февраль","Март","Апрель","Май","Июнь","Июль","Август","Сентябрь","Октябрь","Ноябрь","Декабрь")&amp;" "&amp;YEAR(branches[[#This Row],[Дата]])</f>
        <v>Март 2025</v>
      </c>
      <c r="E1749" t="s">
        <v>22</v>
      </c>
      <c r="F1749" t="s">
        <v>9</v>
      </c>
      <c r="G1749">
        <v>2</v>
      </c>
      <c r="H1749">
        <v>326</v>
      </c>
      <c r="I1749" t="s">
        <v>15</v>
      </c>
      <c r="J1749" t="str">
        <f>_xlfn.XLOOKUP(branches[[#This Row],[Филиал]], tbl_Filialy[Филиал], tbl_Filialy[Менеджер])</f>
        <v>Ирина Соколова</v>
      </c>
    </row>
    <row r="1750" spans="1:10" x14ac:dyDescent="0.3">
      <c r="A1750" t="str">
        <f>_xlfn.XLOOKUP(branches[[#This Row],[Филиал]], tbl_Filialy[Филиал], tbl_Filialy[Город])</f>
        <v>Москва</v>
      </c>
      <c r="B1750" s="1" t="s">
        <v>36</v>
      </c>
      <c r="C1750" s="2">
        <v>45683</v>
      </c>
      <c r="D1750" s="2" t="str">
        <f>CHOOSE(MONTH(branches[[#This Row],[Дата]]),"Январь","Февраль","Март","Апрель","Май","Июнь","Июль","Август","Сентябрь","Октябрь","Ноябрь","Декабрь")&amp;" "&amp;YEAR(branches[[#This Row],[Дата]])</f>
        <v>Январь 2025</v>
      </c>
      <c r="E1750" t="s">
        <v>22</v>
      </c>
      <c r="F1750" t="s">
        <v>9</v>
      </c>
      <c r="G1750">
        <v>1</v>
      </c>
      <c r="H1750">
        <v>190</v>
      </c>
      <c r="I1750" t="s">
        <v>15</v>
      </c>
      <c r="J1750" t="str">
        <f>_xlfn.XLOOKUP(branches[[#This Row],[Филиал]], tbl_Filialy[Филиал], tbl_Filialy[Менеджер])</f>
        <v>Ирина Соколова</v>
      </c>
    </row>
    <row r="1751" spans="1:10" x14ac:dyDescent="0.3">
      <c r="A1751" t="str">
        <f>_xlfn.XLOOKUP(branches[[#This Row],[Филиал]], tbl_Filialy[Филиал], tbl_Filialy[Город])</f>
        <v>Москва</v>
      </c>
      <c r="B1751" s="1" t="s">
        <v>36</v>
      </c>
      <c r="C1751" s="2">
        <v>45987</v>
      </c>
      <c r="D1751" s="2" t="str">
        <f>CHOOSE(MONTH(branches[[#This Row],[Дата]]),"Январь","Февраль","Март","Апрель","Май","Июнь","Июль","Август","Сентябрь","Октябрь","Ноябрь","Декабрь")&amp;" "&amp;YEAR(branches[[#This Row],[Дата]])</f>
        <v>Ноябрь 2025</v>
      </c>
      <c r="E1751" t="s">
        <v>22</v>
      </c>
      <c r="F1751" t="s">
        <v>9</v>
      </c>
      <c r="G1751">
        <v>1</v>
      </c>
      <c r="H1751">
        <v>172</v>
      </c>
      <c r="I1751" t="s">
        <v>23</v>
      </c>
      <c r="J1751" t="str">
        <f>_xlfn.XLOOKUP(branches[[#This Row],[Филиал]], tbl_Filialy[Филиал], tbl_Filialy[Менеджер])</f>
        <v>Ирина Соколова</v>
      </c>
    </row>
    <row r="1752" spans="1:10" x14ac:dyDescent="0.3">
      <c r="A1752" t="str">
        <f>_xlfn.XLOOKUP(branches[[#This Row],[Филиал]], tbl_Filialy[Филиал], tbl_Filialy[Город])</f>
        <v>Москва</v>
      </c>
      <c r="B1752" s="1" t="s">
        <v>36</v>
      </c>
      <c r="C1752" s="2">
        <v>45811</v>
      </c>
      <c r="D1752" s="2" t="str">
        <f>CHOOSE(MONTH(branches[[#This Row],[Дата]]),"Январь","Февраль","Март","Апрель","Май","Июнь","Июль","Август","Сентябрь","Октябрь","Ноябрь","Декабрь")&amp;" "&amp;YEAR(branches[[#This Row],[Дата]])</f>
        <v>Июнь 2025</v>
      </c>
      <c r="E1752" t="s">
        <v>18</v>
      </c>
      <c r="F1752" t="s">
        <v>12</v>
      </c>
      <c r="G1752">
        <v>1</v>
      </c>
      <c r="H1752">
        <v>149</v>
      </c>
      <c r="I1752" t="s">
        <v>13</v>
      </c>
      <c r="J1752" t="str">
        <f>_xlfn.XLOOKUP(branches[[#This Row],[Филиал]], tbl_Filialy[Филиал], tbl_Filialy[Менеджер])</f>
        <v>Ирина Соколова</v>
      </c>
    </row>
    <row r="1753" spans="1:10" x14ac:dyDescent="0.3">
      <c r="A1753" t="str">
        <f>_xlfn.XLOOKUP(branches[[#This Row],[Филиал]], tbl_Filialy[Филиал], tbl_Filialy[Город])</f>
        <v>Москва</v>
      </c>
      <c r="B1753" s="1" t="s">
        <v>36</v>
      </c>
      <c r="C1753" s="2">
        <v>45967</v>
      </c>
      <c r="D1753" s="2" t="str">
        <f>CHOOSE(MONTH(branches[[#This Row],[Дата]]),"Январь","Февраль","Март","Апрель","Май","Июнь","Июль","Август","Сентябрь","Октябрь","Ноябрь","Декабрь")&amp;" "&amp;YEAR(branches[[#This Row],[Дата]])</f>
        <v>Ноябрь 2025</v>
      </c>
      <c r="E1753" t="s">
        <v>27</v>
      </c>
      <c r="F1753" t="s">
        <v>12</v>
      </c>
      <c r="G1753">
        <v>1</v>
      </c>
      <c r="H1753">
        <v>206</v>
      </c>
      <c r="I1753" t="s">
        <v>21</v>
      </c>
      <c r="J1753" t="str">
        <f>_xlfn.XLOOKUP(branches[[#This Row],[Филиал]], tbl_Filialy[Филиал], tbl_Filialy[Менеджер])</f>
        <v>Ирина Соколова</v>
      </c>
    </row>
    <row r="1754" spans="1:10" x14ac:dyDescent="0.3">
      <c r="A1754" t="str">
        <f>_xlfn.XLOOKUP(branches[[#This Row],[Филиал]], tbl_Filialy[Филиал], tbl_Filialy[Город])</f>
        <v>Москва</v>
      </c>
      <c r="B1754" s="1" t="s">
        <v>36</v>
      </c>
      <c r="C1754" s="2">
        <v>45836</v>
      </c>
      <c r="D1754" s="2" t="str">
        <f>CHOOSE(MONTH(branches[[#This Row],[Дата]]),"Январь","Февраль","Март","Апрель","Май","Июнь","Июль","Август","Сентябрь","Октябрь","Ноябрь","Декабрь")&amp;" "&amp;YEAR(branches[[#This Row],[Дата]])</f>
        <v>Июнь 2025</v>
      </c>
      <c r="E1754" t="s">
        <v>28</v>
      </c>
      <c r="F1754" t="s">
        <v>12</v>
      </c>
      <c r="G1754">
        <v>2</v>
      </c>
      <c r="H1754">
        <v>444</v>
      </c>
      <c r="I1754" t="s">
        <v>13</v>
      </c>
      <c r="J1754" t="str">
        <f>_xlfn.XLOOKUP(branches[[#This Row],[Филиал]], tbl_Filialy[Филиал], tbl_Filialy[Менеджер])</f>
        <v>Ирина Соколова</v>
      </c>
    </row>
    <row r="1755" spans="1:10" x14ac:dyDescent="0.3">
      <c r="A1755" t="str">
        <f>_xlfn.XLOOKUP(branches[[#This Row],[Филиал]], tbl_Filialy[Филиал], tbl_Filialy[Город])</f>
        <v>Москва</v>
      </c>
      <c r="B1755" s="1" t="s">
        <v>36</v>
      </c>
      <c r="C1755" s="2">
        <v>45730</v>
      </c>
      <c r="D1755" s="2" t="str">
        <f>CHOOSE(MONTH(branches[[#This Row],[Дата]]),"Январь","Февраль","Март","Апрель","Май","Июнь","Июль","Август","Сентябрь","Октябрь","Ноябрь","Декабрь")&amp;" "&amp;YEAR(branches[[#This Row],[Дата]])</f>
        <v>Март 2025</v>
      </c>
      <c r="E1755" t="s">
        <v>18</v>
      </c>
      <c r="F1755" t="s">
        <v>12</v>
      </c>
      <c r="G1755">
        <v>1</v>
      </c>
      <c r="H1755">
        <v>146</v>
      </c>
      <c r="I1755" t="s">
        <v>10</v>
      </c>
      <c r="J1755" t="str">
        <f>_xlfn.XLOOKUP(branches[[#This Row],[Филиал]], tbl_Filialy[Филиал], tbl_Filialy[Менеджер])</f>
        <v>Ирина Соколова</v>
      </c>
    </row>
    <row r="1756" spans="1:10" x14ac:dyDescent="0.3">
      <c r="A1756" t="str">
        <f>_xlfn.XLOOKUP(branches[[#This Row],[Филиал]], tbl_Filialy[Филиал], tbl_Filialy[Город])</f>
        <v>Москва</v>
      </c>
      <c r="B1756" s="1" t="s">
        <v>36</v>
      </c>
      <c r="C1756" s="2">
        <v>45886</v>
      </c>
      <c r="D1756" s="2" t="str">
        <f>CHOOSE(MONTH(branches[[#This Row],[Дата]]),"Январь","Февраль","Март","Апрель","Май","Июнь","Июль","Август","Сентябрь","Октябрь","Ноябрь","Декабрь")&amp;" "&amp;YEAR(branches[[#This Row],[Дата]])</f>
        <v>Август 2025</v>
      </c>
      <c r="E1756" t="s">
        <v>22</v>
      </c>
      <c r="F1756" t="s">
        <v>9</v>
      </c>
      <c r="G1756">
        <v>2</v>
      </c>
      <c r="H1756">
        <v>386</v>
      </c>
      <c r="I1756" t="s">
        <v>19</v>
      </c>
      <c r="J1756" t="str">
        <f>_xlfn.XLOOKUP(branches[[#This Row],[Филиал]], tbl_Filialy[Филиал], tbl_Filialy[Менеджер])</f>
        <v>Ирина Соколова</v>
      </c>
    </row>
    <row r="1757" spans="1:10" x14ac:dyDescent="0.3">
      <c r="A1757" t="str">
        <f>_xlfn.XLOOKUP(branches[[#This Row],[Филиал]], tbl_Filialy[Филиал], tbl_Filialy[Город])</f>
        <v>Москва</v>
      </c>
      <c r="B1757" s="1" t="s">
        <v>36</v>
      </c>
      <c r="C1757" s="2">
        <v>45828</v>
      </c>
      <c r="D1757" s="2" t="str">
        <f>CHOOSE(MONTH(branches[[#This Row],[Дата]]),"Январь","Февраль","Март","Апрель","Май","Июнь","Июль","Август","Сентябрь","Октябрь","Ноябрь","Декабрь")&amp;" "&amp;YEAR(branches[[#This Row],[Дата]])</f>
        <v>Июнь 2025</v>
      </c>
      <c r="E1757" t="s">
        <v>24</v>
      </c>
      <c r="F1757" t="s">
        <v>17</v>
      </c>
      <c r="G1757">
        <v>1</v>
      </c>
      <c r="H1757">
        <v>371</v>
      </c>
      <c r="I1757" t="s">
        <v>10</v>
      </c>
      <c r="J1757" t="str">
        <f>_xlfn.XLOOKUP(branches[[#This Row],[Филиал]], tbl_Filialy[Филиал], tbl_Filialy[Менеджер])</f>
        <v>Ирина Соколова</v>
      </c>
    </row>
    <row r="1758" spans="1:10" x14ac:dyDescent="0.3">
      <c r="A1758" t="str">
        <f>_xlfn.XLOOKUP(branches[[#This Row],[Филиал]], tbl_Filialy[Филиал], tbl_Filialy[Город])</f>
        <v>Москва</v>
      </c>
      <c r="B1758" s="1" t="s">
        <v>36</v>
      </c>
      <c r="C1758" s="2">
        <v>45756</v>
      </c>
      <c r="D1758" s="2" t="str">
        <f>CHOOSE(MONTH(branches[[#This Row],[Дата]]),"Январь","Февраль","Март","Апрель","Май","Июнь","Июль","Август","Сентябрь","Октябрь","Ноябрь","Декабрь")&amp;" "&amp;YEAR(branches[[#This Row],[Дата]])</f>
        <v>Апрель 2025</v>
      </c>
      <c r="E1758" t="s">
        <v>8</v>
      </c>
      <c r="F1758" t="s">
        <v>9</v>
      </c>
      <c r="G1758">
        <v>3</v>
      </c>
      <c r="H1758">
        <v>744</v>
      </c>
      <c r="I1758" t="s">
        <v>21</v>
      </c>
      <c r="J1758" t="str">
        <f>_xlfn.XLOOKUP(branches[[#This Row],[Филиал]], tbl_Filialy[Филиал], tbl_Filialy[Менеджер])</f>
        <v>Ирина Соколова</v>
      </c>
    </row>
    <row r="1759" spans="1:10" x14ac:dyDescent="0.3">
      <c r="A1759" t="str">
        <f>_xlfn.XLOOKUP(branches[[#This Row],[Филиал]], tbl_Filialy[Филиал], tbl_Filialy[Город])</f>
        <v>Москва</v>
      </c>
      <c r="B1759" s="1" t="s">
        <v>36</v>
      </c>
      <c r="C1759" s="2">
        <v>45710</v>
      </c>
      <c r="D1759" s="2" t="str">
        <f>CHOOSE(MONTH(branches[[#This Row],[Дата]]),"Январь","Февраль","Март","Апрель","Май","Июнь","Июль","Август","Сентябрь","Октябрь","Ноябрь","Декабрь")&amp;" "&amp;YEAR(branches[[#This Row],[Дата]])</f>
        <v>Февраль 2025</v>
      </c>
      <c r="E1759" t="s">
        <v>25</v>
      </c>
      <c r="F1759" t="s">
        <v>12</v>
      </c>
      <c r="G1759">
        <v>3</v>
      </c>
      <c r="H1759">
        <v>657</v>
      </c>
      <c r="I1759" t="s">
        <v>13</v>
      </c>
      <c r="J1759" t="str">
        <f>_xlfn.XLOOKUP(branches[[#This Row],[Филиал]], tbl_Filialy[Филиал], tbl_Filialy[Менеджер])</f>
        <v>Ирина Соколова</v>
      </c>
    </row>
    <row r="1760" spans="1:10" x14ac:dyDescent="0.3">
      <c r="A1760" t="str">
        <f>_xlfn.XLOOKUP(branches[[#This Row],[Филиал]], tbl_Filialy[Филиал], tbl_Filialy[Город])</f>
        <v>Москва</v>
      </c>
      <c r="B1760" s="1" t="s">
        <v>36</v>
      </c>
      <c r="C1760" s="2">
        <v>45718</v>
      </c>
      <c r="D1760" s="2" t="str">
        <f>CHOOSE(MONTH(branches[[#This Row],[Дата]]),"Январь","Февраль","Март","Апрель","Май","Июнь","Июль","Август","Сентябрь","Октябрь","Ноябрь","Декабрь")&amp;" "&amp;YEAR(branches[[#This Row],[Дата]])</f>
        <v>Март 2025</v>
      </c>
      <c r="E1760" t="s">
        <v>24</v>
      </c>
      <c r="F1760" t="s">
        <v>17</v>
      </c>
      <c r="G1760">
        <v>2</v>
      </c>
      <c r="H1760">
        <v>788</v>
      </c>
      <c r="I1760" t="s">
        <v>19</v>
      </c>
      <c r="J1760" t="str">
        <f>_xlfn.XLOOKUP(branches[[#This Row],[Филиал]], tbl_Filialy[Филиал], tbl_Filialy[Менеджер])</f>
        <v>Ирина Соколова</v>
      </c>
    </row>
    <row r="1761" spans="1:10" x14ac:dyDescent="0.3">
      <c r="A1761" t="str">
        <f>_xlfn.XLOOKUP(branches[[#This Row],[Филиал]], tbl_Filialy[Филиал], tbl_Filialy[Город])</f>
        <v>Москва</v>
      </c>
      <c r="B1761" s="1" t="s">
        <v>36</v>
      </c>
      <c r="C1761" s="2">
        <v>45666</v>
      </c>
      <c r="D1761" s="2" t="str">
        <f>CHOOSE(MONTH(branches[[#This Row],[Дата]]),"Январь","Февраль","Март","Апрель","Май","Июнь","Июль","Август","Сентябрь","Октябрь","Ноябрь","Декабрь")&amp;" "&amp;YEAR(branches[[#This Row],[Дата]])</f>
        <v>Январь 2025</v>
      </c>
      <c r="E1761" t="s">
        <v>28</v>
      </c>
      <c r="F1761" t="s">
        <v>12</v>
      </c>
      <c r="G1761">
        <v>1</v>
      </c>
      <c r="H1761">
        <v>247</v>
      </c>
      <c r="I1761" t="s">
        <v>21</v>
      </c>
      <c r="J1761" t="str">
        <f>_xlfn.XLOOKUP(branches[[#This Row],[Филиал]], tbl_Filialy[Филиал], tbl_Filialy[Менеджер])</f>
        <v>Ирина Соколова</v>
      </c>
    </row>
    <row r="1762" spans="1:10" x14ac:dyDescent="0.3">
      <c r="A1762" t="str">
        <f>_xlfn.XLOOKUP(branches[[#This Row],[Филиал]], tbl_Filialy[Филиал], tbl_Filialy[Город])</f>
        <v>Москва</v>
      </c>
      <c r="B1762" s="1" t="s">
        <v>36</v>
      </c>
      <c r="C1762" s="2">
        <v>45953</v>
      </c>
      <c r="D1762" s="2" t="str">
        <f>CHOOSE(MONTH(branches[[#This Row],[Дата]]),"Январь","Февраль","Март","Апрель","Май","Июнь","Июль","Август","Сентябрь","Октябрь","Ноябрь","Декабрь")&amp;" "&amp;YEAR(branches[[#This Row],[Дата]])</f>
        <v>Октябрь 2025</v>
      </c>
      <c r="E1762" t="s">
        <v>22</v>
      </c>
      <c r="F1762" t="s">
        <v>9</v>
      </c>
      <c r="G1762">
        <v>3</v>
      </c>
      <c r="H1762">
        <v>489</v>
      </c>
      <c r="I1762" t="s">
        <v>21</v>
      </c>
      <c r="J1762" t="str">
        <f>_xlfn.XLOOKUP(branches[[#This Row],[Филиал]], tbl_Filialy[Филиал], tbl_Filialy[Менеджер])</f>
        <v>Ирина Соколова</v>
      </c>
    </row>
    <row r="1763" spans="1:10" x14ac:dyDescent="0.3">
      <c r="A1763" t="str">
        <f>_xlfn.XLOOKUP(branches[[#This Row],[Филиал]], tbl_Filialy[Филиал], tbl_Filialy[Город])</f>
        <v>Москва</v>
      </c>
      <c r="B1763" s="1" t="s">
        <v>36</v>
      </c>
      <c r="C1763" s="2">
        <v>45658</v>
      </c>
      <c r="D1763" s="2" t="str">
        <f>CHOOSE(MONTH(branches[[#This Row],[Дата]]),"Январь","Февраль","Март","Апрель","Май","Июнь","Июль","Август","Сентябрь","Октябрь","Ноябрь","Декабрь")&amp;" "&amp;YEAR(branches[[#This Row],[Дата]])</f>
        <v>Январь 2025</v>
      </c>
      <c r="E1763" t="s">
        <v>18</v>
      </c>
      <c r="F1763" t="s">
        <v>12</v>
      </c>
      <c r="G1763">
        <v>2</v>
      </c>
      <c r="H1763">
        <v>268</v>
      </c>
      <c r="I1763" t="s">
        <v>23</v>
      </c>
      <c r="J1763" t="str">
        <f>_xlfn.XLOOKUP(branches[[#This Row],[Филиал]], tbl_Filialy[Филиал], tbl_Filialy[Менеджер])</f>
        <v>Ирина Соколова</v>
      </c>
    </row>
    <row r="1764" spans="1:10" x14ac:dyDescent="0.3">
      <c r="A1764" t="str">
        <f>_xlfn.XLOOKUP(branches[[#This Row],[Филиал]], tbl_Filialy[Филиал], tbl_Filialy[Город])</f>
        <v>Москва</v>
      </c>
      <c r="B1764" s="1" t="s">
        <v>36</v>
      </c>
      <c r="C1764" s="2">
        <v>45789</v>
      </c>
      <c r="D1764" s="2" t="str">
        <f>CHOOSE(MONTH(branches[[#This Row],[Дата]]),"Январь","Февраль","Март","Апрель","Май","Июнь","Июль","Август","Сентябрь","Октябрь","Ноябрь","Декабрь")&amp;" "&amp;YEAR(branches[[#This Row],[Дата]])</f>
        <v>Май 2025</v>
      </c>
      <c r="E1764" t="s">
        <v>16</v>
      </c>
      <c r="F1764" t="s">
        <v>17</v>
      </c>
      <c r="G1764">
        <v>2</v>
      </c>
      <c r="H1764">
        <v>702</v>
      </c>
      <c r="I1764" t="s">
        <v>23</v>
      </c>
      <c r="J1764" t="str">
        <f>_xlfn.XLOOKUP(branches[[#This Row],[Филиал]], tbl_Filialy[Филиал], tbl_Filialy[Менеджер])</f>
        <v>Ирина Соколова</v>
      </c>
    </row>
    <row r="1765" spans="1:10" x14ac:dyDescent="0.3">
      <c r="A1765" t="str">
        <f>_xlfn.XLOOKUP(branches[[#This Row],[Филиал]], tbl_Filialy[Филиал], tbl_Filialy[Город])</f>
        <v>Москва</v>
      </c>
      <c r="B1765" s="1" t="s">
        <v>36</v>
      </c>
      <c r="C1765" s="2">
        <v>45732</v>
      </c>
      <c r="D1765" s="2" t="str">
        <f>CHOOSE(MONTH(branches[[#This Row],[Дата]]),"Январь","Февраль","Март","Апрель","Май","Июнь","Июль","Август","Сентябрь","Октябрь","Ноябрь","Декабрь")&amp;" "&amp;YEAR(branches[[#This Row],[Дата]])</f>
        <v>Март 2025</v>
      </c>
      <c r="E1765" t="s">
        <v>16</v>
      </c>
      <c r="F1765" t="s">
        <v>17</v>
      </c>
      <c r="G1765">
        <v>1</v>
      </c>
      <c r="H1765">
        <v>346</v>
      </c>
      <c r="I1765" t="s">
        <v>13</v>
      </c>
      <c r="J1765" t="str">
        <f>_xlfn.XLOOKUP(branches[[#This Row],[Филиал]], tbl_Filialy[Филиал], tbl_Filialy[Менеджер])</f>
        <v>Ирина Соколова</v>
      </c>
    </row>
    <row r="1766" spans="1:10" x14ac:dyDescent="0.3">
      <c r="A1766" t="str">
        <f>_xlfn.XLOOKUP(branches[[#This Row],[Филиал]], tbl_Filialy[Филиал], tbl_Filialy[Город])</f>
        <v>Москва</v>
      </c>
      <c r="B1766" s="1" t="s">
        <v>36</v>
      </c>
      <c r="C1766" s="2">
        <v>45949</v>
      </c>
      <c r="D1766" s="2" t="str">
        <f>CHOOSE(MONTH(branches[[#This Row],[Дата]]),"Январь","Февраль","Март","Апрель","Май","Июнь","Июль","Август","Сентябрь","Октябрь","Ноябрь","Декабрь")&amp;" "&amp;YEAR(branches[[#This Row],[Дата]])</f>
        <v>Октябрь 2025</v>
      </c>
      <c r="E1766" t="s">
        <v>16</v>
      </c>
      <c r="F1766" t="s">
        <v>17</v>
      </c>
      <c r="G1766">
        <v>1</v>
      </c>
      <c r="H1766">
        <v>284</v>
      </c>
      <c r="I1766" t="s">
        <v>13</v>
      </c>
      <c r="J1766" t="str">
        <f>_xlfn.XLOOKUP(branches[[#This Row],[Филиал]], tbl_Filialy[Филиал], tbl_Filialy[Менеджер])</f>
        <v>Ирина Соколова</v>
      </c>
    </row>
    <row r="1767" spans="1:10" x14ac:dyDescent="0.3">
      <c r="A1767" t="str">
        <f>_xlfn.XLOOKUP(branches[[#This Row],[Филиал]], tbl_Filialy[Филиал], tbl_Filialy[Город])</f>
        <v>Москва</v>
      </c>
      <c r="B1767" s="1" t="s">
        <v>36</v>
      </c>
      <c r="C1767" s="2">
        <v>45762</v>
      </c>
      <c r="D1767" s="2" t="str">
        <f>CHOOSE(MONTH(branches[[#This Row],[Дата]]),"Январь","Февраль","Март","Апрель","Май","Июнь","Июль","Август","Сентябрь","Октябрь","Ноябрь","Декабрь")&amp;" "&amp;YEAR(branches[[#This Row],[Дата]])</f>
        <v>Апрель 2025</v>
      </c>
      <c r="E1767" t="s">
        <v>8</v>
      </c>
      <c r="F1767" t="s">
        <v>9</v>
      </c>
      <c r="G1767">
        <v>2</v>
      </c>
      <c r="H1767">
        <v>496</v>
      </c>
      <c r="I1767" t="s">
        <v>10</v>
      </c>
      <c r="J1767" t="str">
        <f>_xlfn.XLOOKUP(branches[[#This Row],[Филиал]], tbl_Filialy[Филиал], tbl_Filialy[Менеджер])</f>
        <v>Ирина Соколова</v>
      </c>
    </row>
    <row r="1768" spans="1:10" x14ac:dyDescent="0.3">
      <c r="A1768" t="str">
        <f>_xlfn.XLOOKUP(branches[[#This Row],[Филиал]], tbl_Filialy[Филиал], tbl_Filialy[Город])</f>
        <v>Москва</v>
      </c>
      <c r="B1768" s="1" t="s">
        <v>36</v>
      </c>
      <c r="C1768" s="2">
        <v>45714</v>
      </c>
      <c r="D1768" s="2" t="str">
        <f>CHOOSE(MONTH(branches[[#This Row],[Дата]]),"Январь","Февраль","Март","Апрель","Май","Июнь","Июль","Август","Сентябрь","Октябрь","Ноябрь","Декабрь")&amp;" "&amp;YEAR(branches[[#This Row],[Дата]])</f>
        <v>Февраль 2025</v>
      </c>
      <c r="E1768" t="s">
        <v>18</v>
      </c>
      <c r="F1768" t="s">
        <v>12</v>
      </c>
      <c r="G1768">
        <v>2</v>
      </c>
      <c r="H1768">
        <v>300</v>
      </c>
      <c r="I1768" t="s">
        <v>13</v>
      </c>
      <c r="J1768" t="str">
        <f>_xlfn.XLOOKUP(branches[[#This Row],[Филиал]], tbl_Filialy[Филиал], tbl_Filialy[Менеджер])</f>
        <v>Ирина Соколова</v>
      </c>
    </row>
    <row r="1769" spans="1:10" x14ac:dyDescent="0.3">
      <c r="A1769" t="str">
        <f>_xlfn.XLOOKUP(branches[[#This Row],[Филиал]], tbl_Filialy[Филиал], tbl_Filialy[Город])</f>
        <v>Москва</v>
      </c>
      <c r="B1769" s="1" t="s">
        <v>36</v>
      </c>
      <c r="C1769" s="2">
        <v>45660</v>
      </c>
      <c r="D1769" s="2" t="str">
        <f>CHOOSE(MONTH(branches[[#This Row],[Дата]]),"Январь","Февраль","Март","Апрель","Май","Июнь","Июль","Август","Сентябрь","Октябрь","Ноябрь","Декабрь")&amp;" "&amp;YEAR(branches[[#This Row],[Дата]])</f>
        <v>Январь 2025</v>
      </c>
      <c r="E1769" t="s">
        <v>11</v>
      </c>
      <c r="F1769" t="s">
        <v>12</v>
      </c>
      <c r="G1769">
        <v>2</v>
      </c>
      <c r="H1769">
        <v>352</v>
      </c>
      <c r="I1769" t="s">
        <v>23</v>
      </c>
      <c r="J1769" t="str">
        <f>_xlfn.XLOOKUP(branches[[#This Row],[Филиал]], tbl_Filialy[Филиал], tbl_Filialy[Менеджер])</f>
        <v>Ирина Соколова</v>
      </c>
    </row>
    <row r="1770" spans="1:10" x14ac:dyDescent="0.3">
      <c r="A1770" t="str">
        <f>_xlfn.XLOOKUP(branches[[#This Row],[Филиал]], tbl_Filialy[Филиал], tbl_Filialy[Город])</f>
        <v>Москва</v>
      </c>
      <c r="B1770" s="1" t="s">
        <v>36</v>
      </c>
      <c r="C1770" s="2">
        <v>45664</v>
      </c>
      <c r="D1770" s="2" t="str">
        <f>CHOOSE(MONTH(branches[[#This Row],[Дата]]),"Январь","Февраль","Март","Апрель","Май","Июнь","Июль","Август","Сентябрь","Октябрь","Ноябрь","Декабрь")&amp;" "&amp;YEAR(branches[[#This Row],[Дата]])</f>
        <v>Январь 2025</v>
      </c>
      <c r="E1770" t="s">
        <v>26</v>
      </c>
      <c r="F1770" t="s">
        <v>9</v>
      </c>
      <c r="G1770">
        <v>3</v>
      </c>
      <c r="H1770">
        <v>615</v>
      </c>
      <c r="I1770" t="s">
        <v>13</v>
      </c>
      <c r="J1770" t="str">
        <f>_xlfn.XLOOKUP(branches[[#This Row],[Филиал]], tbl_Filialy[Филиал], tbl_Filialy[Менеджер])</f>
        <v>Ирина Соколова</v>
      </c>
    </row>
    <row r="1771" spans="1:10" x14ac:dyDescent="0.3">
      <c r="A1771" t="str">
        <f>_xlfn.XLOOKUP(branches[[#This Row],[Филиал]], tbl_Filialy[Филиал], tbl_Filialy[Город])</f>
        <v>Москва</v>
      </c>
      <c r="B1771" s="1" t="s">
        <v>36</v>
      </c>
      <c r="C1771" s="2">
        <v>45751</v>
      </c>
      <c r="D1771" s="2" t="str">
        <f>CHOOSE(MONTH(branches[[#This Row],[Дата]]),"Январь","Февраль","Март","Апрель","Май","Июнь","Июль","Август","Сентябрь","Октябрь","Ноябрь","Декабрь")&amp;" "&amp;YEAR(branches[[#This Row],[Дата]])</f>
        <v>Апрель 2025</v>
      </c>
      <c r="E1771" t="s">
        <v>26</v>
      </c>
      <c r="F1771" t="s">
        <v>9</v>
      </c>
      <c r="G1771">
        <v>1</v>
      </c>
      <c r="H1771">
        <v>213</v>
      </c>
      <c r="I1771" t="s">
        <v>15</v>
      </c>
      <c r="J1771" t="str">
        <f>_xlfn.XLOOKUP(branches[[#This Row],[Филиал]], tbl_Filialy[Филиал], tbl_Filialy[Менеджер])</f>
        <v>Ирина Соколова</v>
      </c>
    </row>
    <row r="1772" spans="1:10" x14ac:dyDescent="0.3">
      <c r="A1772" t="str">
        <f>_xlfn.XLOOKUP(branches[[#This Row],[Филиал]], tbl_Filialy[Филиал], tbl_Filialy[Город])</f>
        <v>Москва</v>
      </c>
      <c r="B1772" s="1" t="s">
        <v>36</v>
      </c>
      <c r="C1772" s="2">
        <v>45716</v>
      </c>
      <c r="D1772" s="2" t="str">
        <f>CHOOSE(MONTH(branches[[#This Row],[Дата]]),"Январь","Февраль","Март","Апрель","Май","Июнь","Июль","Август","Сентябрь","Октябрь","Ноябрь","Декабрь")&amp;" "&amp;YEAR(branches[[#This Row],[Дата]])</f>
        <v>Февраль 2025</v>
      </c>
      <c r="E1772" t="s">
        <v>26</v>
      </c>
      <c r="F1772" t="s">
        <v>9</v>
      </c>
      <c r="G1772">
        <v>1</v>
      </c>
      <c r="H1772">
        <v>227</v>
      </c>
      <c r="I1772" t="s">
        <v>23</v>
      </c>
      <c r="J1772" t="str">
        <f>_xlfn.XLOOKUP(branches[[#This Row],[Филиал]], tbl_Filialy[Филиал], tbl_Filialy[Менеджер])</f>
        <v>Ирина Соколова</v>
      </c>
    </row>
    <row r="1773" spans="1:10" x14ac:dyDescent="0.3">
      <c r="A1773" t="str">
        <f>_xlfn.XLOOKUP(branches[[#This Row],[Филиал]], tbl_Filialy[Филиал], tbl_Filialy[Город])</f>
        <v>Москва</v>
      </c>
      <c r="B1773" s="1" t="s">
        <v>36</v>
      </c>
      <c r="C1773" s="2">
        <v>45800</v>
      </c>
      <c r="D1773" s="2" t="str">
        <f>CHOOSE(MONTH(branches[[#This Row],[Дата]]),"Январь","Февраль","Март","Апрель","Май","Июнь","Июль","Август","Сентябрь","Октябрь","Ноябрь","Декабрь")&amp;" "&amp;YEAR(branches[[#This Row],[Дата]])</f>
        <v>Май 2025</v>
      </c>
      <c r="E1773" t="s">
        <v>20</v>
      </c>
      <c r="F1773" t="s">
        <v>12</v>
      </c>
      <c r="G1773">
        <v>2</v>
      </c>
      <c r="H1773">
        <v>564</v>
      </c>
      <c r="I1773" t="s">
        <v>10</v>
      </c>
      <c r="J1773" t="str">
        <f>_xlfn.XLOOKUP(branches[[#This Row],[Филиал]], tbl_Filialy[Филиал], tbl_Filialy[Менеджер])</f>
        <v>Ирина Соколова</v>
      </c>
    </row>
    <row r="1774" spans="1:10" x14ac:dyDescent="0.3">
      <c r="A1774" t="str">
        <f>_xlfn.XLOOKUP(branches[[#This Row],[Филиал]], tbl_Filialy[Филиал], tbl_Filialy[Город])</f>
        <v>Москва</v>
      </c>
      <c r="B1774" s="1" t="s">
        <v>36</v>
      </c>
      <c r="C1774" s="2">
        <v>45912</v>
      </c>
      <c r="D1774" s="2" t="str">
        <f>CHOOSE(MONTH(branches[[#This Row],[Дата]]),"Январь","Февраль","Март","Апрель","Май","Июнь","Июль","Август","Сентябрь","Октябрь","Ноябрь","Декабрь")&amp;" "&amp;YEAR(branches[[#This Row],[Дата]])</f>
        <v>Сентябрь 2025</v>
      </c>
      <c r="E1774" t="s">
        <v>22</v>
      </c>
      <c r="F1774" t="s">
        <v>9</v>
      </c>
      <c r="G1774">
        <v>3</v>
      </c>
      <c r="H1774">
        <v>573</v>
      </c>
      <c r="I1774" t="s">
        <v>19</v>
      </c>
      <c r="J1774" t="str">
        <f>_xlfn.XLOOKUP(branches[[#This Row],[Филиал]], tbl_Filialy[Филиал], tbl_Filialy[Менеджер])</f>
        <v>Ирина Соколова</v>
      </c>
    </row>
    <row r="1775" spans="1:10" x14ac:dyDescent="0.3">
      <c r="A1775" t="str">
        <f>_xlfn.XLOOKUP(branches[[#This Row],[Филиал]], tbl_Filialy[Филиал], tbl_Filialy[Город])</f>
        <v>Москва</v>
      </c>
      <c r="B1775" s="1" t="s">
        <v>36</v>
      </c>
      <c r="C1775" s="2">
        <v>45675</v>
      </c>
      <c r="D1775" s="2" t="str">
        <f>CHOOSE(MONTH(branches[[#This Row],[Дата]]),"Январь","Февраль","Март","Апрель","Май","Июнь","Июль","Август","Сентябрь","Октябрь","Ноябрь","Декабрь")&amp;" "&amp;YEAR(branches[[#This Row],[Дата]])</f>
        <v>Январь 2025</v>
      </c>
      <c r="E1775" t="s">
        <v>11</v>
      </c>
      <c r="F1775" t="s">
        <v>12</v>
      </c>
      <c r="G1775">
        <v>3</v>
      </c>
      <c r="H1775">
        <v>525</v>
      </c>
      <c r="I1775" t="s">
        <v>21</v>
      </c>
      <c r="J1775" t="str">
        <f>_xlfn.XLOOKUP(branches[[#This Row],[Филиал]], tbl_Filialy[Филиал], tbl_Filialy[Менеджер])</f>
        <v>Ирина Соколова</v>
      </c>
    </row>
    <row r="1776" spans="1:10" x14ac:dyDescent="0.3">
      <c r="A1776" t="str">
        <f>_xlfn.XLOOKUP(branches[[#This Row],[Филиал]], tbl_Filialy[Филиал], tbl_Filialy[Город])</f>
        <v>Москва</v>
      </c>
      <c r="B1776" s="1" t="s">
        <v>36</v>
      </c>
      <c r="C1776" s="2">
        <v>45910</v>
      </c>
      <c r="D1776" s="2" t="str">
        <f>CHOOSE(MONTH(branches[[#This Row],[Дата]]),"Январь","Февраль","Март","Апрель","Май","Июнь","Июль","Август","Сентябрь","Октябрь","Ноябрь","Декабрь")&amp;" "&amp;YEAR(branches[[#This Row],[Дата]])</f>
        <v>Сентябрь 2025</v>
      </c>
      <c r="E1776" t="s">
        <v>18</v>
      </c>
      <c r="F1776" t="s">
        <v>12</v>
      </c>
      <c r="G1776">
        <v>3</v>
      </c>
      <c r="H1776">
        <v>387</v>
      </c>
      <c r="I1776" t="s">
        <v>15</v>
      </c>
      <c r="J1776" t="str">
        <f>_xlfn.XLOOKUP(branches[[#This Row],[Филиал]], tbl_Filialy[Филиал], tbl_Filialy[Менеджер])</f>
        <v>Ирина Соколова</v>
      </c>
    </row>
    <row r="1777" spans="1:10" x14ac:dyDescent="0.3">
      <c r="A1777" t="str">
        <f>_xlfn.XLOOKUP(branches[[#This Row],[Филиал]], tbl_Filialy[Филиал], tbl_Filialy[Город])</f>
        <v>Москва</v>
      </c>
      <c r="B1777" s="1" t="s">
        <v>36</v>
      </c>
      <c r="C1777" s="2">
        <v>45859</v>
      </c>
      <c r="D1777" s="2" t="str">
        <f>CHOOSE(MONTH(branches[[#This Row],[Дата]]),"Январь","Февраль","Март","Апрель","Май","Июнь","Июль","Август","Сентябрь","Октябрь","Ноябрь","Декабрь")&amp;" "&amp;YEAR(branches[[#This Row],[Дата]])</f>
        <v>Июль 2025</v>
      </c>
      <c r="E1777" t="s">
        <v>28</v>
      </c>
      <c r="F1777" t="s">
        <v>12</v>
      </c>
      <c r="G1777">
        <v>1</v>
      </c>
      <c r="H1777">
        <v>247</v>
      </c>
      <c r="I1777" t="s">
        <v>23</v>
      </c>
      <c r="J1777" t="str">
        <f>_xlfn.XLOOKUP(branches[[#This Row],[Филиал]], tbl_Filialy[Филиал], tbl_Filialy[Менеджер])</f>
        <v>Ирина Соколова</v>
      </c>
    </row>
    <row r="1778" spans="1:10" x14ac:dyDescent="0.3">
      <c r="A1778" t="str">
        <f>_xlfn.XLOOKUP(branches[[#This Row],[Филиал]], tbl_Filialy[Филиал], tbl_Filialy[Город])</f>
        <v>Москва</v>
      </c>
      <c r="B1778" s="1" t="s">
        <v>36</v>
      </c>
      <c r="C1778" s="2">
        <v>45801</v>
      </c>
      <c r="D1778" s="2" t="str">
        <f>CHOOSE(MONTH(branches[[#This Row],[Дата]]),"Январь","Февраль","Март","Апрель","Май","Июнь","Июль","Август","Сентябрь","Октябрь","Ноябрь","Декабрь")&amp;" "&amp;YEAR(branches[[#This Row],[Дата]])</f>
        <v>Май 2025</v>
      </c>
      <c r="E1778" t="s">
        <v>25</v>
      </c>
      <c r="F1778" t="s">
        <v>12</v>
      </c>
      <c r="G1778">
        <v>1</v>
      </c>
      <c r="H1778">
        <v>215</v>
      </c>
      <c r="I1778" t="s">
        <v>15</v>
      </c>
      <c r="J1778" t="str">
        <f>_xlfn.XLOOKUP(branches[[#This Row],[Филиал]], tbl_Filialy[Филиал], tbl_Filialy[Менеджер])</f>
        <v>Ирина Соколова</v>
      </c>
    </row>
    <row r="1779" spans="1:10" x14ac:dyDescent="0.3">
      <c r="A1779" t="str">
        <f>_xlfn.XLOOKUP(branches[[#This Row],[Филиал]], tbl_Filialy[Филиал], tbl_Filialy[Город])</f>
        <v>Москва</v>
      </c>
      <c r="B1779" s="1" t="s">
        <v>36</v>
      </c>
      <c r="C1779" s="2">
        <v>45854</v>
      </c>
      <c r="D1779" s="2" t="str">
        <f>CHOOSE(MONTH(branches[[#This Row],[Дата]]),"Январь","Февраль","Март","Апрель","Май","Июнь","Июль","Август","Сентябрь","Октябрь","Ноябрь","Декабрь")&amp;" "&amp;YEAR(branches[[#This Row],[Дата]])</f>
        <v>Июль 2025</v>
      </c>
      <c r="E1779" t="s">
        <v>11</v>
      </c>
      <c r="F1779" t="s">
        <v>12</v>
      </c>
      <c r="G1779">
        <v>2</v>
      </c>
      <c r="H1779">
        <v>298</v>
      </c>
      <c r="I1779" t="s">
        <v>15</v>
      </c>
      <c r="J1779" t="str">
        <f>_xlfn.XLOOKUP(branches[[#This Row],[Филиал]], tbl_Filialy[Филиал], tbl_Filialy[Менеджер])</f>
        <v>Ирина Соколова</v>
      </c>
    </row>
    <row r="1780" spans="1:10" x14ac:dyDescent="0.3">
      <c r="A1780" t="str">
        <f>_xlfn.XLOOKUP(branches[[#This Row],[Филиал]], tbl_Filialy[Филиал], tbl_Filialy[Город])</f>
        <v>Москва</v>
      </c>
      <c r="B1780" s="1" t="s">
        <v>36</v>
      </c>
      <c r="C1780" s="2">
        <v>45937</v>
      </c>
      <c r="D1780" s="2" t="str">
        <f>CHOOSE(MONTH(branches[[#This Row],[Дата]]),"Январь","Февраль","Март","Апрель","Май","Июнь","Июль","Август","Сентябрь","Октябрь","Ноябрь","Декабрь")&amp;" "&amp;YEAR(branches[[#This Row],[Дата]])</f>
        <v>Октябрь 2025</v>
      </c>
      <c r="E1780" t="s">
        <v>14</v>
      </c>
      <c r="F1780" t="s">
        <v>12</v>
      </c>
      <c r="G1780">
        <v>1</v>
      </c>
      <c r="H1780">
        <v>246</v>
      </c>
      <c r="I1780" t="s">
        <v>13</v>
      </c>
      <c r="J1780" t="str">
        <f>_xlfn.XLOOKUP(branches[[#This Row],[Филиал]], tbl_Filialy[Филиал], tbl_Filialy[Менеджер])</f>
        <v>Ирина Соколова</v>
      </c>
    </row>
    <row r="1781" spans="1:10" x14ac:dyDescent="0.3">
      <c r="A1781" t="str">
        <f>_xlfn.XLOOKUP(branches[[#This Row],[Филиал]], tbl_Filialy[Филиал], tbl_Filialy[Город])</f>
        <v>Москва</v>
      </c>
      <c r="B1781" s="1" t="s">
        <v>36</v>
      </c>
      <c r="C1781" s="2">
        <v>45661</v>
      </c>
      <c r="D1781" s="2" t="str">
        <f>CHOOSE(MONTH(branches[[#This Row],[Дата]]),"Январь","Февраль","Март","Апрель","Май","Июнь","Июль","Август","Сентябрь","Октябрь","Ноябрь","Декабрь")&amp;" "&amp;YEAR(branches[[#This Row],[Дата]])</f>
        <v>Январь 2025</v>
      </c>
      <c r="E1781" t="s">
        <v>20</v>
      </c>
      <c r="F1781" t="s">
        <v>12</v>
      </c>
      <c r="G1781">
        <v>2</v>
      </c>
      <c r="H1781">
        <v>494</v>
      </c>
      <c r="I1781" t="s">
        <v>10</v>
      </c>
      <c r="J1781" t="str">
        <f>_xlfn.XLOOKUP(branches[[#This Row],[Филиал]], tbl_Filialy[Филиал], tbl_Filialy[Менеджер])</f>
        <v>Ирина Соколова</v>
      </c>
    </row>
    <row r="1782" spans="1:10" x14ac:dyDescent="0.3">
      <c r="A1782" t="str">
        <f>_xlfn.XLOOKUP(branches[[#This Row],[Филиал]], tbl_Filialy[Филиал], tbl_Filialy[Город])</f>
        <v>Москва</v>
      </c>
      <c r="B1782" s="1" t="s">
        <v>36</v>
      </c>
      <c r="C1782" s="2">
        <v>45860</v>
      </c>
      <c r="D1782" s="2" t="str">
        <f>CHOOSE(MONTH(branches[[#This Row],[Дата]]),"Январь","Февраль","Март","Апрель","Май","Июнь","Июль","Август","Сентябрь","Октябрь","Ноябрь","Декабрь")&amp;" "&amp;YEAR(branches[[#This Row],[Дата]])</f>
        <v>Июль 2025</v>
      </c>
      <c r="E1782" t="s">
        <v>25</v>
      </c>
      <c r="F1782" t="s">
        <v>12</v>
      </c>
      <c r="G1782">
        <v>1</v>
      </c>
      <c r="H1782">
        <v>213</v>
      </c>
      <c r="I1782" t="s">
        <v>13</v>
      </c>
      <c r="J1782" t="str">
        <f>_xlfn.XLOOKUP(branches[[#This Row],[Филиал]], tbl_Filialy[Филиал], tbl_Filialy[Менеджер])</f>
        <v>Ирина Соколова</v>
      </c>
    </row>
    <row r="1783" spans="1:10" x14ac:dyDescent="0.3">
      <c r="A1783" t="str">
        <f>_xlfn.XLOOKUP(branches[[#This Row],[Филиал]], tbl_Filialy[Филиал], tbl_Filialy[Город])</f>
        <v>Москва</v>
      </c>
      <c r="B1783" s="1" t="s">
        <v>36</v>
      </c>
      <c r="C1783" s="2">
        <v>45964</v>
      </c>
      <c r="D1783" s="2" t="str">
        <f>CHOOSE(MONTH(branches[[#This Row],[Дата]]),"Январь","Февраль","Март","Апрель","Май","Июнь","Июль","Август","Сентябрь","Октябрь","Ноябрь","Декабрь")&amp;" "&amp;YEAR(branches[[#This Row],[Дата]])</f>
        <v>Ноябрь 2025</v>
      </c>
      <c r="E1783" t="s">
        <v>22</v>
      </c>
      <c r="F1783" t="s">
        <v>9</v>
      </c>
      <c r="G1783">
        <v>2</v>
      </c>
      <c r="H1783">
        <v>366</v>
      </c>
      <c r="I1783" t="s">
        <v>19</v>
      </c>
      <c r="J1783" t="str">
        <f>_xlfn.XLOOKUP(branches[[#This Row],[Филиал]], tbl_Filialy[Филиал], tbl_Filialy[Менеджер])</f>
        <v>Ирина Соколова</v>
      </c>
    </row>
    <row r="1784" spans="1:10" x14ac:dyDescent="0.3">
      <c r="A1784" t="str">
        <f>_xlfn.XLOOKUP(branches[[#This Row],[Филиал]], tbl_Filialy[Филиал], tbl_Filialy[Город])</f>
        <v>Москва</v>
      </c>
      <c r="B1784" s="1" t="s">
        <v>36</v>
      </c>
      <c r="C1784" s="2">
        <v>45770</v>
      </c>
      <c r="D1784" s="2" t="str">
        <f>CHOOSE(MONTH(branches[[#This Row],[Дата]]),"Январь","Февраль","Март","Апрель","Май","Июнь","Июль","Август","Сентябрь","Октябрь","Ноябрь","Декабрь")&amp;" "&amp;YEAR(branches[[#This Row],[Дата]])</f>
        <v>Апрель 2025</v>
      </c>
      <c r="E1784" t="s">
        <v>27</v>
      </c>
      <c r="F1784" t="s">
        <v>12</v>
      </c>
      <c r="G1784">
        <v>2</v>
      </c>
      <c r="H1784">
        <v>396</v>
      </c>
      <c r="I1784" t="s">
        <v>21</v>
      </c>
      <c r="J1784" t="str">
        <f>_xlfn.XLOOKUP(branches[[#This Row],[Филиал]], tbl_Filialy[Филиал], tbl_Filialy[Менеджер])</f>
        <v>Ирина Соколова</v>
      </c>
    </row>
    <row r="1785" spans="1:10" x14ac:dyDescent="0.3">
      <c r="A1785" t="str">
        <f>_xlfn.XLOOKUP(branches[[#This Row],[Филиал]], tbl_Filialy[Филиал], tbl_Filialy[Город])</f>
        <v>Москва</v>
      </c>
      <c r="B1785" s="1" t="s">
        <v>36</v>
      </c>
      <c r="C1785" s="2">
        <v>45907</v>
      </c>
      <c r="D1785" s="2" t="str">
        <f>CHOOSE(MONTH(branches[[#This Row],[Дата]]),"Январь","Февраль","Март","Апрель","Май","Июнь","Июль","Август","Сентябрь","Октябрь","Ноябрь","Декабрь")&amp;" "&amp;YEAR(branches[[#This Row],[Дата]])</f>
        <v>Сентябрь 2025</v>
      </c>
      <c r="E1785" t="s">
        <v>28</v>
      </c>
      <c r="F1785" t="s">
        <v>12</v>
      </c>
      <c r="G1785">
        <v>1</v>
      </c>
      <c r="H1785">
        <v>216</v>
      </c>
      <c r="I1785" t="s">
        <v>21</v>
      </c>
      <c r="J1785" t="str">
        <f>_xlfn.XLOOKUP(branches[[#This Row],[Филиал]], tbl_Filialy[Филиал], tbl_Filialy[Менеджер])</f>
        <v>Ирина Соколова</v>
      </c>
    </row>
    <row r="1786" spans="1:10" x14ac:dyDescent="0.3">
      <c r="A1786" t="str">
        <f>_xlfn.XLOOKUP(branches[[#This Row],[Филиал]], tbl_Filialy[Филиал], tbl_Filialy[Город])</f>
        <v>Москва</v>
      </c>
      <c r="B1786" s="1" t="s">
        <v>36</v>
      </c>
      <c r="C1786" s="2">
        <v>45796</v>
      </c>
      <c r="D1786" s="2" t="str">
        <f>CHOOSE(MONTH(branches[[#This Row],[Дата]]),"Январь","Февраль","Март","Апрель","Май","Июнь","Июль","Август","Сентябрь","Октябрь","Ноябрь","Декабрь")&amp;" "&amp;YEAR(branches[[#This Row],[Дата]])</f>
        <v>Май 2025</v>
      </c>
      <c r="E1786" t="s">
        <v>16</v>
      </c>
      <c r="F1786" t="s">
        <v>17</v>
      </c>
      <c r="G1786">
        <v>3</v>
      </c>
      <c r="H1786">
        <v>939</v>
      </c>
      <c r="I1786" t="s">
        <v>15</v>
      </c>
      <c r="J1786" t="str">
        <f>_xlfn.XLOOKUP(branches[[#This Row],[Филиал]], tbl_Filialy[Филиал], tbl_Filialy[Менеджер])</f>
        <v>Ирина Соколова</v>
      </c>
    </row>
    <row r="1787" spans="1:10" x14ac:dyDescent="0.3">
      <c r="A1787" t="str">
        <f>_xlfn.XLOOKUP(branches[[#This Row],[Филиал]], tbl_Filialy[Филиал], tbl_Filialy[Город])</f>
        <v>Москва</v>
      </c>
      <c r="B1787" s="1" t="s">
        <v>36</v>
      </c>
      <c r="C1787" s="2">
        <v>45683</v>
      </c>
      <c r="D1787" s="2" t="str">
        <f>CHOOSE(MONTH(branches[[#This Row],[Дата]]),"Январь","Февраль","Март","Апрель","Май","Июнь","Июль","Август","Сентябрь","Октябрь","Ноябрь","Декабрь")&amp;" "&amp;YEAR(branches[[#This Row],[Дата]])</f>
        <v>Январь 2025</v>
      </c>
      <c r="E1787" t="s">
        <v>11</v>
      </c>
      <c r="F1787" t="s">
        <v>12</v>
      </c>
      <c r="G1787">
        <v>3</v>
      </c>
      <c r="H1787">
        <v>465</v>
      </c>
      <c r="I1787" t="s">
        <v>13</v>
      </c>
      <c r="J1787" t="str">
        <f>_xlfn.XLOOKUP(branches[[#This Row],[Филиал]], tbl_Filialy[Филиал], tbl_Filialy[Менеджер])</f>
        <v>Ирина Соколова</v>
      </c>
    </row>
    <row r="1788" spans="1:10" x14ac:dyDescent="0.3">
      <c r="A1788" t="str">
        <f>_xlfn.XLOOKUP(branches[[#This Row],[Филиал]], tbl_Filialy[Филиал], tbl_Filialy[Город])</f>
        <v>Москва</v>
      </c>
      <c r="B1788" s="1" t="s">
        <v>36</v>
      </c>
      <c r="C1788" s="2">
        <v>45725</v>
      </c>
      <c r="D1788" s="2" t="str">
        <f>CHOOSE(MONTH(branches[[#This Row],[Дата]]),"Январь","Февраль","Март","Апрель","Май","Июнь","Июль","Август","Сентябрь","Октябрь","Ноябрь","Декабрь")&amp;" "&amp;YEAR(branches[[#This Row],[Дата]])</f>
        <v>Март 2025</v>
      </c>
      <c r="E1788" t="s">
        <v>20</v>
      </c>
      <c r="F1788" t="s">
        <v>12</v>
      </c>
      <c r="G1788">
        <v>1</v>
      </c>
      <c r="H1788">
        <v>293</v>
      </c>
      <c r="I1788" t="s">
        <v>15</v>
      </c>
      <c r="J1788" t="str">
        <f>_xlfn.XLOOKUP(branches[[#This Row],[Филиал]], tbl_Filialy[Филиал], tbl_Filialy[Менеджер])</f>
        <v>Ирина Соколова</v>
      </c>
    </row>
    <row r="1789" spans="1:10" x14ac:dyDescent="0.3">
      <c r="A1789" t="str">
        <f>_xlfn.XLOOKUP(branches[[#This Row],[Филиал]], tbl_Filialy[Филиал], tbl_Filialy[Город])</f>
        <v>Москва</v>
      </c>
      <c r="B1789" s="1" t="s">
        <v>36</v>
      </c>
      <c r="C1789" s="2">
        <v>45941</v>
      </c>
      <c r="D1789" s="2" t="str">
        <f>CHOOSE(MONTH(branches[[#This Row],[Дата]]),"Январь","Февраль","Март","Апрель","Май","Июнь","Июль","Август","Сентябрь","Октябрь","Ноябрь","Декабрь")&amp;" "&amp;YEAR(branches[[#This Row],[Дата]])</f>
        <v>Октябрь 2025</v>
      </c>
      <c r="E1789" t="s">
        <v>18</v>
      </c>
      <c r="F1789" t="s">
        <v>12</v>
      </c>
      <c r="G1789">
        <v>1</v>
      </c>
      <c r="H1789">
        <v>148</v>
      </c>
      <c r="I1789" t="s">
        <v>15</v>
      </c>
      <c r="J1789" t="str">
        <f>_xlfn.XLOOKUP(branches[[#This Row],[Филиал]], tbl_Filialy[Филиал], tbl_Filialy[Менеджер])</f>
        <v>Ирина Соколова</v>
      </c>
    </row>
    <row r="1790" spans="1:10" x14ac:dyDescent="0.3">
      <c r="A1790" t="str">
        <f>_xlfn.XLOOKUP(branches[[#This Row],[Филиал]], tbl_Filialy[Филиал], tbl_Filialy[Город])</f>
        <v>Москва</v>
      </c>
      <c r="B1790" s="1" t="s">
        <v>36</v>
      </c>
      <c r="C1790" s="2">
        <v>45789</v>
      </c>
      <c r="D1790" s="2" t="str">
        <f>CHOOSE(MONTH(branches[[#This Row],[Дата]]),"Январь","Февраль","Март","Апрель","Май","Июнь","Июль","Август","Сентябрь","Октябрь","Ноябрь","Декабрь")&amp;" "&amp;YEAR(branches[[#This Row],[Дата]])</f>
        <v>Май 2025</v>
      </c>
      <c r="E1790" t="s">
        <v>27</v>
      </c>
      <c r="F1790" t="s">
        <v>12</v>
      </c>
      <c r="G1790">
        <v>1</v>
      </c>
      <c r="H1790">
        <v>202</v>
      </c>
      <c r="I1790" t="s">
        <v>15</v>
      </c>
      <c r="J1790" t="str">
        <f>_xlfn.XLOOKUP(branches[[#This Row],[Филиал]], tbl_Filialy[Филиал], tbl_Filialy[Менеджер])</f>
        <v>Ирина Соколова</v>
      </c>
    </row>
    <row r="1791" spans="1:10" x14ac:dyDescent="0.3">
      <c r="A1791" t="str">
        <f>_xlfn.XLOOKUP(branches[[#This Row],[Филиал]], tbl_Filialy[Филиал], tbl_Filialy[Город])</f>
        <v>Москва</v>
      </c>
      <c r="B1791" s="1" t="s">
        <v>36</v>
      </c>
      <c r="C1791" s="2">
        <v>46005</v>
      </c>
      <c r="D1791" s="2" t="str">
        <f>CHOOSE(MONTH(branches[[#This Row],[Дата]]),"Январь","Февраль","Март","Апрель","Май","Июнь","Июль","Август","Сентябрь","Октябрь","Ноябрь","Декабрь")&amp;" "&amp;YEAR(branches[[#This Row],[Дата]])</f>
        <v>Декабрь 2025</v>
      </c>
      <c r="E1791" t="s">
        <v>22</v>
      </c>
      <c r="F1791" t="s">
        <v>9</v>
      </c>
      <c r="G1791">
        <v>1</v>
      </c>
      <c r="H1791">
        <v>195</v>
      </c>
      <c r="I1791" t="s">
        <v>15</v>
      </c>
      <c r="J1791" t="str">
        <f>_xlfn.XLOOKUP(branches[[#This Row],[Филиал]], tbl_Filialy[Филиал], tbl_Filialy[Менеджер])</f>
        <v>Ирина Соколова</v>
      </c>
    </row>
    <row r="1792" spans="1:10" x14ac:dyDescent="0.3">
      <c r="A1792" t="str">
        <f>_xlfn.XLOOKUP(branches[[#This Row],[Филиал]], tbl_Filialy[Филиал], tbl_Filialy[Город])</f>
        <v>Москва</v>
      </c>
      <c r="B1792" s="1" t="s">
        <v>36</v>
      </c>
      <c r="C1792" s="2">
        <v>45964</v>
      </c>
      <c r="D1792" s="2" t="str">
        <f>CHOOSE(MONTH(branches[[#This Row],[Дата]]),"Январь","Февраль","Март","Апрель","Май","Июнь","Июль","Август","Сентябрь","Октябрь","Ноябрь","Декабрь")&amp;" "&amp;YEAR(branches[[#This Row],[Дата]])</f>
        <v>Ноябрь 2025</v>
      </c>
      <c r="E1792" t="s">
        <v>27</v>
      </c>
      <c r="F1792" t="s">
        <v>12</v>
      </c>
      <c r="G1792">
        <v>1</v>
      </c>
      <c r="H1792">
        <v>225</v>
      </c>
      <c r="I1792" t="s">
        <v>10</v>
      </c>
      <c r="J1792" t="str">
        <f>_xlfn.XLOOKUP(branches[[#This Row],[Филиал]], tbl_Filialy[Филиал], tbl_Filialy[Менеджер])</f>
        <v>Ирина Соколова</v>
      </c>
    </row>
    <row r="1793" spans="1:10" x14ac:dyDescent="0.3">
      <c r="A1793" t="str">
        <f>_xlfn.XLOOKUP(branches[[#This Row],[Филиал]], tbl_Filialy[Филиал], tbl_Filialy[Город])</f>
        <v>Москва</v>
      </c>
      <c r="B1793" s="1" t="s">
        <v>36</v>
      </c>
      <c r="C1793" s="2">
        <v>45712</v>
      </c>
      <c r="D1793" s="2" t="str">
        <f>CHOOSE(MONTH(branches[[#This Row],[Дата]]),"Январь","Февраль","Март","Апрель","Май","Июнь","Июль","Август","Сентябрь","Октябрь","Ноябрь","Декабрь")&amp;" "&amp;YEAR(branches[[#This Row],[Дата]])</f>
        <v>Февраль 2025</v>
      </c>
      <c r="E1793" t="s">
        <v>8</v>
      </c>
      <c r="F1793" t="s">
        <v>9</v>
      </c>
      <c r="G1793">
        <v>2</v>
      </c>
      <c r="H1793">
        <v>518</v>
      </c>
      <c r="I1793" t="s">
        <v>21</v>
      </c>
      <c r="J1793" t="str">
        <f>_xlfn.XLOOKUP(branches[[#This Row],[Филиал]], tbl_Filialy[Филиал], tbl_Filialy[Менеджер])</f>
        <v>Ирина Соколова</v>
      </c>
    </row>
    <row r="1794" spans="1:10" x14ac:dyDescent="0.3">
      <c r="A1794" t="str">
        <f>_xlfn.XLOOKUP(branches[[#This Row],[Филиал]], tbl_Filialy[Филиал], tbl_Filialy[Город])</f>
        <v>Москва</v>
      </c>
      <c r="B1794" s="1" t="s">
        <v>36</v>
      </c>
      <c r="C1794" s="2">
        <v>45973</v>
      </c>
      <c r="D1794" s="2" t="str">
        <f>CHOOSE(MONTH(branches[[#This Row],[Дата]]),"Январь","Февраль","Март","Апрель","Май","Июнь","Июль","Август","Сентябрь","Октябрь","Ноябрь","Декабрь")&amp;" "&amp;YEAR(branches[[#This Row],[Дата]])</f>
        <v>Ноябрь 2025</v>
      </c>
      <c r="E1794" t="s">
        <v>24</v>
      </c>
      <c r="F1794" t="s">
        <v>17</v>
      </c>
      <c r="G1794">
        <v>3</v>
      </c>
      <c r="H1794">
        <v>1164</v>
      </c>
      <c r="I1794" t="s">
        <v>15</v>
      </c>
      <c r="J1794" t="str">
        <f>_xlfn.XLOOKUP(branches[[#This Row],[Филиал]], tbl_Filialy[Филиал], tbl_Filialy[Менеджер])</f>
        <v>Ирина Соколова</v>
      </c>
    </row>
    <row r="1795" spans="1:10" x14ac:dyDescent="0.3">
      <c r="A1795" t="str">
        <f>_xlfn.XLOOKUP(branches[[#This Row],[Филиал]], tbl_Filialy[Филиал], tbl_Filialy[Город])</f>
        <v>Москва</v>
      </c>
      <c r="B1795" s="1" t="s">
        <v>36</v>
      </c>
      <c r="C1795" s="2">
        <v>45817</v>
      </c>
      <c r="D1795" s="2" t="str">
        <f>CHOOSE(MONTH(branches[[#This Row],[Дата]]),"Январь","Февраль","Март","Апрель","Май","Июнь","Июль","Август","Сентябрь","Октябрь","Ноябрь","Декабрь")&amp;" "&amp;YEAR(branches[[#This Row],[Дата]])</f>
        <v>Июнь 2025</v>
      </c>
      <c r="E1795" t="s">
        <v>11</v>
      </c>
      <c r="F1795" t="s">
        <v>12</v>
      </c>
      <c r="G1795">
        <v>2</v>
      </c>
      <c r="H1795">
        <v>290</v>
      </c>
      <c r="I1795" t="s">
        <v>21</v>
      </c>
      <c r="J1795" t="str">
        <f>_xlfn.XLOOKUP(branches[[#This Row],[Филиал]], tbl_Filialy[Филиал], tbl_Filialy[Менеджер])</f>
        <v>Ирина Соколова</v>
      </c>
    </row>
    <row r="1796" spans="1:10" x14ac:dyDescent="0.3">
      <c r="A1796" t="str">
        <f>_xlfn.XLOOKUP(branches[[#This Row],[Филиал]], tbl_Filialy[Филиал], tbl_Filialy[Город])</f>
        <v>Москва</v>
      </c>
      <c r="B1796" s="1" t="s">
        <v>36</v>
      </c>
      <c r="C1796" s="2">
        <v>45908</v>
      </c>
      <c r="D1796" s="2" t="str">
        <f>CHOOSE(MONTH(branches[[#This Row],[Дата]]),"Январь","Февраль","Март","Апрель","Май","Июнь","Июль","Август","Сентябрь","Октябрь","Ноябрь","Декабрь")&amp;" "&amp;YEAR(branches[[#This Row],[Дата]])</f>
        <v>Сентябрь 2025</v>
      </c>
      <c r="E1796" t="s">
        <v>11</v>
      </c>
      <c r="F1796" t="s">
        <v>12</v>
      </c>
      <c r="G1796">
        <v>1</v>
      </c>
      <c r="H1796">
        <v>177</v>
      </c>
      <c r="I1796" t="s">
        <v>23</v>
      </c>
      <c r="J1796" t="str">
        <f>_xlfn.XLOOKUP(branches[[#This Row],[Филиал]], tbl_Filialy[Филиал], tbl_Filialy[Менеджер])</f>
        <v>Ирина Соколова</v>
      </c>
    </row>
    <row r="1797" spans="1:10" x14ac:dyDescent="0.3">
      <c r="A1797" t="str">
        <f>_xlfn.XLOOKUP(branches[[#This Row],[Филиал]], tbl_Filialy[Филиал], tbl_Filialy[Город])</f>
        <v>Москва</v>
      </c>
      <c r="B1797" s="1" t="s">
        <v>36</v>
      </c>
      <c r="C1797" s="2">
        <v>45972</v>
      </c>
      <c r="D1797" s="2" t="str">
        <f>CHOOSE(MONTH(branches[[#This Row],[Дата]]),"Январь","Февраль","Март","Апрель","Май","Июнь","Июль","Август","Сентябрь","Октябрь","Ноябрь","Декабрь")&amp;" "&amp;YEAR(branches[[#This Row],[Дата]])</f>
        <v>Ноябрь 2025</v>
      </c>
      <c r="E1797" t="s">
        <v>11</v>
      </c>
      <c r="F1797" t="s">
        <v>12</v>
      </c>
      <c r="G1797">
        <v>1</v>
      </c>
      <c r="H1797">
        <v>192</v>
      </c>
      <c r="I1797" t="s">
        <v>10</v>
      </c>
      <c r="J1797" t="str">
        <f>_xlfn.XLOOKUP(branches[[#This Row],[Филиал]], tbl_Filialy[Филиал], tbl_Filialy[Менеджер])</f>
        <v>Ирина Соколова</v>
      </c>
    </row>
    <row r="1798" spans="1:10" x14ac:dyDescent="0.3">
      <c r="A1798" t="str">
        <f>_xlfn.XLOOKUP(branches[[#This Row],[Филиал]], tbl_Filialy[Филиал], tbl_Filialy[Город])</f>
        <v>Москва</v>
      </c>
      <c r="B1798" s="1" t="s">
        <v>36</v>
      </c>
      <c r="C1798" s="2">
        <v>45739</v>
      </c>
      <c r="D1798" s="2" t="str">
        <f>CHOOSE(MONTH(branches[[#This Row],[Дата]]),"Январь","Февраль","Март","Апрель","Май","Июнь","Июль","Август","Сентябрь","Октябрь","Ноябрь","Декабрь")&amp;" "&amp;YEAR(branches[[#This Row],[Дата]])</f>
        <v>Март 2025</v>
      </c>
      <c r="E1798" t="s">
        <v>26</v>
      </c>
      <c r="F1798" t="s">
        <v>9</v>
      </c>
      <c r="G1798">
        <v>1</v>
      </c>
      <c r="H1798">
        <v>214</v>
      </c>
      <c r="I1798" t="s">
        <v>10</v>
      </c>
      <c r="J1798" t="str">
        <f>_xlfn.XLOOKUP(branches[[#This Row],[Филиал]], tbl_Filialy[Филиал], tbl_Filialy[Менеджер])</f>
        <v>Ирина Соколова</v>
      </c>
    </row>
    <row r="1799" spans="1:10" x14ac:dyDescent="0.3">
      <c r="A1799" t="str">
        <f>_xlfn.XLOOKUP(branches[[#This Row],[Филиал]], tbl_Filialy[Филиал], tbl_Filialy[Город])</f>
        <v>Москва</v>
      </c>
      <c r="B1799" s="1" t="s">
        <v>36</v>
      </c>
      <c r="C1799" s="2">
        <v>45768</v>
      </c>
      <c r="D1799" s="2" t="str">
        <f>CHOOSE(MONTH(branches[[#This Row],[Дата]]),"Январь","Февраль","Март","Апрель","Май","Июнь","Июль","Август","Сентябрь","Октябрь","Ноябрь","Декабрь")&amp;" "&amp;YEAR(branches[[#This Row],[Дата]])</f>
        <v>Апрель 2025</v>
      </c>
      <c r="E1799" t="s">
        <v>24</v>
      </c>
      <c r="F1799" t="s">
        <v>17</v>
      </c>
      <c r="G1799">
        <v>1</v>
      </c>
      <c r="H1799">
        <v>361</v>
      </c>
      <c r="I1799" t="s">
        <v>21</v>
      </c>
      <c r="J1799" t="str">
        <f>_xlfn.XLOOKUP(branches[[#This Row],[Филиал]], tbl_Filialy[Филиал], tbl_Filialy[Менеджер])</f>
        <v>Ирина Соколова</v>
      </c>
    </row>
    <row r="1800" spans="1:10" x14ac:dyDescent="0.3">
      <c r="A1800" t="str">
        <f>_xlfn.XLOOKUP(branches[[#This Row],[Филиал]], tbl_Filialy[Филиал], tbl_Filialy[Город])</f>
        <v>Москва</v>
      </c>
      <c r="B1800" s="1" t="s">
        <v>36</v>
      </c>
      <c r="C1800" s="2">
        <v>45743</v>
      </c>
      <c r="D1800" s="2" t="str">
        <f>CHOOSE(MONTH(branches[[#This Row],[Дата]]),"Январь","Февраль","Март","Апрель","Май","Июнь","Июль","Август","Сентябрь","Октябрь","Ноябрь","Декабрь")&amp;" "&amp;YEAR(branches[[#This Row],[Дата]])</f>
        <v>Март 2025</v>
      </c>
      <c r="E1800" t="s">
        <v>25</v>
      </c>
      <c r="F1800" t="s">
        <v>12</v>
      </c>
      <c r="G1800">
        <v>1</v>
      </c>
      <c r="H1800">
        <v>235</v>
      </c>
      <c r="I1800" t="s">
        <v>15</v>
      </c>
      <c r="J1800" t="str">
        <f>_xlfn.XLOOKUP(branches[[#This Row],[Филиал]], tbl_Filialy[Филиал], tbl_Filialy[Менеджер])</f>
        <v>Ирина Соколова</v>
      </c>
    </row>
    <row r="1801" spans="1:10" x14ac:dyDescent="0.3">
      <c r="A1801" t="str">
        <f>_xlfn.XLOOKUP(branches[[#This Row],[Филиал]], tbl_Filialy[Филиал], tbl_Filialy[Город])</f>
        <v>Москва</v>
      </c>
      <c r="B1801" s="1" t="s">
        <v>36</v>
      </c>
      <c r="C1801" s="2">
        <v>45675</v>
      </c>
      <c r="D1801" s="2" t="str">
        <f>CHOOSE(MONTH(branches[[#This Row],[Дата]]),"Январь","Февраль","Март","Апрель","Май","Июнь","Июль","Август","Сентябрь","Октябрь","Ноябрь","Декабрь")&amp;" "&amp;YEAR(branches[[#This Row],[Дата]])</f>
        <v>Январь 2025</v>
      </c>
      <c r="E1801" t="s">
        <v>26</v>
      </c>
      <c r="F1801" t="s">
        <v>9</v>
      </c>
      <c r="G1801">
        <v>3</v>
      </c>
      <c r="H1801">
        <v>585</v>
      </c>
      <c r="I1801" t="s">
        <v>13</v>
      </c>
      <c r="J1801" t="str">
        <f>_xlfn.XLOOKUP(branches[[#This Row],[Филиал]], tbl_Filialy[Филиал], tbl_Filialy[Менеджер])</f>
        <v>Ирина Соколова</v>
      </c>
    </row>
    <row r="1802" spans="1:10" x14ac:dyDescent="0.3">
      <c r="A1802" t="str">
        <f>_xlfn.XLOOKUP(branches[[#This Row],[Филиал]], tbl_Filialy[Филиал], tbl_Filialy[Город])</f>
        <v>Москва</v>
      </c>
      <c r="B1802" s="1" t="s">
        <v>36</v>
      </c>
      <c r="C1802" s="2">
        <v>45917</v>
      </c>
      <c r="D1802" s="2" t="str">
        <f>CHOOSE(MONTH(branches[[#This Row],[Дата]]),"Январь","Февраль","Март","Апрель","Май","Июнь","Июль","Август","Сентябрь","Октябрь","Ноябрь","Декабрь")&amp;" "&amp;YEAR(branches[[#This Row],[Дата]])</f>
        <v>Сентябрь 2025</v>
      </c>
      <c r="E1802" t="s">
        <v>16</v>
      </c>
      <c r="F1802" t="s">
        <v>17</v>
      </c>
      <c r="G1802">
        <v>3</v>
      </c>
      <c r="H1802">
        <v>870</v>
      </c>
      <c r="I1802" t="s">
        <v>10</v>
      </c>
      <c r="J1802" t="str">
        <f>_xlfn.XLOOKUP(branches[[#This Row],[Филиал]], tbl_Filialy[Филиал], tbl_Filialy[Менеджер])</f>
        <v>Ирина Соколова</v>
      </c>
    </row>
    <row r="1803" spans="1:10" x14ac:dyDescent="0.3">
      <c r="A1803" t="str">
        <f>_xlfn.XLOOKUP(branches[[#This Row],[Филиал]], tbl_Filialy[Филиал], tbl_Filialy[Город])</f>
        <v>Москва</v>
      </c>
      <c r="B1803" s="1" t="s">
        <v>36</v>
      </c>
      <c r="C1803" s="2">
        <v>45916</v>
      </c>
      <c r="D1803" s="2" t="str">
        <f>CHOOSE(MONTH(branches[[#This Row],[Дата]]),"Январь","Февраль","Март","Апрель","Май","Июнь","Июль","Август","Сентябрь","Октябрь","Ноябрь","Декабрь")&amp;" "&amp;YEAR(branches[[#This Row],[Дата]])</f>
        <v>Сентябрь 2025</v>
      </c>
      <c r="E1803" t="s">
        <v>27</v>
      </c>
      <c r="F1803" t="s">
        <v>12</v>
      </c>
      <c r="G1803">
        <v>2</v>
      </c>
      <c r="H1803">
        <v>470</v>
      </c>
      <c r="I1803" t="s">
        <v>23</v>
      </c>
      <c r="J1803" t="str">
        <f>_xlfn.XLOOKUP(branches[[#This Row],[Филиал]], tbl_Filialy[Филиал], tbl_Filialy[Менеджер])</f>
        <v>Ирина Соколова</v>
      </c>
    </row>
    <row r="1804" spans="1:10" x14ac:dyDescent="0.3">
      <c r="A1804" t="str">
        <f>_xlfn.XLOOKUP(branches[[#This Row],[Филиал]], tbl_Filialy[Филиал], tbl_Filialy[Город])</f>
        <v>Москва</v>
      </c>
      <c r="B1804" s="1" t="s">
        <v>36</v>
      </c>
      <c r="C1804" s="2">
        <v>45949</v>
      </c>
      <c r="D1804" s="2" t="str">
        <f>CHOOSE(MONTH(branches[[#This Row],[Дата]]),"Январь","Февраль","Март","Апрель","Май","Июнь","Июль","Август","Сентябрь","Октябрь","Ноябрь","Декабрь")&amp;" "&amp;YEAR(branches[[#This Row],[Дата]])</f>
        <v>Октябрь 2025</v>
      </c>
      <c r="E1804" t="s">
        <v>22</v>
      </c>
      <c r="F1804" t="s">
        <v>9</v>
      </c>
      <c r="G1804">
        <v>1</v>
      </c>
      <c r="H1804">
        <v>173</v>
      </c>
      <c r="I1804" t="s">
        <v>10</v>
      </c>
      <c r="J1804" t="str">
        <f>_xlfn.XLOOKUP(branches[[#This Row],[Филиал]], tbl_Filialy[Филиал], tbl_Filialy[Менеджер])</f>
        <v>Ирина Соколова</v>
      </c>
    </row>
    <row r="1805" spans="1:10" x14ac:dyDescent="0.3">
      <c r="A1805" t="str">
        <f>_xlfn.XLOOKUP(branches[[#This Row],[Филиал]], tbl_Filialy[Филиал], tbl_Filialy[Город])</f>
        <v>Москва</v>
      </c>
      <c r="B1805" s="1" t="s">
        <v>36</v>
      </c>
      <c r="C1805" s="2">
        <v>46019</v>
      </c>
      <c r="D1805" s="2" t="str">
        <f>CHOOSE(MONTH(branches[[#This Row],[Дата]]),"Январь","Февраль","Март","Апрель","Май","Июнь","Июль","Август","Сентябрь","Октябрь","Ноябрь","Декабрь")&amp;" "&amp;YEAR(branches[[#This Row],[Дата]])</f>
        <v>Декабрь 2025</v>
      </c>
      <c r="E1805" t="s">
        <v>16</v>
      </c>
      <c r="F1805" t="s">
        <v>17</v>
      </c>
      <c r="G1805">
        <v>1</v>
      </c>
      <c r="H1805">
        <v>352</v>
      </c>
      <c r="I1805" t="s">
        <v>23</v>
      </c>
      <c r="J1805" t="str">
        <f>_xlfn.XLOOKUP(branches[[#This Row],[Филиал]], tbl_Filialy[Филиал], tbl_Filialy[Менеджер])</f>
        <v>Ирина Соколова</v>
      </c>
    </row>
    <row r="1806" spans="1:10" x14ac:dyDescent="0.3">
      <c r="A1806" t="str">
        <f>_xlfn.XLOOKUP(branches[[#This Row],[Филиал]], tbl_Filialy[Филиал], tbl_Filialy[Город])</f>
        <v>Москва</v>
      </c>
      <c r="B1806" s="1" t="s">
        <v>36</v>
      </c>
      <c r="C1806" s="2">
        <v>45792</v>
      </c>
      <c r="D1806" s="2" t="str">
        <f>CHOOSE(MONTH(branches[[#This Row],[Дата]]),"Январь","Февраль","Март","Апрель","Май","Июнь","Июль","Август","Сентябрь","Октябрь","Ноябрь","Декабрь")&amp;" "&amp;YEAR(branches[[#This Row],[Дата]])</f>
        <v>Май 2025</v>
      </c>
      <c r="E1806" t="s">
        <v>22</v>
      </c>
      <c r="F1806" t="s">
        <v>9</v>
      </c>
      <c r="G1806">
        <v>3</v>
      </c>
      <c r="H1806">
        <v>528</v>
      </c>
      <c r="I1806" t="s">
        <v>10</v>
      </c>
      <c r="J1806" t="str">
        <f>_xlfn.XLOOKUP(branches[[#This Row],[Филиал]], tbl_Filialy[Филиал], tbl_Filialy[Менеджер])</f>
        <v>Ирина Соколова</v>
      </c>
    </row>
    <row r="1807" spans="1:10" x14ac:dyDescent="0.3">
      <c r="A1807" t="str">
        <f>_xlfn.XLOOKUP(branches[[#This Row],[Филиал]], tbl_Filialy[Филиал], tbl_Filialy[Город])</f>
        <v>Москва</v>
      </c>
      <c r="B1807" s="1" t="s">
        <v>36</v>
      </c>
      <c r="C1807" s="2">
        <v>45719</v>
      </c>
      <c r="D1807" s="2" t="str">
        <f>CHOOSE(MONTH(branches[[#This Row],[Дата]]),"Январь","Февраль","Март","Апрель","Май","Июнь","Июль","Август","Сентябрь","Октябрь","Ноябрь","Декабрь")&amp;" "&amp;YEAR(branches[[#This Row],[Дата]])</f>
        <v>Март 2025</v>
      </c>
      <c r="E1807" t="s">
        <v>25</v>
      </c>
      <c r="F1807" t="s">
        <v>12</v>
      </c>
      <c r="G1807">
        <v>3</v>
      </c>
      <c r="H1807">
        <v>654</v>
      </c>
      <c r="I1807" t="s">
        <v>19</v>
      </c>
      <c r="J1807" t="str">
        <f>_xlfn.XLOOKUP(branches[[#This Row],[Филиал]], tbl_Filialy[Филиал], tbl_Filialy[Менеджер])</f>
        <v>Ирина Соколова</v>
      </c>
    </row>
    <row r="1808" spans="1:10" x14ac:dyDescent="0.3">
      <c r="A1808" t="str">
        <f>_xlfn.XLOOKUP(branches[[#This Row],[Филиал]], tbl_Filialy[Филиал], tbl_Filialy[Город])</f>
        <v>Москва</v>
      </c>
      <c r="B1808" s="1" t="s">
        <v>36</v>
      </c>
      <c r="C1808" s="2">
        <v>45771</v>
      </c>
      <c r="D1808" s="2" t="str">
        <f>CHOOSE(MONTH(branches[[#This Row],[Дата]]),"Январь","Февраль","Март","Апрель","Май","Июнь","Июль","Август","Сентябрь","Октябрь","Ноябрь","Декабрь")&amp;" "&amp;YEAR(branches[[#This Row],[Дата]])</f>
        <v>Апрель 2025</v>
      </c>
      <c r="E1808" t="s">
        <v>11</v>
      </c>
      <c r="F1808" t="s">
        <v>12</v>
      </c>
      <c r="G1808">
        <v>1</v>
      </c>
      <c r="H1808">
        <v>158</v>
      </c>
      <c r="I1808" t="s">
        <v>15</v>
      </c>
      <c r="J1808" t="str">
        <f>_xlfn.XLOOKUP(branches[[#This Row],[Филиал]], tbl_Filialy[Филиал], tbl_Filialy[Менеджер])</f>
        <v>Ирина Соколова</v>
      </c>
    </row>
    <row r="1809" spans="1:10" x14ac:dyDescent="0.3">
      <c r="A1809" t="str">
        <f>_xlfn.XLOOKUP(branches[[#This Row],[Филиал]], tbl_Filialy[Филиал], tbl_Filialy[Город])</f>
        <v>Москва</v>
      </c>
      <c r="B1809" s="1" t="s">
        <v>36</v>
      </c>
      <c r="C1809" s="2">
        <v>45811</v>
      </c>
      <c r="D1809" s="2" t="str">
        <f>CHOOSE(MONTH(branches[[#This Row],[Дата]]),"Январь","Февраль","Март","Апрель","Май","Июнь","Июль","Август","Сентябрь","Октябрь","Ноябрь","Декабрь")&amp;" "&amp;YEAR(branches[[#This Row],[Дата]])</f>
        <v>Июнь 2025</v>
      </c>
      <c r="E1809" t="s">
        <v>20</v>
      </c>
      <c r="F1809" t="s">
        <v>12</v>
      </c>
      <c r="G1809">
        <v>2</v>
      </c>
      <c r="H1809">
        <v>526</v>
      </c>
      <c r="I1809" t="s">
        <v>21</v>
      </c>
      <c r="J1809" t="str">
        <f>_xlfn.XLOOKUP(branches[[#This Row],[Филиал]], tbl_Filialy[Филиал], tbl_Filialy[Менеджер])</f>
        <v>Ирина Соколова</v>
      </c>
    </row>
    <row r="1810" spans="1:10" x14ac:dyDescent="0.3">
      <c r="A1810" t="str">
        <f>_xlfn.XLOOKUP(branches[[#This Row],[Филиал]], tbl_Filialy[Филиал], tbl_Filialy[Город])</f>
        <v>Москва</v>
      </c>
      <c r="B1810" s="1" t="s">
        <v>36</v>
      </c>
      <c r="C1810" s="2">
        <v>45874</v>
      </c>
      <c r="D1810" s="2" t="str">
        <f>CHOOSE(MONTH(branches[[#This Row],[Дата]]),"Январь","Февраль","Март","Апрель","Май","Июнь","Июль","Август","Сентябрь","Октябрь","Ноябрь","Декабрь")&amp;" "&amp;YEAR(branches[[#This Row],[Дата]])</f>
        <v>Август 2025</v>
      </c>
      <c r="E1810" t="s">
        <v>20</v>
      </c>
      <c r="F1810" t="s">
        <v>12</v>
      </c>
      <c r="G1810">
        <v>1</v>
      </c>
      <c r="H1810">
        <v>295</v>
      </c>
      <c r="I1810" t="s">
        <v>29</v>
      </c>
      <c r="J1810" t="str">
        <f>_xlfn.XLOOKUP(branches[[#This Row],[Филиал]], tbl_Filialy[Филиал], tbl_Filialy[Менеджер])</f>
        <v>Ирина Соколова</v>
      </c>
    </row>
    <row r="1811" spans="1:10" x14ac:dyDescent="0.3">
      <c r="A1811" t="str">
        <f>_xlfn.XLOOKUP(branches[[#This Row],[Филиал]], tbl_Filialy[Филиал], tbl_Filialy[Город])</f>
        <v>Москва</v>
      </c>
      <c r="B1811" s="1" t="s">
        <v>36</v>
      </c>
      <c r="C1811" s="2">
        <v>45729</v>
      </c>
      <c r="D1811" s="2" t="str">
        <f>CHOOSE(MONTH(branches[[#This Row],[Дата]]),"Январь","Февраль","Март","Апрель","Май","Июнь","Июль","Август","Сентябрь","Октябрь","Ноябрь","Декабрь")&amp;" "&amp;YEAR(branches[[#This Row],[Дата]])</f>
        <v>Март 2025</v>
      </c>
      <c r="E1811" t="s">
        <v>26</v>
      </c>
      <c r="F1811" t="s">
        <v>9</v>
      </c>
      <c r="G1811">
        <v>2</v>
      </c>
      <c r="H1811">
        <v>454</v>
      </c>
      <c r="I1811" t="s">
        <v>10</v>
      </c>
      <c r="J1811" t="str">
        <f>_xlfn.XLOOKUP(branches[[#This Row],[Филиал]], tbl_Filialy[Филиал], tbl_Filialy[Менеджер])</f>
        <v>Ирина Соколова</v>
      </c>
    </row>
    <row r="1812" spans="1:10" x14ac:dyDescent="0.3">
      <c r="A1812" t="str">
        <f>_xlfn.XLOOKUP(branches[[#This Row],[Филиал]], tbl_Filialy[Филиал], tbl_Filialy[Город])</f>
        <v>Москва</v>
      </c>
      <c r="B1812" s="1" t="s">
        <v>36</v>
      </c>
      <c r="C1812" s="2">
        <v>45875</v>
      </c>
      <c r="D1812" s="2" t="str">
        <f>CHOOSE(MONTH(branches[[#This Row],[Дата]]),"Январь","Февраль","Март","Апрель","Май","Июнь","Июль","Август","Сентябрь","Октябрь","Ноябрь","Декабрь")&amp;" "&amp;YEAR(branches[[#This Row],[Дата]])</f>
        <v>Август 2025</v>
      </c>
      <c r="E1812" t="s">
        <v>14</v>
      </c>
      <c r="F1812" t="s">
        <v>12</v>
      </c>
      <c r="G1812">
        <v>1</v>
      </c>
      <c r="H1812">
        <v>278</v>
      </c>
      <c r="I1812" t="s">
        <v>10</v>
      </c>
      <c r="J1812" t="str">
        <f>_xlfn.XLOOKUP(branches[[#This Row],[Филиал]], tbl_Filialy[Филиал], tbl_Filialy[Менеджер])</f>
        <v>Ирина Соколова</v>
      </c>
    </row>
    <row r="1813" spans="1:10" x14ac:dyDescent="0.3">
      <c r="A1813" t="str">
        <f>_xlfn.XLOOKUP(branches[[#This Row],[Филиал]], tbl_Filialy[Филиал], tbl_Filialy[Город])</f>
        <v>Москва</v>
      </c>
      <c r="B1813" s="1" t="s">
        <v>36</v>
      </c>
      <c r="C1813" s="2">
        <v>45841</v>
      </c>
      <c r="D1813" s="2" t="str">
        <f>CHOOSE(MONTH(branches[[#This Row],[Дата]]),"Январь","Февраль","Март","Апрель","Май","Июнь","Июль","Август","Сентябрь","Октябрь","Ноябрь","Декабрь")&amp;" "&amp;YEAR(branches[[#This Row],[Дата]])</f>
        <v>Июль 2025</v>
      </c>
      <c r="E1813" t="s">
        <v>26</v>
      </c>
      <c r="F1813" t="s">
        <v>9</v>
      </c>
      <c r="G1813">
        <v>1</v>
      </c>
      <c r="H1813">
        <v>228</v>
      </c>
      <c r="I1813" t="s">
        <v>10</v>
      </c>
      <c r="J1813" t="str">
        <f>_xlfn.XLOOKUP(branches[[#This Row],[Филиал]], tbl_Filialy[Филиал], tbl_Filialy[Менеджер])</f>
        <v>Ирина Соколова</v>
      </c>
    </row>
    <row r="1814" spans="1:10" x14ac:dyDescent="0.3">
      <c r="A1814" t="str">
        <f>_xlfn.XLOOKUP(branches[[#This Row],[Филиал]], tbl_Filialy[Филиал], tbl_Filialy[Город])</f>
        <v>Москва</v>
      </c>
      <c r="B1814" s="1" t="s">
        <v>36</v>
      </c>
      <c r="C1814" s="2">
        <v>45685</v>
      </c>
      <c r="D1814" s="2" t="str">
        <f>CHOOSE(MONTH(branches[[#This Row],[Дата]]),"Январь","Февраль","Март","Апрель","Май","Июнь","Июль","Август","Сентябрь","Октябрь","Ноябрь","Декабрь")&amp;" "&amp;YEAR(branches[[#This Row],[Дата]])</f>
        <v>Январь 2025</v>
      </c>
      <c r="E1814" t="s">
        <v>11</v>
      </c>
      <c r="F1814" t="s">
        <v>12</v>
      </c>
      <c r="G1814">
        <v>2</v>
      </c>
      <c r="H1814">
        <v>302</v>
      </c>
      <c r="I1814" t="s">
        <v>13</v>
      </c>
      <c r="J1814" t="str">
        <f>_xlfn.XLOOKUP(branches[[#This Row],[Филиал]], tbl_Filialy[Филиал], tbl_Filialy[Менеджер])</f>
        <v>Ирина Соколова</v>
      </c>
    </row>
    <row r="1815" spans="1:10" x14ac:dyDescent="0.3">
      <c r="A1815" t="str">
        <f>_xlfn.XLOOKUP(branches[[#This Row],[Филиал]], tbl_Filialy[Филиал], tbl_Filialy[Город])</f>
        <v>Москва</v>
      </c>
      <c r="B1815" s="1" t="s">
        <v>36</v>
      </c>
      <c r="C1815" s="2">
        <v>45945</v>
      </c>
      <c r="D1815" s="2" t="str">
        <f>CHOOSE(MONTH(branches[[#This Row],[Дата]]),"Январь","Февраль","Март","Апрель","Май","Июнь","Июль","Август","Сентябрь","Октябрь","Ноябрь","Декабрь")&amp;" "&amp;YEAR(branches[[#This Row],[Дата]])</f>
        <v>Октябрь 2025</v>
      </c>
      <c r="E1815" t="s">
        <v>25</v>
      </c>
      <c r="F1815" t="s">
        <v>12</v>
      </c>
      <c r="G1815">
        <v>1</v>
      </c>
      <c r="H1815">
        <v>206</v>
      </c>
      <c r="I1815" t="s">
        <v>19</v>
      </c>
      <c r="J1815" t="str">
        <f>_xlfn.XLOOKUP(branches[[#This Row],[Филиал]], tbl_Filialy[Филиал], tbl_Filialy[Менеджер])</f>
        <v>Ирина Соколова</v>
      </c>
    </row>
    <row r="1816" spans="1:10" x14ac:dyDescent="0.3">
      <c r="A1816" t="str">
        <f>_xlfn.XLOOKUP(branches[[#This Row],[Филиал]], tbl_Filialy[Филиал], tbl_Filialy[Город])</f>
        <v>Москва</v>
      </c>
      <c r="B1816" s="1" t="s">
        <v>36</v>
      </c>
      <c r="C1816" s="2">
        <v>45911</v>
      </c>
      <c r="D1816" s="2" t="str">
        <f>CHOOSE(MONTH(branches[[#This Row],[Дата]]),"Январь","Февраль","Март","Апрель","Май","Июнь","Июль","Август","Сентябрь","Октябрь","Ноябрь","Декабрь")&amp;" "&amp;YEAR(branches[[#This Row],[Дата]])</f>
        <v>Сентябрь 2025</v>
      </c>
      <c r="E1816" t="s">
        <v>11</v>
      </c>
      <c r="F1816" t="s">
        <v>12</v>
      </c>
      <c r="G1816">
        <v>2</v>
      </c>
      <c r="H1816">
        <v>326</v>
      </c>
      <c r="I1816" t="s">
        <v>23</v>
      </c>
      <c r="J1816" t="str">
        <f>_xlfn.XLOOKUP(branches[[#This Row],[Филиал]], tbl_Filialy[Филиал], tbl_Filialy[Менеджер])</f>
        <v>Ирина Соколова</v>
      </c>
    </row>
    <row r="1817" spans="1:10" x14ac:dyDescent="0.3">
      <c r="A1817" t="str">
        <f>_xlfn.XLOOKUP(branches[[#This Row],[Филиал]], tbl_Filialy[Филиал], tbl_Filialy[Город])</f>
        <v>Москва</v>
      </c>
      <c r="B1817" s="1" t="s">
        <v>36</v>
      </c>
      <c r="C1817" s="2">
        <v>45859</v>
      </c>
      <c r="D1817" s="2" t="str">
        <f>CHOOSE(MONTH(branches[[#This Row],[Дата]]),"Январь","Февраль","Март","Апрель","Май","Июнь","Июль","Август","Сентябрь","Октябрь","Ноябрь","Декабрь")&amp;" "&amp;YEAR(branches[[#This Row],[Дата]])</f>
        <v>Июль 2025</v>
      </c>
      <c r="E1817" t="s">
        <v>20</v>
      </c>
      <c r="F1817" t="s">
        <v>12</v>
      </c>
      <c r="G1817">
        <v>1</v>
      </c>
      <c r="H1817">
        <v>254</v>
      </c>
      <c r="I1817" t="s">
        <v>23</v>
      </c>
      <c r="J1817" t="str">
        <f>_xlfn.XLOOKUP(branches[[#This Row],[Филиал]], tbl_Filialy[Филиал], tbl_Filialy[Менеджер])</f>
        <v>Ирина Соколова</v>
      </c>
    </row>
    <row r="1818" spans="1:10" x14ac:dyDescent="0.3">
      <c r="A1818" t="str">
        <f>_xlfn.XLOOKUP(branches[[#This Row],[Филиал]], tbl_Filialy[Филиал], tbl_Filialy[Город])</f>
        <v>Москва</v>
      </c>
      <c r="B1818" s="1" t="s">
        <v>36</v>
      </c>
      <c r="C1818" s="2">
        <v>45697</v>
      </c>
      <c r="D1818" s="2" t="str">
        <f>CHOOSE(MONTH(branches[[#This Row],[Дата]]),"Январь","Февраль","Март","Апрель","Май","Июнь","Июль","Август","Сентябрь","Октябрь","Ноябрь","Декабрь")&amp;" "&amp;YEAR(branches[[#This Row],[Дата]])</f>
        <v>Февраль 2025</v>
      </c>
      <c r="E1818" t="s">
        <v>8</v>
      </c>
      <c r="F1818" t="s">
        <v>9</v>
      </c>
      <c r="G1818">
        <v>1</v>
      </c>
      <c r="H1818">
        <v>252</v>
      </c>
      <c r="I1818" t="s">
        <v>21</v>
      </c>
      <c r="J1818" t="str">
        <f>_xlfn.XLOOKUP(branches[[#This Row],[Филиал]], tbl_Filialy[Филиал], tbl_Filialy[Менеджер])</f>
        <v>Ирина Соколова</v>
      </c>
    </row>
    <row r="1819" spans="1:10" x14ac:dyDescent="0.3">
      <c r="A1819" t="str">
        <f>_xlfn.XLOOKUP(branches[[#This Row],[Филиал]], tbl_Filialy[Филиал], tbl_Filialy[Город])</f>
        <v>Москва</v>
      </c>
      <c r="B1819" s="1" t="s">
        <v>36</v>
      </c>
      <c r="C1819" s="2">
        <v>45987</v>
      </c>
      <c r="D1819" s="2" t="str">
        <f>CHOOSE(MONTH(branches[[#This Row],[Дата]]),"Январь","Февраль","Март","Апрель","Май","Июнь","Июль","Август","Сентябрь","Октябрь","Ноябрь","Декабрь")&amp;" "&amp;YEAR(branches[[#This Row],[Дата]])</f>
        <v>Ноябрь 2025</v>
      </c>
      <c r="E1819" t="s">
        <v>22</v>
      </c>
      <c r="F1819" t="s">
        <v>9</v>
      </c>
      <c r="G1819">
        <v>1</v>
      </c>
      <c r="H1819">
        <v>195</v>
      </c>
      <c r="I1819" t="s">
        <v>13</v>
      </c>
      <c r="J1819" t="str">
        <f>_xlfn.XLOOKUP(branches[[#This Row],[Филиал]], tbl_Filialy[Филиал], tbl_Filialy[Менеджер])</f>
        <v>Ирина Соколова</v>
      </c>
    </row>
    <row r="1820" spans="1:10" x14ac:dyDescent="0.3">
      <c r="A1820" t="str">
        <f>_xlfn.XLOOKUP(branches[[#This Row],[Филиал]], tbl_Filialy[Филиал], tbl_Filialy[Город])</f>
        <v>Москва</v>
      </c>
      <c r="B1820" s="1" t="s">
        <v>36</v>
      </c>
      <c r="C1820" s="2">
        <v>45866</v>
      </c>
      <c r="D1820" s="2" t="str">
        <f>CHOOSE(MONTH(branches[[#This Row],[Дата]]),"Январь","Февраль","Март","Апрель","Май","Июнь","Июль","Август","Сентябрь","Октябрь","Ноябрь","Декабрь")&amp;" "&amp;YEAR(branches[[#This Row],[Дата]])</f>
        <v>Июль 2025</v>
      </c>
      <c r="E1820" t="s">
        <v>20</v>
      </c>
      <c r="F1820" t="s">
        <v>12</v>
      </c>
      <c r="G1820">
        <v>1</v>
      </c>
      <c r="H1820">
        <v>295</v>
      </c>
      <c r="I1820" t="s">
        <v>13</v>
      </c>
      <c r="J1820" t="str">
        <f>_xlfn.XLOOKUP(branches[[#This Row],[Филиал]], tbl_Filialy[Филиал], tbl_Filialy[Менеджер])</f>
        <v>Ирина Соколова</v>
      </c>
    </row>
    <row r="1821" spans="1:10" x14ac:dyDescent="0.3">
      <c r="A1821" t="str">
        <f>_xlfn.XLOOKUP(branches[[#This Row],[Филиал]], tbl_Filialy[Филиал], tbl_Filialy[Город])</f>
        <v>Москва</v>
      </c>
      <c r="B1821" s="1" t="s">
        <v>36</v>
      </c>
      <c r="C1821" s="2">
        <v>45694</v>
      </c>
      <c r="D1821" s="2" t="str">
        <f>CHOOSE(MONTH(branches[[#This Row],[Дата]]),"Январь","Февраль","Март","Апрель","Май","Июнь","Июль","Август","Сентябрь","Октябрь","Ноябрь","Декабрь")&amp;" "&amp;YEAR(branches[[#This Row],[Дата]])</f>
        <v>Февраль 2025</v>
      </c>
      <c r="E1821" t="s">
        <v>11</v>
      </c>
      <c r="F1821" t="s">
        <v>12</v>
      </c>
      <c r="G1821">
        <v>3</v>
      </c>
      <c r="H1821">
        <v>483</v>
      </c>
      <c r="I1821" t="s">
        <v>13</v>
      </c>
      <c r="J1821" t="str">
        <f>_xlfn.XLOOKUP(branches[[#This Row],[Филиал]], tbl_Filialy[Филиал], tbl_Filialy[Менеджер])</f>
        <v>Ирина Соколова</v>
      </c>
    </row>
    <row r="1822" spans="1:10" x14ac:dyDescent="0.3">
      <c r="A1822" t="str">
        <f>_xlfn.XLOOKUP(branches[[#This Row],[Филиал]], tbl_Filialy[Филиал], tbl_Filialy[Город])</f>
        <v>Москва</v>
      </c>
      <c r="B1822" s="1" t="s">
        <v>36</v>
      </c>
      <c r="C1822" s="2">
        <v>45697</v>
      </c>
      <c r="D1822" s="2" t="str">
        <f>CHOOSE(MONTH(branches[[#This Row],[Дата]]),"Январь","Февраль","Март","Апрель","Май","Июнь","Июль","Август","Сентябрь","Октябрь","Ноябрь","Декабрь")&amp;" "&amp;YEAR(branches[[#This Row],[Дата]])</f>
        <v>Февраль 2025</v>
      </c>
      <c r="E1822" t="s">
        <v>26</v>
      </c>
      <c r="F1822" t="s">
        <v>9</v>
      </c>
      <c r="G1822">
        <v>2</v>
      </c>
      <c r="H1822">
        <v>410</v>
      </c>
      <c r="I1822" t="s">
        <v>21</v>
      </c>
      <c r="J1822" t="str">
        <f>_xlfn.XLOOKUP(branches[[#This Row],[Филиал]], tbl_Filialy[Филиал], tbl_Filialy[Менеджер])</f>
        <v>Ирина Соколова</v>
      </c>
    </row>
    <row r="1823" spans="1:10" x14ac:dyDescent="0.3">
      <c r="A1823" t="str">
        <f>_xlfn.XLOOKUP(branches[[#This Row],[Филиал]], tbl_Filialy[Филиал], tbl_Filialy[Город])</f>
        <v>Москва</v>
      </c>
      <c r="B1823" s="1" t="s">
        <v>36</v>
      </c>
      <c r="C1823" s="2">
        <v>45902</v>
      </c>
      <c r="D1823" s="2" t="str">
        <f>CHOOSE(MONTH(branches[[#This Row],[Дата]]),"Январь","Февраль","Март","Апрель","Май","Июнь","Июль","Август","Сентябрь","Октябрь","Ноябрь","Декабрь")&amp;" "&amp;YEAR(branches[[#This Row],[Дата]])</f>
        <v>Сентябрь 2025</v>
      </c>
      <c r="E1823" t="s">
        <v>18</v>
      </c>
      <c r="F1823" t="s">
        <v>12</v>
      </c>
      <c r="G1823">
        <v>1</v>
      </c>
      <c r="H1823">
        <v>127</v>
      </c>
      <c r="I1823" t="s">
        <v>21</v>
      </c>
      <c r="J1823" t="str">
        <f>_xlfn.XLOOKUP(branches[[#This Row],[Филиал]], tbl_Filialy[Филиал], tbl_Filialy[Менеджер])</f>
        <v>Ирина Соколова</v>
      </c>
    </row>
    <row r="1824" spans="1:10" x14ac:dyDescent="0.3">
      <c r="A1824" t="str">
        <f>_xlfn.XLOOKUP(branches[[#This Row],[Филиал]], tbl_Filialy[Филиал], tbl_Filialy[Город])</f>
        <v>Москва</v>
      </c>
      <c r="B1824" s="1" t="s">
        <v>36</v>
      </c>
      <c r="C1824" s="2">
        <v>46001</v>
      </c>
      <c r="D1824" s="2" t="str">
        <f>CHOOSE(MONTH(branches[[#This Row],[Дата]]),"Январь","Февраль","Март","Апрель","Май","Июнь","Июль","Август","Сентябрь","Октябрь","Ноябрь","Декабрь")&amp;" "&amp;YEAR(branches[[#This Row],[Дата]])</f>
        <v>Декабрь 2025</v>
      </c>
      <c r="E1824" t="s">
        <v>26</v>
      </c>
      <c r="F1824" t="s">
        <v>9</v>
      </c>
      <c r="G1824">
        <v>3</v>
      </c>
      <c r="H1824">
        <v>633</v>
      </c>
      <c r="I1824" t="s">
        <v>21</v>
      </c>
      <c r="J1824" t="str">
        <f>_xlfn.XLOOKUP(branches[[#This Row],[Филиал]], tbl_Filialy[Филиал], tbl_Filialy[Менеджер])</f>
        <v>Ирина Соколова</v>
      </c>
    </row>
    <row r="1825" spans="1:10" x14ac:dyDescent="0.3">
      <c r="A1825" t="str">
        <f>_xlfn.XLOOKUP(branches[[#This Row],[Филиал]], tbl_Filialy[Филиал], tbl_Filialy[Город])</f>
        <v>Москва</v>
      </c>
      <c r="B1825" s="1" t="s">
        <v>36</v>
      </c>
      <c r="C1825" s="2">
        <v>45695</v>
      </c>
      <c r="D1825" s="2" t="str">
        <f>CHOOSE(MONTH(branches[[#This Row],[Дата]]),"Январь","Февраль","Март","Апрель","Май","Июнь","Июль","Август","Сентябрь","Октябрь","Ноябрь","Декабрь")&amp;" "&amp;YEAR(branches[[#This Row],[Дата]])</f>
        <v>Февраль 2025</v>
      </c>
      <c r="E1825" t="s">
        <v>25</v>
      </c>
      <c r="F1825" t="s">
        <v>12</v>
      </c>
      <c r="G1825">
        <v>3</v>
      </c>
      <c r="H1825">
        <v>693</v>
      </c>
      <c r="I1825" t="s">
        <v>13</v>
      </c>
      <c r="J1825" t="str">
        <f>_xlfn.XLOOKUP(branches[[#This Row],[Филиал]], tbl_Filialy[Филиал], tbl_Filialy[Менеджер])</f>
        <v>Ирина Соколова</v>
      </c>
    </row>
    <row r="1826" spans="1:10" x14ac:dyDescent="0.3">
      <c r="A1826" t="str">
        <f>_xlfn.XLOOKUP(branches[[#This Row],[Филиал]], tbl_Filialy[Филиал], tbl_Filialy[Город])</f>
        <v>Москва</v>
      </c>
      <c r="B1826" s="1" t="s">
        <v>36</v>
      </c>
      <c r="C1826" s="2">
        <v>45943</v>
      </c>
      <c r="D1826" s="2" t="str">
        <f>CHOOSE(MONTH(branches[[#This Row],[Дата]]),"Январь","Февраль","Март","Апрель","Май","Июнь","Июль","Август","Сентябрь","Октябрь","Ноябрь","Декабрь")&amp;" "&amp;YEAR(branches[[#This Row],[Дата]])</f>
        <v>Октябрь 2025</v>
      </c>
      <c r="E1826" t="s">
        <v>26</v>
      </c>
      <c r="F1826" t="s">
        <v>9</v>
      </c>
      <c r="G1826">
        <v>1</v>
      </c>
      <c r="H1826">
        <v>195</v>
      </c>
      <c r="I1826" t="s">
        <v>19</v>
      </c>
      <c r="J1826" t="str">
        <f>_xlfn.XLOOKUP(branches[[#This Row],[Филиал]], tbl_Filialy[Филиал], tbl_Filialy[Менеджер])</f>
        <v>Ирина Соколова</v>
      </c>
    </row>
    <row r="1827" spans="1:10" x14ac:dyDescent="0.3">
      <c r="A1827" t="str">
        <f>_xlfn.XLOOKUP(branches[[#This Row],[Филиал]], tbl_Filialy[Филиал], tbl_Filialy[Город])</f>
        <v>Москва</v>
      </c>
      <c r="B1827" s="1" t="s">
        <v>36</v>
      </c>
      <c r="C1827" s="2">
        <v>45794</v>
      </c>
      <c r="D1827" s="2" t="str">
        <f>CHOOSE(MONTH(branches[[#This Row],[Дата]]),"Январь","Февраль","Март","Апрель","Май","Июнь","Июль","Август","Сентябрь","Октябрь","Ноябрь","Декабрь")&amp;" "&amp;YEAR(branches[[#This Row],[Дата]])</f>
        <v>Май 2025</v>
      </c>
      <c r="E1827" t="s">
        <v>22</v>
      </c>
      <c r="F1827" t="s">
        <v>9</v>
      </c>
      <c r="G1827">
        <v>1</v>
      </c>
      <c r="H1827">
        <v>168</v>
      </c>
      <c r="I1827" t="s">
        <v>19</v>
      </c>
      <c r="J1827" t="str">
        <f>_xlfn.XLOOKUP(branches[[#This Row],[Филиал]], tbl_Filialy[Филиал], tbl_Filialy[Менеджер])</f>
        <v>Ирина Соколова</v>
      </c>
    </row>
    <row r="1828" spans="1:10" x14ac:dyDescent="0.3">
      <c r="A1828" t="str">
        <f>_xlfn.XLOOKUP(branches[[#This Row],[Филиал]], tbl_Filialy[Филиал], tbl_Filialy[Город])</f>
        <v>Москва</v>
      </c>
      <c r="B1828" s="1" t="s">
        <v>36</v>
      </c>
      <c r="C1828" s="2">
        <v>45742</v>
      </c>
      <c r="D1828" s="2" t="str">
        <f>CHOOSE(MONTH(branches[[#This Row],[Дата]]),"Январь","Февраль","Март","Апрель","Май","Июнь","Июль","Август","Сентябрь","Октябрь","Ноябрь","Декабрь")&amp;" "&amp;YEAR(branches[[#This Row],[Дата]])</f>
        <v>Март 2025</v>
      </c>
      <c r="E1828" t="s">
        <v>28</v>
      </c>
      <c r="F1828" t="s">
        <v>12</v>
      </c>
      <c r="G1828">
        <v>2</v>
      </c>
      <c r="H1828">
        <v>416</v>
      </c>
      <c r="I1828" t="s">
        <v>15</v>
      </c>
      <c r="J1828" t="str">
        <f>_xlfn.XLOOKUP(branches[[#This Row],[Филиал]], tbl_Filialy[Филиал], tbl_Filialy[Менеджер])</f>
        <v>Ирина Соколова</v>
      </c>
    </row>
    <row r="1829" spans="1:10" x14ac:dyDescent="0.3">
      <c r="A1829" t="str">
        <f>_xlfn.XLOOKUP(branches[[#This Row],[Филиал]], tbl_Filialy[Филиал], tbl_Filialy[Город])</f>
        <v>Москва</v>
      </c>
      <c r="B1829" s="1" t="s">
        <v>36</v>
      </c>
      <c r="C1829" s="2">
        <v>45998</v>
      </c>
      <c r="D1829" s="2" t="str">
        <f>CHOOSE(MONTH(branches[[#This Row],[Дата]]),"Январь","Февраль","Март","Апрель","Май","Июнь","Июль","Август","Сентябрь","Октябрь","Ноябрь","Декабрь")&amp;" "&amp;YEAR(branches[[#This Row],[Дата]])</f>
        <v>Декабрь 2025</v>
      </c>
      <c r="E1829" t="s">
        <v>18</v>
      </c>
      <c r="F1829" t="s">
        <v>12</v>
      </c>
      <c r="G1829">
        <v>2</v>
      </c>
      <c r="H1829">
        <v>310</v>
      </c>
      <c r="I1829" t="s">
        <v>15</v>
      </c>
      <c r="J1829" t="str">
        <f>_xlfn.XLOOKUP(branches[[#This Row],[Филиал]], tbl_Filialy[Филиал], tbl_Filialy[Менеджер])</f>
        <v>Ирина Соколова</v>
      </c>
    </row>
    <row r="1830" spans="1:10" x14ac:dyDescent="0.3">
      <c r="A1830" t="str">
        <f>_xlfn.XLOOKUP(branches[[#This Row],[Филиал]], tbl_Filialy[Филиал], tbl_Filialy[Город])</f>
        <v>Москва</v>
      </c>
      <c r="B1830" s="1" t="s">
        <v>36</v>
      </c>
      <c r="C1830" s="2">
        <v>45778</v>
      </c>
      <c r="D1830" s="2" t="str">
        <f>CHOOSE(MONTH(branches[[#This Row],[Дата]]),"Январь","Февраль","Март","Апрель","Май","Июнь","Июль","Август","Сентябрь","Октябрь","Ноябрь","Декабрь")&amp;" "&amp;YEAR(branches[[#This Row],[Дата]])</f>
        <v>Май 2025</v>
      </c>
      <c r="E1830" t="s">
        <v>11</v>
      </c>
      <c r="F1830" t="s">
        <v>12</v>
      </c>
      <c r="G1830">
        <v>3</v>
      </c>
      <c r="H1830">
        <v>492</v>
      </c>
      <c r="I1830" t="s">
        <v>23</v>
      </c>
      <c r="J1830" t="str">
        <f>_xlfn.XLOOKUP(branches[[#This Row],[Филиал]], tbl_Filialy[Филиал], tbl_Filialy[Менеджер])</f>
        <v>Ирина Соколова</v>
      </c>
    </row>
    <row r="1831" spans="1:10" x14ac:dyDescent="0.3">
      <c r="A1831" t="str">
        <f>_xlfn.XLOOKUP(branches[[#This Row],[Филиал]], tbl_Filialy[Филиал], tbl_Filialy[Город])</f>
        <v>Москва</v>
      </c>
      <c r="B1831" s="1" t="s">
        <v>36</v>
      </c>
      <c r="C1831" s="2">
        <v>45664</v>
      </c>
      <c r="D1831" s="2" t="str">
        <f>CHOOSE(MONTH(branches[[#This Row],[Дата]]),"Январь","Февраль","Март","Апрель","Май","Июнь","Июль","Август","Сентябрь","Октябрь","Ноябрь","Декабрь")&amp;" "&amp;YEAR(branches[[#This Row],[Дата]])</f>
        <v>Январь 2025</v>
      </c>
      <c r="E1831" t="s">
        <v>26</v>
      </c>
      <c r="F1831" t="s">
        <v>9</v>
      </c>
      <c r="G1831">
        <v>1</v>
      </c>
      <c r="H1831">
        <v>221</v>
      </c>
      <c r="I1831" t="s">
        <v>13</v>
      </c>
      <c r="J1831" t="str">
        <f>_xlfn.XLOOKUP(branches[[#This Row],[Филиал]], tbl_Filialy[Филиал], tbl_Filialy[Менеджер])</f>
        <v>Ирина Соколова</v>
      </c>
    </row>
    <row r="1832" spans="1:10" x14ac:dyDescent="0.3">
      <c r="A1832" t="str">
        <f>_xlfn.XLOOKUP(branches[[#This Row],[Филиал]], tbl_Filialy[Филиал], tbl_Filialy[Город])</f>
        <v>Москва</v>
      </c>
      <c r="B1832" s="1" t="s">
        <v>36</v>
      </c>
      <c r="C1832" s="2">
        <v>45940</v>
      </c>
      <c r="D1832" s="2" t="str">
        <f>CHOOSE(MONTH(branches[[#This Row],[Дата]]),"Январь","Февраль","Март","Апрель","Май","Июнь","Июль","Август","Сентябрь","Октябрь","Ноябрь","Декабрь")&amp;" "&amp;YEAR(branches[[#This Row],[Дата]])</f>
        <v>Октябрь 2025</v>
      </c>
      <c r="E1832" t="s">
        <v>14</v>
      </c>
      <c r="F1832" t="s">
        <v>12</v>
      </c>
      <c r="G1832">
        <v>1</v>
      </c>
      <c r="H1832">
        <v>270</v>
      </c>
      <c r="I1832" t="s">
        <v>19</v>
      </c>
      <c r="J1832" t="str">
        <f>_xlfn.XLOOKUP(branches[[#This Row],[Филиал]], tbl_Filialy[Филиал], tbl_Filialy[Менеджер])</f>
        <v>Ирина Соколова</v>
      </c>
    </row>
    <row r="1833" spans="1:10" x14ac:dyDescent="0.3">
      <c r="A1833" t="str">
        <f>_xlfn.XLOOKUP(branches[[#This Row],[Филиал]], tbl_Filialy[Филиал], tbl_Filialy[Город])</f>
        <v>Москва</v>
      </c>
      <c r="B1833" s="1" t="s">
        <v>36</v>
      </c>
      <c r="C1833" s="2">
        <v>45735</v>
      </c>
      <c r="D1833" s="2" t="str">
        <f>CHOOSE(MONTH(branches[[#This Row],[Дата]]),"Январь","Февраль","Март","Апрель","Май","Июнь","Июль","Август","Сентябрь","Октябрь","Ноябрь","Декабрь")&amp;" "&amp;YEAR(branches[[#This Row],[Дата]])</f>
        <v>Март 2025</v>
      </c>
      <c r="E1833" t="s">
        <v>11</v>
      </c>
      <c r="F1833" t="s">
        <v>12</v>
      </c>
      <c r="G1833">
        <v>1</v>
      </c>
      <c r="H1833">
        <v>151</v>
      </c>
      <c r="I1833" t="s">
        <v>23</v>
      </c>
      <c r="J1833" t="str">
        <f>_xlfn.XLOOKUP(branches[[#This Row],[Филиал]], tbl_Filialy[Филиал], tbl_Filialy[Менеджер])</f>
        <v>Ирина Соколова</v>
      </c>
    </row>
    <row r="1834" spans="1:10" x14ac:dyDescent="0.3">
      <c r="A1834" t="str">
        <f>_xlfn.XLOOKUP(branches[[#This Row],[Филиал]], tbl_Filialy[Филиал], tbl_Filialy[Город])</f>
        <v>Москва</v>
      </c>
      <c r="B1834" s="1" t="s">
        <v>36</v>
      </c>
      <c r="C1834" s="2">
        <v>45816</v>
      </c>
      <c r="D1834" s="2" t="str">
        <f>CHOOSE(MONTH(branches[[#This Row],[Дата]]),"Январь","Февраль","Март","Апрель","Май","Июнь","Июль","Август","Сентябрь","Октябрь","Ноябрь","Декабрь")&amp;" "&amp;YEAR(branches[[#This Row],[Дата]])</f>
        <v>Июнь 2025</v>
      </c>
      <c r="E1834" t="s">
        <v>28</v>
      </c>
      <c r="F1834" t="s">
        <v>12</v>
      </c>
      <c r="G1834">
        <v>1</v>
      </c>
      <c r="H1834">
        <v>236</v>
      </c>
      <c r="I1834" t="s">
        <v>15</v>
      </c>
      <c r="J1834" t="str">
        <f>_xlfn.XLOOKUP(branches[[#This Row],[Филиал]], tbl_Filialy[Филиал], tbl_Filialy[Менеджер])</f>
        <v>Ирина Соколова</v>
      </c>
    </row>
    <row r="1835" spans="1:10" x14ac:dyDescent="0.3">
      <c r="A1835" t="str">
        <f>_xlfn.XLOOKUP(branches[[#This Row],[Филиал]], tbl_Filialy[Филиал], tbl_Filialy[Город])</f>
        <v>Москва</v>
      </c>
      <c r="B1835" s="1" t="s">
        <v>36</v>
      </c>
      <c r="C1835" s="2">
        <v>45729</v>
      </c>
      <c r="D1835" s="2" t="str">
        <f>CHOOSE(MONTH(branches[[#This Row],[Дата]]),"Январь","Февраль","Март","Апрель","Май","Июнь","Июль","Август","Сентябрь","Октябрь","Ноябрь","Декабрь")&amp;" "&amp;YEAR(branches[[#This Row],[Дата]])</f>
        <v>Март 2025</v>
      </c>
      <c r="E1835" t="s">
        <v>26</v>
      </c>
      <c r="F1835" t="s">
        <v>9</v>
      </c>
      <c r="G1835">
        <v>3</v>
      </c>
      <c r="H1835">
        <v>627</v>
      </c>
      <c r="I1835" t="s">
        <v>13</v>
      </c>
      <c r="J1835" t="str">
        <f>_xlfn.XLOOKUP(branches[[#This Row],[Филиал]], tbl_Filialy[Филиал], tbl_Filialy[Менеджер])</f>
        <v>Ирина Соколова</v>
      </c>
    </row>
    <row r="1836" spans="1:10" x14ac:dyDescent="0.3">
      <c r="A1836" t="str">
        <f>_xlfn.XLOOKUP(branches[[#This Row],[Филиал]], tbl_Filialy[Филиал], tbl_Filialy[Город])</f>
        <v>Москва</v>
      </c>
      <c r="B1836" s="1" t="s">
        <v>36</v>
      </c>
      <c r="C1836" s="2">
        <v>45913</v>
      </c>
      <c r="D1836" s="2" t="str">
        <f>CHOOSE(MONTH(branches[[#This Row],[Дата]]),"Январь","Февраль","Март","Апрель","Май","Июнь","Июль","Август","Сентябрь","Октябрь","Ноябрь","Декабрь")&amp;" "&amp;YEAR(branches[[#This Row],[Дата]])</f>
        <v>Сентябрь 2025</v>
      </c>
      <c r="E1836" t="s">
        <v>16</v>
      </c>
      <c r="F1836" t="s">
        <v>17</v>
      </c>
      <c r="G1836">
        <v>1</v>
      </c>
      <c r="H1836">
        <v>326</v>
      </c>
      <c r="I1836" t="s">
        <v>19</v>
      </c>
      <c r="J1836" t="str">
        <f>_xlfn.XLOOKUP(branches[[#This Row],[Филиал]], tbl_Filialy[Филиал], tbl_Filialy[Менеджер])</f>
        <v>Ирина Соколова</v>
      </c>
    </row>
    <row r="1837" spans="1:10" x14ac:dyDescent="0.3">
      <c r="A1837" t="str">
        <f>_xlfn.XLOOKUP(branches[[#This Row],[Филиал]], tbl_Filialy[Филиал], tbl_Filialy[Город])</f>
        <v>Москва</v>
      </c>
      <c r="B1837" s="1" t="s">
        <v>36</v>
      </c>
      <c r="C1837" s="2">
        <v>46009</v>
      </c>
      <c r="D1837" s="2" t="str">
        <f>CHOOSE(MONTH(branches[[#This Row],[Дата]]),"Январь","Февраль","Март","Апрель","Май","Июнь","Июль","Август","Сентябрь","Октябрь","Ноябрь","Декабрь")&amp;" "&amp;YEAR(branches[[#This Row],[Дата]])</f>
        <v>Декабрь 2025</v>
      </c>
      <c r="E1837" t="s">
        <v>22</v>
      </c>
      <c r="F1837" t="s">
        <v>9</v>
      </c>
      <c r="G1837">
        <v>1</v>
      </c>
      <c r="H1837">
        <v>160</v>
      </c>
      <c r="I1837" t="s">
        <v>19</v>
      </c>
      <c r="J1837" t="str">
        <f>_xlfn.XLOOKUP(branches[[#This Row],[Филиал]], tbl_Filialy[Филиал], tbl_Filialy[Менеджер])</f>
        <v>Ирина Соколова</v>
      </c>
    </row>
    <row r="1838" spans="1:10" x14ac:dyDescent="0.3">
      <c r="A1838" t="str">
        <f>_xlfn.XLOOKUP(branches[[#This Row],[Филиал]], tbl_Filialy[Филиал], tbl_Filialy[Город])</f>
        <v>Москва</v>
      </c>
      <c r="B1838" s="1" t="s">
        <v>36</v>
      </c>
      <c r="C1838" s="2">
        <v>45681</v>
      </c>
      <c r="D1838" s="2" t="str">
        <f>CHOOSE(MONTH(branches[[#This Row],[Дата]]),"Январь","Февраль","Март","Апрель","Май","Июнь","Июль","Август","Сентябрь","Октябрь","Ноябрь","Декабрь")&amp;" "&amp;YEAR(branches[[#This Row],[Дата]])</f>
        <v>Январь 2025</v>
      </c>
      <c r="E1838" t="s">
        <v>27</v>
      </c>
      <c r="F1838" t="s">
        <v>12</v>
      </c>
      <c r="G1838">
        <v>3</v>
      </c>
      <c r="H1838">
        <v>708</v>
      </c>
      <c r="I1838" t="s">
        <v>10</v>
      </c>
      <c r="J1838" t="str">
        <f>_xlfn.XLOOKUP(branches[[#This Row],[Филиал]], tbl_Filialy[Филиал], tbl_Filialy[Менеджер])</f>
        <v>Ирина Соколова</v>
      </c>
    </row>
    <row r="1839" spans="1:10" x14ac:dyDescent="0.3">
      <c r="A1839" t="str">
        <f>_xlfn.XLOOKUP(branches[[#This Row],[Филиал]], tbl_Filialy[Филиал], tbl_Filialy[Город])</f>
        <v>Москва</v>
      </c>
      <c r="B1839" s="1" t="s">
        <v>36</v>
      </c>
      <c r="C1839" s="2">
        <v>45740</v>
      </c>
      <c r="D1839" s="2" t="str">
        <f>CHOOSE(MONTH(branches[[#This Row],[Дата]]),"Январь","Февраль","Март","Апрель","Май","Июнь","Июль","Август","Сентябрь","Октябрь","Ноябрь","Декабрь")&amp;" "&amp;YEAR(branches[[#This Row],[Дата]])</f>
        <v>Март 2025</v>
      </c>
      <c r="E1839" t="s">
        <v>11</v>
      </c>
      <c r="F1839" t="s">
        <v>12</v>
      </c>
      <c r="G1839">
        <v>2</v>
      </c>
      <c r="H1839">
        <v>312</v>
      </c>
      <c r="I1839" t="s">
        <v>19</v>
      </c>
      <c r="J1839" t="str">
        <f>_xlfn.XLOOKUP(branches[[#This Row],[Филиал]], tbl_Filialy[Филиал], tbl_Filialy[Менеджер])</f>
        <v>Ирина Соколова</v>
      </c>
    </row>
    <row r="1840" spans="1:10" x14ac:dyDescent="0.3">
      <c r="A1840" t="str">
        <f>_xlfn.XLOOKUP(branches[[#This Row],[Филиал]], tbl_Filialy[Филиал], tbl_Filialy[Город])</f>
        <v>Москва</v>
      </c>
      <c r="B1840" s="1" t="s">
        <v>36</v>
      </c>
      <c r="C1840" s="2">
        <v>45671</v>
      </c>
      <c r="D1840" s="2" t="str">
        <f>CHOOSE(MONTH(branches[[#This Row],[Дата]]),"Январь","Февраль","Март","Апрель","Май","Июнь","Июль","Август","Сентябрь","Октябрь","Ноябрь","Декабрь")&amp;" "&amp;YEAR(branches[[#This Row],[Дата]])</f>
        <v>Январь 2025</v>
      </c>
      <c r="E1840" t="s">
        <v>20</v>
      </c>
      <c r="F1840" t="s">
        <v>12</v>
      </c>
      <c r="G1840">
        <v>1</v>
      </c>
      <c r="H1840">
        <v>282</v>
      </c>
      <c r="I1840" t="s">
        <v>21</v>
      </c>
      <c r="J1840" t="str">
        <f>_xlfn.XLOOKUP(branches[[#This Row],[Филиал]], tbl_Filialy[Филиал], tbl_Filialy[Менеджер])</f>
        <v>Ирина Соколова</v>
      </c>
    </row>
    <row r="1841" spans="1:10" x14ac:dyDescent="0.3">
      <c r="A1841" t="str">
        <f>_xlfn.XLOOKUP(branches[[#This Row],[Филиал]], tbl_Filialy[Филиал], tbl_Filialy[Город])</f>
        <v>Москва</v>
      </c>
      <c r="B1841" s="1" t="s">
        <v>36</v>
      </c>
      <c r="C1841" s="2">
        <v>45727</v>
      </c>
      <c r="D1841" s="2" t="str">
        <f>CHOOSE(MONTH(branches[[#This Row],[Дата]]),"Январь","Февраль","Март","Апрель","Май","Июнь","Июль","Август","Сентябрь","Октябрь","Ноябрь","Декабрь")&amp;" "&amp;YEAR(branches[[#This Row],[Дата]])</f>
        <v>Март 2025</v>
      </c>
      <c r="E1841" t="s">
        <v>27</v>
      </c>
      <c r="F1841" t="s">
        <v>12</v>
      </c>
      <c r="G1841">
        <v>1</v>
      </c>
      <c r="H1841">
        <v>204</v>
      </c>
      <c r="I1841" t="s">
        <v>21</v>
      </c>
      <c r="J1841" t="str">
        <f>_xlfn.XLOOKUP(branches[[#This Row],[Филиал]], tbl_Filialy[Филиал], tbl_Filialy[Менеджер])</f>
        <v>Ирина Соколова</v>
      </c>
    </row>
    <row r="1842" spans="1:10" x14ac:dyDescent="0.3">
      <c r="A1842" t="str">
        <f>_xlfn.XLOOKUP(branches[[#This Row],[Филиал]], tbl_Filialy[Филиал], tbl_Filialy[Город])</f>
        <v>Москва</v>
      </c>
      <c r="B1842" s="1" t="s">
        <v>36</v>
      </c>
      <c r="C1842" s="2">
        <v>45743</v>
      </c>
      <c r="D1842" s="2" t="str">
        <f>CHOOSE(MONTH(branches[[#This Row],[Дата]]),"Январь","Февраль","Март","Апрель","Май","Июнь","Июль","Август","Сентябрь","Октябрь","Ноябрь","Декабрь")&amp;" "&amp;YEAR(branches[[#This Row],[Дата]])</f>
        <v>Март 2025</v>
      </c>
      <c r="E1842" t="s">
        <v>28</v>
      </c>
      <c r="F1842" t="s">
        <v>12</v>
      </c>
      <c r="G1842">
        <v>2</v>
      </c>
      <c r="H1842">
        <v>488</v>
      </c>
      <c r="I1842" t="s">
        <v>13</v>
      </c>
      <c r="J1842" t="str">
        <f>_xlfn.XLOOKUP(branches[[#This Row],[Филиал]], tbl_Filialy[Филиал], tbl_Filialy[Менеджер])</f>
        <v>Ирина Соколова</v>
      </c>
    </row>
    <row r="1843" spans="1:10" x14ac:dyDescent="0.3">
      <c r="A1843" t="str">
        <f>_xlfn.XLOOKUP(branches[[#This Row],[Филиал]], tbl_Filialy[Филиал], tbl_Filialy[Город])</f>
        <v>Москва</v>
      </c>
      <c r="B1843" s="1" t="s">
        <v>36</v>
      </c>
      <c r="C1843" s="2">
        <v>45863</v>
      </c>
      <c r="D1843" s="2" t="str">
        <f>CHOOSE(MONTH(branches[[#This Row],[Дата]]),"Январь","Февраль","Март","Апрель","Май","Июнь","Июль","Август","Сентябрь","Октябрь","Ноябрь","Декабрь")&amp;" "&amp;YEAR(branches[[#This Row],[Дата]])</f>
        <v>Июль 2025</v>
      </c>
      <c r="E1843" t="s">
        <v>28</v>
      </c>
      <c r="F1843" t="s">
        <v>12</v>
      </c>
      <c r="G1843">
        <v>1</v>
      </c>
      <c r="H1843">
        <v>260</v>
      </c>
      <c r="I1843" t="s">
        <v>13</v>
      </c>
      <c r="J1843" t="str">
        <f>_xlfn.XLOOKUP(branches[[#This Row],[Филиал]], tbl_Filialy[Филиал], tbl_Filialy[Менеджер])</f>
        <v>Ирина Соколова</v>
      </c>
    </row>
    <row r="1844" spans="1:10" x14ac:dyDescent="0.3">
      <c r="A1844" t="str">
        <f>_xlfn.XLOOKUP(branches[[#This Row],[Филиал]], tbl_Filialy[Филиал], tbl_Filialy[Город])</f>
        <v>Москва</v>
      </c>
      <c r="B1844" s="1" t="s">
        <v>36</v>
      </c>
      <c r="C1844" s="2">
        <v>45814</v>
      </c>
      <c r="D1844" s="2" t="str">
        <f>CHOOSE(MONTH(branches[[#This Row],[Дата]]),"Январь","Февраль","Март","Апрель","Май","Июнь","Июль","Август","Сентябрь","Октябрь","Ноябрь","Декабрь")&amp;" "&amp;YEAR(branches[[#This Row],[Дата]])</f>
        <v>Июнь 2025</v>
      </c>
      <c r="E1844" t="s">
        <v>8</v>
      </c>
      <c r="F1844" t="s">
        <v>9</v>
      </c>
      <c r="G1844">
        <v>1</v>
      </c>
      <c r="H1844">
        <v>271</v>
      </c>
      <c r="I1844" t="s">
        <v>23</v>
      </c>
      <c r="J1844" t="str">
        <f>_xlfn.XLOOKUP(branches[[#This Row],[Филиал]], tbl_Filialy[Филиал], tbl_Filialy[Менеджер])</f>
        <v>Ирина Соколова</v>
      </c>
    </row>
    <row r="1845" spans="1:10" x14ac:dyDescent="0.3">
      <c r="A1845" t="str">
        <f>_xlfn.XLOOKUP(branches[[#This Row],[Филиал]], tbl_Filialy[Филиал], tbl_Filialy[Город])</f>
        <v>Москва</v>
      </c>
      <c r="B1845" s="1" t="s">
        <v>36</v>
      </c>
      <c r="C1845" s="2">
        <v>45756</v>
      </c>
      <c r="D1845" s="2" t="str">
        <f>CHOOSE(MONTH(branches[[#This Row],[Дата]]),"Январь","Февраль","Март","Апрель","Май","Июнь","Июль","Август","Сентябрь","Октябрь","Ноябрь","Декабрь")&amp;" "&amp;YEAR(branches[[#This Row],[Дата]])</f>
        <v>Апрель 2025</v>
      </c>
      <c r="E1845" t="s">
        <v>22</v>
      </c>
      <c r="F1845" t="s">
        <v>9</v>
      </c>
      <c r="G1845">
        <v>1</v>
      </c>
      <c r="H1845">
        <v>173</v>
      </c>
      <c r="I1845" t="s">
        <v>19</v>
      </c>
      <c r="J1845" t="str">
        <f>_xlfn.XLOOKUP(branches[[#This Row],[Филиал]], tbl_Filialy[Филиал], tbl_Filialy[Менеджер])</f>
        <v>Ирина Соколова</v>
      </c>
    </row>
    <row r="1846" spans="1:10" x14ac:dyDescent="0.3">
      <c r="A1846" t="str">
        <f>_xlfn.XLOOKUP(branches[[#This Row],[Филиал]], tbl_Filialy[Филиал], tbl_Filialy[Город])</f>
        <v>Москва</v>
      </c>
      <c r="B1846" s="1" t="s">
        <v>36</v>
      </c>
      <c r="C1846" s="2">
        <v>45882</v>
      </c>
      <c r="D1846" s="2" t="str">
        <f>CHOOSE(MONTH(branches[[#This Row],[Дата]]),"Январь","Февраль","Март","Апрель","Май","Июнь","Июль","Август","Сентябрь","Октябрь","Ноябрь","Декабрь")&amp;" "&amp;YEAR(branches[[#This Row],[Дата]])</f>
        <v>Август 2025</v>
      </c>
      <c r="E1846" t="s">
        <v>8</v>
      </c>
      <c r="F1846" t="s">
        <v>9</v>
      </c>
      <c r="G1846">
        <v>1</v>
      </c>
      <c r="H1846">
        <v>235</v>
      </c>
      <c r="I1846" t="s">
        <v>23</v>
      </c>
      <c r="J1846" t="str">
        <f>_xlfn.XLOOKUP(branches[[#This Row],[Филиал]], tbl_Filialy[Филиал], tbl_Filialy[Менеджер])</f>
        <v>Ирина Соколова</v>
      </c>
    </row>
    <row r="1847" spans="1:10" x14ac:dyDescent="0.3">
      <c r="A1847" t="str">
        <f>_xlfn.XLOOKUP(branches[[#This Row],[Филиал]], tbl_Filialy[Филиал], tbl_Filialy[Город])</f>
        <v>Москва</v>
      </c>
      <c r="B1847" s="1" t="s">
        <v>36</v>
      </c>
      <c r="C1847" s="2">
        <v>45969</v>
      </c>
      <c r="D1847" s="2" t="str">
        <f>CHOOSE(MONTH(branches[[#This Row],[Дата]]),"Январь","Февраль","Март","Апрель","Май","Июнь","Июль","Август","Сентябрь","Октябрь","Ноябрь","Декабрь")&amp;" "&amp;YEAR(branches[[#This Row],[Дата]])</f>
        <v>Ноябрь 2025</v>
      </c>
      <c r="E1847" t="s">
        <v>27</v>
      </c>
      <c r="F1847" t="s">
        <v>12</v>
      </c>
      <c r="G1847">
        <v>1</v>
      </c>
      <c r="H1847">
        <v>204</v>
      </c>
      <c r="I1847" t="s">
        <v>15</v>
      </c>
      <c r="J1847" t="str">
        <f>_xlfn.XLOOKUP(branches[[#This Row],[Филиал]], tbl_Filialy[Филиал], tbl_Filialy[Менеджер])</f>
        <v>Ирина Соколова</v>
      </c>
    </row>
    <row r="1848" spans="1:10" x14ac:dyDescent="0.3">
      <c r="A1848" t="str">
        <f>_xlfn.XLOOKUP(branches[[#This Row],[Филиал]], tbl_Filialy[Филиал], tbl_Filialy[Город])</f>
        <v>Москва</v>
      </c>
      <c r="B1848" s="1" t="s">
        <v>36</v>
      </c>
      <c r="C1848" s="2">
        <v>45739</v>
      </c>
      <c r="D1848" s="2" t="str">
        <f>CHOOSE(MONTH(branches[[#This Row],[Дата]]),"Январь","Февраль","Март","Апрель","Май","Июнь","Июль","Август","Сентябрь","Октябрь","Ноябрь","Декабрь")&amp;" "&amp;YEAR(branches[[#This Row],[Дата]])</f>
        <v>Март 2025</v>
      </c>
      <c r="E1848" t="s">
        <v>14</v>
      </c>
      <c r="F1848" t="s">
        <v>12</v>
      </c>
      <c r="G1848">
        <v>2</v>
      </c>
      <c r="H1848">
        <v>468</v>
      </c>
      <c r="I1848" t="s">
        <v>10</v>
      </c>
      <c r="J1848" t="str">
        <f>_xlfn.XLOOKUP(branches[[#This Row],[Филиал]], tbl_Filialy[Филиал], tbl_Filialy[Менеджер])</f>
        <v>Ирина Соколова</v>
      </c>
    </row>
    <row r="1849" spans="1:10" x14ac:dyDescent="0.3">
      <c r="A1849" t="str">
        <f>_xlfn.XLOOKUP(branches[[#This Row],[Филиал]], tbl_Filialy[Филиал], tbl_Filialy[Город])</f>
        <v>Москва</v>
      </c>
      <c r="B1849" s="1" t="s">
        <v>36</v>
      </c>
      <c r="C1849" s="2">
        <v>46006</v>
      </c>
      <c r="D1849" s="2" t="str">
        <f>CHOOSE(MONTH(branches[[#This Row],[Дата]]),"Январь","Февраль","Март","Апрель","Май","Июнь","Июль","Август","Сентябрь","Октябрь","Ноябрь","Декабрь")&amp;" "&amp;YEAR(branches[[#This Row],[Дата]])</f>
        <v>Декабрь 2025</v>
      </c>
      <c r="E1849" t="s">
        <v>20</v>
      </c>
      <c r="F1849" t="s">
        <v>12</v>
      </c>
      <c r="G1849">
        <v>1</v>
      </c>
      <c r="H1849">
        <v>293</v>
      </c>
      <c r="I1849" t="s">
        <v>19</v>
      </c>
      <c r="J1849" t="str">
        <f>_xlfn.XLOOKUP(branches[[#This Row],[Филиал]], tbl_Filialy[Филиал], tbl_Filialy[Менеджер])</f>
        <v>Ирина Соколова</v>
      </c>
    </row>
    <row r="1850" spans="1:10" x14ac:dyDescent="0.3">
      <c r="A1850" t="str">
        <f>_xlfn.XLOOKUP(branches[[#This Row],[Филиал]], tbl_Filialy[Филиал], tbl_Filialy[Город])</f>
        <v>Москва</v>
      </c>
      <c r="B1850" s="1" t="s">
        <v>36</v>
      </c>
      <c r="C1850" s="2">
        <v>45819</v>
      </c>
      <c r="D1850" s="2" t="str">
        <f>CHOOSE(MONTH(branches[[#This Row],[Дата]]),"Январь","Февраль","Март","Апрель","Май","Июнь","Июль","Август","Сентябрь","Октябрь","Ноябрь","Декабрь")&amp;" "&amp;YEAR(branches[[#This Row],[Дата]])</f>
        <v>Июнь 2025</v>
      </c>
      <c r="E1850" t="s">
        <v>22</v>
      </c>
      <c r="F1850" t="s">
        <v>9</v>
      </c>
      <c r="G1850">
        <v>1</v>
      </c>
      <c r="H1850">
        <v>186</v>
      </c>
      <c r="I1850" t="s">
        <v>15</v>
      </c>
      <c r="J1850" t="str">
        <f>_xlfn.XLOOKUP(branches[[#This Row],[Филиал]], tbl_Filialy[Филиал], tbl_Filialy[Менеджер])</f>
        <v>Ирина Соколова</v>
      </c>
    </row>
    <row r="1851" spans="1:10" x14ac:dyDescent="0.3">
      <c r="A1851" t="str">
        <f>_xlfn.XLOOKUP(branches[[#This Row],[Филиал]], tbl_Filialy[Филиал], tbl_Filialy[Город])</f>
        <v>Москва</v>
      </c>
      <c r="B1851" s="1" t="s">
        <v>36</v>
      </c>
      <c r="C1851" s="2">
        <v>45710</v>
      </c>
      <c r="D1851" s="2" t="str">
        <f>CHOOSE(MONTH(branches[[#This Row],[Дата]]),"Январь","Февраль","Март","Апрель","Май","Июнь","Июль","Август","Сентябрь","Октябрь","Ноябрь","Декабрь")&amp;" "&amp;YEAR(branches[[#This Row],[Дата]])</f>
        <v>Февраль 2025</v>
      </c>
      <c r="E1851" t="s">
        <v>24</v>
      </c>
      <c r="F1851" t="s">
        <v>17</v>
      </c>
      <c r="G1851">
        <v>1</v>
      </c>
      <c r="H1851">
        <v>361</v>
      </c>
      <c r="I1851" t="s">
        <v>13</v>
      </c>
      <c r="J1851" t="str">
        <f>_xlfn.XLOOKUP(branches[[#This Row],[Филиал]], tbl_Filialy[Филиал], tbl_Filialy[Менеджер])</f>
        <v>Ирина Соколова</v>
      </c>
    </row>
    <row r="1852" spans="1:10" x14ac:dyDescent="0.3">
      <c r="A1852" t="str">
        <f>_xlfn.XLOOKUP(branches[[#This Row],[Филиал]], tbl_Filialy[Филиал], tbl_Filialy[Город])</f>
        <v>Москва</v>
      </c>
      <c r="B1852" s="1" t="s">
        <v>36</v>
      </c>
      <c r="C1852" s="2">
        <v>45740</v>
      </c>
      <c r="D1852" s="2" t="str">
        <f>CHOOSE(MONTH(branches[[#This Row],[Дата]]),"Январь","Февраль","Март","Апрель","Май","Июнь","Июль","Август","Сентябрь","Октябрь","Ноябрь","Декабрь")&amp;" "&amp;YEAR(branches[[#This Row],[Дата]])</f>
        <v>Март 2025</v>
      </c>
      <c r="E1852" t="s">
        <v>11</v>
      </c>
      <c r="F1852" t="s">
        <v>12</v>
      </c>
      <c r="G1852">
        <v>2</v>
      </c>
      <c r="H1852">
        <v>366</v>
      </c>
      <c r="I1852" t="s">
        <v>13</v>
      </c>
      <c r="J1852" t="str">
        <f>_xlfn.XLOOKUP(branches[[#This Row],[Филиал]], tbl_Filialy[Филиал], tbl_Filialy[Менеджер])</f>
        <v>Ирина Соколова</v>
      </c>
    </row>
    <row r="1853" spans="1:10" x14ac:dyDescent="0.3">
      <c r="A1853" t="str">
        <f>_xlfn.XLOOKUP(branches[[#This Row],[Филиал]], tbl_Filialy[Филиал], tbl_Filialy[Город])</f>
        <v>Москва</v>
      </c>
      <c r="B1853" s="1" t="s">
        <v>36</v>
      </c>
      <c r="C1853" s="2">
        <v>45676</v>
      </c>
      <c r="D1853" s="2" t="str">
        <f>CHOOSE(MONTH(branches[[#This Row],[Дата]]),"Январь","Февраль","Март","Апрель","Май","Июнь","Июль","Август","Сентябрь","Октябрь","Ноябрь","Декабрь")&amp;" "&amp;YEAR(branches[[#This Row],[Дата]])</f>
        <v>Январь 2025</v>
      </c>
      <c r="E1853" t="s">
        <v>14</v>
      </c>
      <c r="F1853" t="s">
        <v>12</v>
      </c>
      <c r="G1853">
        <v>1</v>
      </c>
      <c r="H1853">
        <v>233</v>
      </c>
      <c r="I1853" t="s">
        <v>13</v>
      </c>
      <c r="J1853" t="str">
        <f>_xlfn.XLOOKUP(branches[[#This Row],[Филиал]], tbl_Filialy[Филиал], tbl_Filialy[Менеджер])</f>
        <v>Ирина Соколова</v>
      </c>
    </row>
    <row r="1854" spans="1:10" x14ac:dyDescent="0.3">
      <c r="A1854" t="str">
        <f>_xlfn.XLOOKUP(branches[[#This Row],[Филиал]], tbl_Filialy[Филиал], tbl_Filialy[Город])</f>
        <v>Москва</v>
      </c>
      <c r="B1854" s="1" t="s">
        <v>36</v>
      </c>
      <c r="C1854" s="2">
        <v>45853</v>
      </c>
      <c r="D1854" s="2" t="str">
        <f>CHOOSE(MONTH(branches[[#This Row],[Дата]]),"Январь","Февраль","Март","Апрель","Май","Июнь","Июль","Август","Сентябрь","Октябрь","Ноябрь","Декабрь")&amp;" "&amp;YEAR(branches[[#This Row],[Дата]])</f>
        <v>Июль 2025</v>
      </c>
      <c r="E1854" t="s">
        <v>26</v>
      </c>
      <c r="F1854" t="s">
        <v>9</v>
      </c>
      <c r="G1854">
        <v>2</v>
      </c>
      <c r="H1854">
        <v>418</v>
      </c>
      <c r="I1854" t="s">
        <v>19</v>
      </c>
      <c r="J1854" t="str">
        <f>_xlfn.XLOOKUP(branches[[#This Row],[Филиал]], tbl_Filialy[Филиал], tbl_Filialy[Менеджер])</f>
        <v>Ирина Соколова</v>
      </c>
    </row>
    <row r="1855" spans="1:10" x14ac:dyDescent="0.3">
      <c r="A1855" t="str">
        <f>_xlfn.XLOOKUP(branches[[#This Row],[Филиал]], tbl_Filialy[Филиал], tbl_Filialy[Город])</f>
        <v>Москва</v>
      </c>
      <c r="B1855" s="1" t="s">
        <v>36</v>
      </c>
      <c r="C1855" s="2">
        <v>45681</v>
      </c>
      <c r="D1855" s="2" t="str">
        <f>CHOOSE(MONTH(branches[[#This Row],[Дата]]),"Январь","Февраль","Март","Апрель","Май","Июнь","Июль","Август","Сентябрь","Октябрь","Ноябрь","Декабрь")&amp;" "&amp;YEAR(branches[[#This Row],[Дата]])</f>
        <v>Январь 2025</v>
      </c>
      <c r="E1855" t="s">
        <v>26</v>
      </c>
      <c r="F1855" t="s">
        <v>9</v>
      </c>
      <c r="G1855">
        <v>1</v>
      </c>
      <c r="H1855">
        <v>187</v>
      </c>
      <c r="I1855" t="s">
        <v>15</v>
      </c>
      <c r="J1855" t="str">
        <f>_xlfn.XLOOKUP(branches[[#This Row],[Филиал]], tbl_Filialy[Филиал], tbl_Filialy[Менеджер])</f>
        <v>Ирина Соколова</v>
      </c>
    </row>
    <row r="1856" spans="1:10" x14ac:dyDescent="0.3">
      <c r="A1856" t="str">
        <f>_xlfn.XLOOKUP(branches[[#This Row],[Филиал]], tbl_Filialy[Филиал], tbl_Filialy[Город])</f>
        <v>Москва</v>
      </c>
      <c r="B1856" s="1" t="s">
        <v>36</v>
      </c>
      <c r="C1856" s="2">
        <v>45716</v>
      </c>
      <c r="D1856" s="2" t="str">
        <f>CHOOSE(MONTH(branches[[#This Row],[Дата]]),"Январь","Февраль","Март","Апрель","Май","Июнь","Июль","Август","Сентябрь","Октябрь","Ноябрь","Декабрь")&amp;" "&amp;YEAR(branches[[#This Row],[Дата]])</f>
        <v>Февраль 2025</v>
      </c>
      <c r="E1856" t="s">
        <v>8</v>
      </c>
      <c r="F1856" t="s">
        <v>9</v>
      </c>
      <c r="G1856">
        <v>2</v>
      </c>
      <c r="H1856">
        <v>472</v>
      </c>
      <c r="I1856" t="s">
        <v>23</v>
      </c>
      <c r="J1856" t="str">
        <f>_xlfn.XLOOKUP(branches[[#This Row],[Филиал]], tbl_Filialy[Филиал], tbl_Filialy[Менеджер])</f>
        <v>Ирина Соколова</v>
      </c>
    </row>
    <row r="1857" spans="1:10" x14ac:dyDescent="0.3">
      <c r="A1857" t="str">
        <f>_xlfn.XLOOKUP(branches[[#This Row],[Филиал]], tbl_Filialy[Филиал], tbl_Filialy[Город])</f>
        <v>Москва</v>
      </c>
      <c r="B1857" s="1" t="s">
        <v>36</v>
      </c>
      <c r="C1857" s="2">
        <v>45673</v>
      </c>
      <c r="D1857" s="2" t="str">
        <f>CHOOSE(MONTH(branches[[#This Row],[Дата]]),"Январь","Февраль","Март","Апрель","Май","Июнь","Июль","Август","Сентябрь","Октябрь","Ноябрь","Декабрь")&amp;" "&amp;YEAR(branches[[#This Row],[Дата]])</f>
        <v>Январь 2025</v>
      </c>
      <c r="E1857" t="s">
        <v>8</v>
      </c>
      <c r="F1857" t="s">
        <v>9</v>
      </c>
      <c r="G1857">
        <v>3</v>
      </c>
      <c r="H1857">
        <v>795</v>
      </c>
      <c r="I1857" t="s">
        <v>21</v>
      </c>
      <c r="J1857" t="str">
        <f>_xlfn.XLOOKUP(branches[[#This Row],[Филиал]], tbl_Filialy[Филиал], tbl_Filialy[Менеджер])</f>
        <v>Ирина Соколова</v>
      </c>
    </row>
    <row r="1858" spans="1:10" x14ac:dyDescent="0.3">
      <c r="A1858" t="str">
        <f>_xlfn.XLOOKUP(branches[[#This Row],[Филиал]], tbl_Filialy[Филиал], tbl_Filialy[Город])</f>
        <v>Москва</v>
      </c>
      <c r="B1858" s="1" t="s">
        <v>36</v>
      </c>
      <c r="C1858" s="2">
        <v>45982</v>
      </c>
      <c r="D1858" s="2" t="str">
        <f>CHOOSE(MONTH(branches[[#This Row],[Дата]]),"Январь","Февраль","Март","Апрель","Май","Июнь","Июль","Август","Сентябрь","Октябрь","Ноябрь","Декабрь")&amp;" "&amp;YEAR(branches[[#This Row],[Дата]])</f>
        <v>Ноябрь 2025</v>
      </c>
      <c r="E1858" t="s">
        <v>14</v>
      </c>
      <c r="F1858" t="s">
        <v>12</v>
      </c>
      <c r="G1858">
        <v>3</v>
      </c>
      <c r="H1858">
        <v>711</v>
      </c>
      <c r="I1858" t="s">
        <v>10</v>
      </c>
      <c r="J1858" t="str">
        <f>_xlfn.XLOOKUP(branches[[#This Row],[Филиал]], tbl_Filialy[Филиал], tbl_Filialy[Менеджер])</f>
        <v>Ирина Соколова</v>
      </c>
    </row>
    <row r="1859" spans="1:10" x14ac:dyDescent="0.3">
      <c r="A1859" t="str">
        <f>_xlfn.XLOOKUP(branches[[#This Row],[Филиал]], tbl_Filialy[Филиал], tbl_Filialy[Город])</f>
        <v>Москва</v>
      </c>
      <c r="B1859" s="1" t="s">
        <v>36</v>
      </c>
      <c r="C1859" s="2">
        <v>45969</v>
      </c>
      <c r="D1859" s="2" t="str">
        <f>CHOOSE(MONTH(branches[[#This Row],[Дата]]),"Январь","Февраль","Март","Апрель","Май","Июнь","Июль","Август","Сентябрь","Октябрь","Ноябрь","Декабрь")&amp;" "&amp;YEAR(branches[[#This Row],[Дата]])</f>
        <v>Ноябрь 2025</v>
      </c>
      <c r="E1859" t="s">
        <v>26</v>
      </c>
      <c r="F1859" t="s">
        <v>9</v>
      </c>
      <c r="G1859">
        <v>3</v>
      </c>
      <c r="H1859">
        <v>666</v>
      </c>
      <c r="I1859" t="s">
        <v>21</v>
      </c>
      <c r="J1859" t="str">
        <f>_xlfn.XLOOKUP(branches[[#This Row],[Филиал]], tbl_Filialy[Филиал], tbl_Filialy[Менеджер])</f>
        <v>Ирина Соколова</v>
      </c>
    </row>
    <row r="1860" spans="1:10" x14ac:dyDescent="0.3">
      <c r="A1860" t="str">
        <f>_xlfn.XLOOKUP(branches[[#This Row],[Филиал]], tbl_Filialy[Филиал], tbl_Filialy[Город])</f>
        <v>Москва</v>
      </c>
      <c r="B1860" s="1" t="s">
        <v>36</v>
      </c>
      <c r="C1860" s="2">
        <v>45661</v>
      </c>
      <c r="D1860" s="2" t="str">
        <f>CHOOSE(MONTH(branches[[#This Row],[Дата]]),"Январь","Февраль","Март","Апрель","Май","Июнь","Июль","Август","Сентябрь","Октябрь","Ноябрь","Декабрь")&amp;" "&amp;YEAR(branches[[#This Row],[Дата]])</f>
        <v>Январь 2025</v>
      </c>
      <c r="E1860" t="s">
        <v>28</v>
      </c>
      <c r="F1860" t="s">
        <v>12</v>
      </c>
      <c r="G1860">
        <v>1</v>
      </c>
      <c r="H1860">
        <v>224</v>
      </c>
      <c r="I1860" t="s">
        <v>10</v>
      </c>
      <c r="J1860" t="str">
        <f>_xlfn.XLOOKUP(branches[[#This Row],[Филиал]], tbl_Filialy[Филиал], tbl_Filialy[Менеджер])</f>
        <v>Ирина Соколова</v>
      </c>
    </row>
    <row r="1861" spans="1:10" x14ac:dyDescent="0.3">
      <c r="A1861" t="str">
        <f>_xlfn.XLOOKUP(branches[[#This Row],[Филиал]], tbl_Filialy[Филиал], tbl_Filialy[Город])</f>
        <v>Москва</v>
      </c>
      <c r="B1861" s="1" t="s">
        <v>36</v>
      </c>
      <c r="C1861" s="2">
        <v>45743</v>
      </c>
      <c r="D1861" s="2" t="str">
        <f>CHOOSE(MONTH(branches[[#This Row],[Дата]]),"Январь","Февраль","Март","Апрель","Май","Июнь","Июль","Август","Сентябрь","Октябрь","Ноябрь","Декабрь")&amp;" "&amp;YEAR(branches[[#This Row],[Дата]])</f>
        <v>Март 2025</v>
      </c>
      <c r="E1861" t="s">
        <v>20</v>
      </c>
      <c r="F1861" t="s">
        <v>12</v>
      </c>
      <c r="G1861">
        <v>1</v>
      </c>
      <c r="H1861">
        <v>298</v>
      </c>
      <c r="I1861" t="s">
        <v>15</v>
      </c>
      <c r="J1861" t="str">
        <f>_xlfn.XLOOKUP(branches[[#This Row],[Филиал]], tbl_Filialy[Филиал], tbl_Filialy[Менеджер])</f>
        <v>Ирина Соколова</v>
      </c>
    </row>
    <row r="1862" spans="1:10" x14ac:dyDescent="0.3">
      <c r="A1862" t="str">
        <f>_xlfn.XLOOKUP(branches[[#This Row],[Филиал]], tbl_Filialy[Филиал], tbl_Filialy[Город])</f>
        <v>Москва</v>
      </c>
      <c r="B1862" s="1" t="s">
        <v>36</v>
      </c>
      <c r="C1862" s="2">
        <v>45675</v>
      </c>
      <c r="D1862" s="2" t="str">
        <f>CHOOSE(MONTH(branches[[#This Row],[Дата]]),"Январь","Февраль","Март","Апрель","Май","Июнь","Июль","Август","Сентябрь","Октябрь","Ноябрь","Декабрь")&amp;" "&amp;YEAR(branches[[#This Row],[Дата]])</f>
        <v>Январь 2025</v>
      </c>
      <c r="E1862" t="s">
        <v>18</v>
      </c>
      <c r="F1862" t="s">
        <v>12</v>
      </c>
      <c r="G1862">
        <v>3</v>
      </c>
      <c r="H1862">
        <v>465</v>
      </c>
      <c r="I1862" t="s">
        <v>10</v>
      </c>
      <c r="J1862" t="str">
        <f>_xlfn.XLOOKUP(branches[[#This Row],[Филиал]], tbl_Filialy[Филиал], tbl_Filialy[Менеджер])</f>
        <v>Ирина Соколова</v>
      </c>
    </row>
    <row r="1863" spans="1:10" x14ac:dyDescent="0.3">
      <c r="A1863" t="str">
        <f>_xlfn.XLOOKUP(branches[[#This Row],[Филиал]], tbl_Filialy[Филиал], tbl_Filialy[Город])</f>
        <v>Москва</v>
      </c>
      <c r="B1863" s="1" t="s">
        <v>36</v>
      </c>
      <c r="C1863" s="2">
        <v>45660</v>
      </c>
      <c r="D1863" s="2" t="str">
        <f>CHOOSE(MONTH(branches[[#This Row],[Дата]]),"Январь","Февраль","Март","Апрель","Май","Июнь","Июль","Август","Сентябрь","Октябрь","Ноябрь","Декабрь")&amp;" "&amp;YEAR(branches[[#This Row],[Дата]])</f>
        <v>Январь 2025</v>
      </c>
      <c r="E1863" t="s">
        <v>16</v>
      </c>
      <c r="F1863" t="s">
        <v>17</v>
      </c>
      <c r="G1863">
        <v>1</v>
      </c>
      <c r="H1863">
        <v>309</v>
      </c>
      <c r="I1863" t="s">
        <v>23</v>
      </c>
      <c r="J1863" t="str">
        <f>_xlfn.XLOOKUP(branches[[#This Row],[Филиал]], tbl_Filialy[Филиал], tbl_Filialy[Менеджер])</f>
        <v>Ирина Соколова</v>
      </c>
    </row>
    <row r="1864" spans="1:10" x14ac:dyDescent="0.3">
      <c r="A1864" t="str">
        <f>_xlfn.XLOOKUP(branches[[#This Row],[Филиал]], tbl_Filialy[Филиал], tbl_Filialy[Город])</f>
        <v>Москва</v>
      </c>
      <c r="B1864" s="1" t="s">
        <v>36</v>
      </c>
      <c r="C1864" s="2">
        <v>45889</v>
      </c>
      <c r="D1864" s="2" t="str">
        <f>CHOOSE(MONTH(branches[[#This Row],[Дата]]),"Январь","Февраль","Март","Апрель","Май","Июнь","Июль","Август","Сентябрь","Октябрь","Ноябрь","Декабрь")&amp;" "&amp;YEAR(branches[[#This Row],[Дата]])</f>
        <v>Август 2025</v>
      </c>
      <c r="E1864" t="s">
        <v>20</v>
      </c>
      <c r="F1864" t="s">
        <v>12</v>
      </c>
      <c r="G1864">
        <v>2</v>
      </c>
      <c r="H1864">
        <v>522</v>
      </c>
      <c r="I1864" t="s">
        <v>15</v>
      </c>
      <c r="J1864" t="str">
        <f>_xlfn.XLOOKUP(branches[[#This Row],[Филиал]], tbl_Filialy[Филиал], tbl_Filialy[Менеджер])</f>
        <v>Ирина Соколова</v>
      </c>
    </row>
    <row r="1865" spans="1:10" x14ac:dyDescent="0.3">
      <c r="A1865" t="str">
        <f>_xlfn.XLOOKUP(branches[[#This Row],[Филиал]], tbl_Filialy[Филиал], tbl_Filialy[Город])</f>
        <v>Москва</v>
      </c>
      <c r="B1865" s="1" t="s">
        <v>36</v>
      </c>
      <c r="C1865" s="2">
        <v>45781</v>
      </c>
      <c r="D1865" s="2" t="str">
        <f>CHOOSE(MONTH(branches[[#This Row],[Дата]]),"Январь","Февраль","Март","Апрель","Май","Июнь","Июль","Август","Сентябрь","Октябрь","Ноябрь","Декабрь")&amp;" "&amp;YEAR(branches[[#This Row],[Дата]])</f>
        <v>Май 2025</v>
      </c>
      <c r="E1865" t="s">
        <v>16</v>
      </c>
      <c r="F1865" t="s">
        <v>17</v>
      </c>
      <c r="G1865">
        <v>1</v>
      </c>
      <c r="H1865">
        <v>360</v>
      </c>
      <c r="I1865" t="s">
        <v>13</v>
      </c>
      <c r="J1865" t="str">
        <f>_xlfn.XLOOKUP(branches[[#This Row],[Филиал]], tbl_Filialy[Филиал], tbl_Filialy[Менеджер])</f>
        <v>Ирина Соколова</v>
      </c>
    </row>
    <row r="1866" spans="1:10" x14ac:dyDescent="0.3">
      <c r="A1866" t="str">
        <f>_xlfn.XLOOKUP(branches[[#This Row],[Филиал]], tbl_Filialy[Филиал], tbl_Filialy[Город])</f>
        <v>Москва</v>
      </c>
      <c r="B1866" s="1" t="s">
        <v>36</v>
      </c>
      <c r="C1866" s="2">
        <v>46002</v>
      </c>
      <c r="D1866" s="2" t="str">
        <f>CHOOSE(MONTH(branches[[#This Row],[Дата]]),"Январь","Февраль","Март","Апрель","Май","Июнь","Июль","Август","Сентябрь","Октябрь","Ноябрь","Декабрь")&amp;" "&amp;YEAR(branches[[#This Row],[Дата]])</f>
        <v>Декабрь 2025</v>
      </c>
      <c r="E1866" t="s">
        <v>25</v>
      </c>
      <c r="F1866" t="s">
        <v>12</v>
      </c>
      <c r="G1866">
        <v>3</v>
      </c>
      <c r="H1866">
        <v>687</v>
      </c>
      <c r="I1866" t="s">
        <v>15</v>
      </c>
      <c r="J1866" t="str">
        <f>_xlfn.XLOOKUP(branches[[#This Row],[Филиал]], tbl_Filialy[Филиал], tbl_Filialy[Менеджер])</f>
        <v>Ирина Соколова</v>
      </c>
    </row>
    <row r="1867" spans="1:10" x14ac:dyDescent="0.3">
      <c r="A1867" t="str">
        <f>_xlfn.XLOOKUP(branches[[#This Row],[Филиал]], tbl_Filialy[Филиал], tbl_Filialy[Город])</f>
        <v>Москва</v>
      </c>
      <c r="B1867" s="1" t="s">
        <v>36</v>
      </c>
      <c r="C1867" s="2">
        <v>45905</v>
      </c>
      <c r="D1867" s="2" t="str">
        <f>CHOOSE(MONTH(branches[[#This Row],[Дата]]),"Январь","Февраль","Март","Апрель","Май","Июнь","Июль","Август","Сентябрь","Октябрь","Ноябрь","Декабрь")&amp;" "&amp;YEAR(branches[[#This Row],[Дата]])</f>
        <v>Сентябрь 2025</v>
      </c>
      <c r="E1867" t="s">
        <v>16</v>
      </c>
      <c r="F1867" t="s">
        <v>17</v>
      </c>
      <c r="G1867">
        <v>2</v>
      </c>
      <c r="H1867">
        <v>568</v>
      </c>
      <c r="I1867" t="s">
        <v>23</v>
      </c>
      <c r="J1867" t="str">
        <f>_xlfn.XLOOKUP(branches[[#This Row],[Филиал]], tbl_Filialy[Филиал], tbl_Filialy[Менеджер])</f>
        <v>Ирина Соколова</v>
      </c>
    </row>
    <row r="1868" spans="1:10" x14ac:dyDescent="0.3">
      <c r="A1868" t="str">
        <f>_xlfn.XLOOKUP(branches[[#This Row],[Филиал]], tbl_Filialy[Филиал], tbl_Filialy[Город])</f>
        <v>Москва</v>
      </c>
      <c r="B1868" s="1" t="s">
        <v>36</v>
      </c>
      <c r="C1868" s="2">
        <v>45695</v>
      </c>
      <c r="D1868" s="2" t="str">
        <f>CHOOSE(MONTH(branches[[#This Row],[Дата]]),"Январь","Февраль","Март","Апрель","Май","Июнь","Июль","Август","Сентябрь","Октябрь","Ноябрь","Декабрь")&amp;" "&amp;YEAR(branches[[#This Row],[Дата]])</f>
        <v>Февраль 2025</v>
      </c>
      <c r="E1868" t="s">
        <v>14</v>
      </c>
      <c r="F1868" t="s">
        <v>12</v>
      </c>
      <c r="G1868">
        <v>1</v>
      </c>
      <c r="H1868">
        <v>281</v>
      </c>
      <c r="I1868" t="s">
        <v>21</v>
      </c>
      <c r="J1868" t="str">
        <f>_xlfn.XLOOKUP(branches[[#This Row],[Филиал]], tbl_Filialy[Филиал], tbl_Filialy[Менеджер])</f>
        <v>Ирина Соколова</v>
      </c>
    </row>
    <row r="1869" spans="1:10" x14ac:dyDescent="0.3">
      <c r="A1869" t="str">
        <f>_xlfn.XLOOKUP(branches[[#This Row],[Филиал]], tbl_Filialy[Филиал], tbl_Filialy[Город])</f>
        <v>Москва</v>
      </c>
      <c r="B1869" s="1" t="s">
        <v>36</v>
      </c>
      <c r="C1869" s="2">
        <v>45730</v>
      </c>
      <c r="D1869" s="2" t="str">
        <f>CHOOSE(MONTH(branches[[#This Row],[Дата]]),"Январь","Февраль","Март","Апрель","Май","Июнь","Июль","Август","Сентябрь","Октябрь","Ноябрь","Декабрь")&amp;" "&amp;YEAR(branches[[#This Row],[Дата]])</f>
        <v>Март 2025</v>
      </c>
      <c r="E1869" t="s">
        <v>22</v>
      </c>
      <c r="F1869" t="s">
        <v>9</v>
      </c>
      <c r="G1869">
        <v>1</v>
      </c>
      <c r="H1869">
        <v>177</v>
      </c>
      <c r="I1869" t="s">
        <v>15</v>
      </c>
      <c r="J1869" t="str">
        <f>_xlfn.XLOOKUP(branches[[#This Row],[Филиал]], tbl_Filialy[Филиал], tbl_Filialy[Менеджер])</f>
        <v>Ирина Соколова</v>
      </c>
    </row>
    <row r="1870" spans="1:10" x14ac:dyDescent="0.3">
      <c r="A1870" t="str">
        <f>_xlfn.XLOOKUP(branches[[#This Row],[Филиал]], tbl_Filialy[Филиал], tbl_Filialy[Город])</f>
        <v>Москва</v>
      </c>
      <c r="B1870" s="1" t="s">
        <v>36</v>
      </c>
      <c r="C1870" s="2">
        <v>45871</v>
      </c>
      <c r="D1870" s="2" t="str">
        <f>CHOOSE(MONTH(branches[[#This Row],[Дата]]),"Январь","Февраль","Март","Апрель","Май","Июнь","Июль","Август","Сентябрь","Октябрь","Ноябрь","Декабрь")&amp;" "&amp;YEAR(branches[[#This Row],[Дата]])</f>
        <v>Август 2025</v>
      </c>
      <c r="E1870" t="s">
        <v>8</v>
      </c>
      <c r="F1870" t="s">
        <v>9</v>
      </c>
      <c r="G1870">
        <v>3</v>
      </c>
      <c r="H1870">
        <v>693</v>
      </c>
      <c r="I1870" t="s">
        <v>21</v>
      </c>
      <c r="J1870" t="str">
        <f>_xlfn.XLOOKUP(branches[[#This Row],[Филиал]], tbl_Filialy[Филиал], tbl_Filialy[Менеджер])</f>
        <v>Ирина Соколова</v>
      </c>
    </row>
    <row r="1871" spans="1:10" x14ac:dyDescent="0.3">
      <c r="A1871" t="str">
        <f>_xlfn.XLOOKUP(branches[[#This Row],[Филиал]], tbl_Filialy[Филиал], tbl_Filialy[Город])</f>
        <v>Москва</v>
      </c>
      <c r="B1871" s="1" t="s">
        <v>36</v>
      </c>
      <c r="C1871" s="2">
        <v>46011</v>
      </c>
      <c r="D1871" s="2" t="str">
        <f>CHOOSE(MONTH(branches[[#This Row],[Дата]]),"Январь","Февраль","Март","Апрель","Май","Июнь","Июль","Август","Сентябрь","Октябрь","Ноябрь","Декабрь")&amp;" "&amp;YEAR(branches[[#This Row],[Дата]])</f>
        <v>Декабрь 2025</v>
      </c>
      <c r="E1871" t="s">
        <v>26</v>
      </c>
      <c r="F1871" t="s">
        <v>9</v>
      </c>
      <c r="G1871">
        <v>3</v>
      </c>
      <c r="H1871">
        <v>681</v>
      </c>
      <c r="I1871" t="s">
        <v>15</v>
      </c>
      <c r="J1871" t="str">
        <f>_xlfn.XLOOKUP(branches[[#This Row],[Филиал]], tbl_Filialy[Филиал], tbl_Filialy[Менеджер])</f>
        <v>Ирина Соколова</v>
      </c>
    </row>
    <row r="1872" spans="1:10" x14ac:dyDescent="0.3">
      <c r="A1872" t="str">
        <f>_xlfn.XLOOKUP(branches[[#This Row],[Филиал]], tbl_Filialy[Филиал], tbl_Filialy[Город])</f>
        <v>Москва</v>
      </c>
      <c r="B1872" s="1" t="s">
        <v>36</v>
      </c>
      <c r="C1872" s="2">
        <v>45983</v>
      </c>
      <c r="D1872" s="2" t="str">
        <f>CHOOSE(MONTH(branches[[#This Row],[Дата]]),"Январь","Февраль","Март","Апрель","Май","Июнь","Июль","Август","Сентябрь","Октябрь","Ноябрь","Декабрь")&amp;" "&amp;YEAR(branches[[#This Row],[Дата]])</f>
        <v>Ноябрь 2025</v>
      </c>
      <c r="E1872" t="s">
        <v>25</v>
      </c>
      <c r="F1872" t="s">
        <v>12</v>
      </c>
      <c r="G1872">
        <v>2</v>
      </c>
      <c r="H1872">
        <v>400</v>
      </c>
      <c r="I1872" t="s">
        <v>13</v>
      </c>
      <c r="J1872" t="str">
        <f>_xlfn.XLOOKUP(branches[[#This Row],[Филиал]], tbl_Filialy[Филиал], tbl_Filialy[Менеджер])</f>
        <v>Ирина Соколова</v>
      </c>
    </row>
    <row r="1873" spans="1:10" x14ac:dyDescent="0.3">
      <c r="A1873" t="str">
        <f>_xlfn.XLOOKUP(branches[[#This Row],[Филиал]], tbl_Filialy[Филиал], tbl_Filialy[Город])</f>
        <v>Москва</v>
      </c>
      <c r="B1873" s="1" t="s">
        <v>36</v>
      </c>
      <c r="C1873" s="2">
        <v>45753</v>
      </c>
      <c r="D1873" s="2" t="str">
        <f>CHOOSE(MONTH(branches[[#This Row],[Дата]]),"Январь","Февраль","Март","Апрель","Май","Июнь","Июль","Август","Сентябрь","Октябрь","Ноябрь","Декабрь")&amp;" "&amp;YEAR(branches[[#This Row],[Дата]])</f>
        <v>Апрель 2025</v>
      </c>
      <c r="E1873" t="s">
        <v>22</v>
      </c>
      <c r="F1873" t="s">
        <v>9</v>
      </c>
      <c r="G1873">
        <v>2</v>
      </c>
      <c r="H1873">
        <v>362</v>
      </c>
      <c r="I1873" t="s">
        <v>23</v>
      </c>
      <c r="J1873" t="str">
        <f>_xlfn.XLOOKUP(branches[[#This Row],[Филиал]], tbl_Filialy[Филиал], tbl_Filialy[Менеджер])</f>
        <v>Ирина Соколова</v>
      </c>
    </row>
    <row r="1874" spans="1:10" x14ac:dyDescent="0.3">
      <c r="A1874" t="str">
        <f>_xlfn.XLOOKUP(branches[[#This Row],[Филиал]], tbl_Filialy[Филиал], tbl_Filialy[Город])</f>
        <v>Москва</v>
      </c>
      <c r="B1874" s="1" t="s">
        <v>36</v>
      </c>
      <c r="C1874" s="2">
        <v>45940</v>
      </c>
      <c r="D1874" s="2" t="str">
        <f>CHOOSE(MONTH(branches[[#This Row],[Дата]]),"Январь","Февраль","Март","Апрель","Май","Июнь","Июль","Август","Сентябрь","Октябрь","Ноябрь","Декабрь")&amp;" "&amp;YEAR(branches[[#This Row],[Дата]])</f>
        <v>Октябрь 2025</v>
      </c>
      <c r="E1874" t="s">
        <v>22</v>
      </c>
      <c r="F1874" t="s">
        <v>9</v>
      </c>
      <c r="G1874">
        <v>3</v>
      </c>
      <c r="H1874">
        <v>582</v>
      </c>
      <c r="I1874" t="s">
        <v>13</v>
      </c>
      <c r="J1874" t="str">
        <f>_xlfn.XLOOKUP(branches[[#This Row],[Филиал]], tbl_Filialy[Филиал], tbl_Filialy[Менеджер])</f>
        <v>Ирина Соколова</v>
      </c>
    </row>
    <row r="1875" spans="1:10" x14ac:dyDescent="0.3">
      <c r="A1875" t="str">
        <f>_xlfn.XLOOKUP(branches[[#This Row],[Филиал]], tbl_Filialy[Филиал], tbl_Filialy[Город])</f>
        <v>Москва</v>
      </c>
      <c r="B1875" s="1" t="s">
        <v>36</v>
      </c>
      <c r="C1875" s="2">
        <v>45952</v>
      </c>
      <c r="D1875" s="2" t="str">
        <f>CHOOSE(MONTH(branches[[#This Row],[Дата]]),"Январь","Февраль","Март","Апрель","Май","Июнь","Июль","Август","Сентябрь","Октябрь","Ноябрь","Декабрь")&amp;" "&amp;YEAR(branches[[#This Row],[Дата]])</f>
        <v>Октябрь 2025</v>
      </c>
      <c r="E1875" t="s">
        <v>18</v>
      </c>
      <c r="F1875" t="s">
        <v>12</v>
      </c>
      <c r="G1875">
        <v>2</v>
      </c>
      <c r="H1875">
        <v>280</v>
      </c>
      <c r="I1875" t="s">
        <v>15</v>
      </c>
      <c r="J1875" t="str">
        <f>_xlfn.XLOOKUP(branches[[#This Row],[Филиал]], tbl_Filialy[Филиал], tbl_Filialy[Менеджер])</f>
        <v>Ирина Соколова</v>
      </c>
    </row>
    <row r="1876" spans="1:10" x14ac:dyDescent="0.3">
      <c r="A1876" t="str">
        <f>_xlfn.XLOOKUP(branches[[#This Row],[Филиал]], tbl_Filialy[Филиал], tbl_Filialy[Город])</f>
        <v>Москва</v>
      </c>
      <c r="B1876" s="1" t="s">
        <v>36</v>
      </c>
      <c r="C1876" s="2">
        <v>45706</v>
      </c>
      <c r="D1876" s="2" t="str">
        <f>CHOOSE(MONTH(branches[[#This Row],[Дата]]),"Январь","Февраль","Март","Апрель","Май","Июнь","Июль","Август","Сентябрь","Октябрь","Ноябрь","Декабрь")&amp;" "&amp;YEAR(branches[[#This Row],[Дата]])</f>
        <v>Февраль 2025</v>
      </c>
      <c r="E1876" t="s">
        <v>25</v>
      </c>
      <c r="F1876" t="s">
        <v>12</v>
      </c>
      <c r="G1876">
        <v>3</v>
      </c>
      <c r="H1876">
        <v>639</v>
      </c>
      <c r="I1876" t="s">
        <v>21</v>
      </c>
      <c r="J1876" t="str">
        <f>_xlfn.XLOOKUP(branches[[#This Row],[Филиал]], tbl_Filialy[Филиал], tbl_Filialy[Менеджер])</f>
        <v>Ирина Соколова</v>
      </c>
    </row>
    <row r="1877" spans="1:10" x14ac:dyDescent="0.3">
      <c r="A1877" t="str">
        <f>_xlfn.XLOOKUP(branches[[#This Row],[Филиал]], tbl_Filialy[Филиал], tbl_Filialy[Город])</f>
        <v>Москва</v>
      </c>
      <c r="B1877" s="1" t="s">
        <v>36</v>
      </c>
      <c r="C1877" s="2">
        <v>45762</v>
      </c>
      <c r="D1877" s="2" t="str">
        <f>CHOOSE(MONTH(branches[[#This Row],[Дата]]),"Январь","Февраль","Март","Апрель","Май","Июнь","Июль","Август","Сентябрь","Октябрь","Ноябрь","Декабрь")&amp;" "&amp;YEAR(branches[[#This Row],[Дата]])</f>
        <v>Апрель 2025</v>
      </c>
      <c r="E1877" t="s">
        <v>16</v>
      </c>
      <c r="F1877" t="s">
        <v>17</v>
      </c>
      <c r="G1877">
        <v>2</v>
      </c>
      <c r="H1877">
        <v>598</v>
      </c>
      <c r="I1877" t="s">
        <v>19</v>
      </c>
      <c r="J1877" t="str">
        <f>_xlfn.XLOOKUP(branches[[#This Row],[Филиал]], tbl_Filialy[Филиал], tbl_Filialy[Менеджер])</f>
        <v>Ирина Соколова</v>
      </c>
    </row>
    <row r="1878" spans="1:10" x14ac:dyDescent="0.3">
      <c r="A1878" t="str">
        <f>_xlfn.XLOOKUP(branches[[#This Row],[Филиал]], tbl_Filialy[Филиал], tbl_Filialy[Город])</f>
        <v>Москва</v>
      </c>
      <c r="B1878" s="1" t="s">
        <v>36</v>
      </c>
      <c r="C1878" s="2">
        <v>45999</v>
      </c>
      <c r="D1878" s="2" t="str">
        <f>CHOOSE(MONTH(branches[[#This Row],[Дата]]),"Январь","Февраль","Март","Апрель","Май","Июнь","Июль","Август","Сентябрь","Октябрь","Ноябрь","Декабрь")&amp;" "&amp;YEAR(branches[[#This Row],[Дата]])</f>
        <v>Декабрь 2025</v>
      </c>
      <c r="E1878" t="s">
        <v>8</v>
      </c>
      <c r="F1878" t="s">
        <v>9</v>
      </c>
      <c r="G1878">
        <v>1</v>
      </c>
      <c r="H1878">
        <v>244</v>
      </c>
      <c r="I1878" t="s">
        <v>10</v>
      </c>
      <c r="J1878" t="str">
        <f>_xlfn.XLOOKUP(branches[[#This Row],[Филиал]], tbl_Filialy[Филиал], tbl_Filialy[Менеджер])</f>
        <v>Ирина Соколова</v>
      </c>
    </row>
    <row r="1879" spans="1:10" x14ac:dyDescent="0.3">
      <c r="A1879" t="str">
        <f>_xlfn.XLOOKUP(branches[[#This Row],[Филиал]], tbl_Filialy[Филиал], tbl_Filialy[Город])</f>
        <v>Москва</v>
      </c>
      <c r="B1879" s="1" t="s">
        <v>36</v>
      </c>
      <c r="C1879" s="2">
        <v>46003</v>
      </c>
      <c r="D1879" s="2" t="str">
        <f>CHOOSE(MONTH(branches[[#This Row],[Дата]]),"Январь","Февраль","Март","Апрель","Май","Июнь","Июль","Август","Сентябрь","Октябрь","Ноябрь","Декабрь")&amp;" "&amp;YEAR(branches[[#This Row],[Дата]])</f>
        <v>Декабрь 2025</v>
      </c>
      <c r="E1879" t="s">
        <v>20</v>
      </c>
      <c r="F1879" t="s">
        <v>12</v>
      </c>
      <c r="G1879">
        <v>1</v>
      </c>
      <c r="H1879">
        <v>278</v>
      </c>
      <c r="I1879" t="s">
        <v>19</v>
      </c>
      <c r="J1879" t="str">
        <f>_xlfn.XLOOKUP(branches[[#This Row],[Филиал]], tbl_Filialy[Филиал], tbl_Filialy[Менеджер])</f>
        <v>Ирина Соколова</v>
      </c>
    </row>
    <row r="1880" spans="1:10" x14ac:dyDescent="0.3">
      <c r="A1880" t="str">
        <f>_xlfn.XLOOKUP(branches[[#This Row],[Филиал]], tbl_Filialy[Филиал], tbl_Filialy[Город])</f>
        <v>Москва</v>
      </c>
      <c r="B1880" s="1" t="s">
        <v>36</v>
      </c>
      <c r="C1880" s="2">
        <v>45933</v>
      </c>
      <c r="D1880" s="2" t="str">
        <f>CHOOSE(MONTH(branches[[#This Row],[Дата]]),"Январь","Февраль","Март","Апрель","Май","Июнь","Июль","Август","Сентябрь","Октябрь","Ноябрь","Декабрь")&amp;" "&amp;YEAR(branches[[#This Row],[Дата]])</f>
        <v>Октябрь 2025</v>
      </c>
      <c r="E1880" t="s">
        <v>14</v>
      </c>
      <c r="F1880" t="s">
        <v>12</v>
      </c>
      <c r="G1880">
        <v>2</v>
      </c>
      <c r="H1880">
        <v>462</v>
      </c>
      <c r="I1880" t="s">
        <v>15</v>
      </c>
      <c r="J1880" t="str">
        <f>_xlfn.XLOOKUP(branches[[#This Row],[Филиал]], tbl_Filialy[Филиал], tbl_Filialy[Менеджер])</f>
        <v>Ирина Соколова</v>
      </c>
    </row>
    <row r="1881" spans="1:10" x14ac:dyDescent="0.3">
      <c r="A1881" t="str">
        <f>_xlfn.XLOOKUP(branches[[#This Row],[Филиал]], tbl_Filialy[Филиал], tbl_Filialy[Город])</f>
        <v>Москва</v>
      </c>
      <c r="B1881" s="1" t="s">
        <v>36</v>
      </c>
      <c r="C1881" s="2">
        <v>45949</v>
      </c>
      <c r="D1881" s="2" t="str">
        <f>CHOOSE(MONTH(branches[[#This Row],[Дата]]),"Январь","Февраль","Март","Апрель","Май","Июнь","Июль","Август","Сентябрь","Октябрь","Ноябрь","Декабрь")&amp;" "&amp;YEAR(branches[[#This Row],[Дата]])</f>
        <v>Октябрь 2025</v>
      </c>
      <c r="E1881" t="s">
        <v>18</v>
      </c>
      <c r="F1881" t="s">
        <v>12</v>
      </c>
      <c r="G1881">
        <v>1</v>
      </c>
      <c r="H1881">
        <v>140</v>
      </c>
      <c r="I1881" t="s">
        <v>13</v>
      </c>
      <c r="J1881" t="str">
        <f>_xlfn.XLOOKUP(branches[[#This Row],[Филиал]], tbl_Filialy[Филиал], tbl_Filialy[Менеджер])</f>
        <v>Ирина Соколова</v>
      </c>
    </row>
    <row r="1882" spans="1:10" x14ac:dyDescent="0.3">
      <c r="A1882" t="str">
        <f>_xlfn.XLOOKUP(branches[[#This Row],[Филиал]], tbl_Filialy[Филиал], tbl_Filialy[Город])</f>
        <v>Москва</v>
      </c>
      <c r="B1882" s="1" t="s">
        <v>36</v>
      </c>
      <c r="C1882" s="2">
        <v>45950</v>
      </c>
      <c r="D1882" s="2" t="str">
        <f>CHOOSE(MONTH(branches[[#This Row],[Дата]]),"Январь","Февраль","Март","Апрель","Май","Июнь","Июль","Август","Сентябрь","Октябрь","Ноябрь","Декабрь")&amp;" "&amp;YEAR(branches[[#This Row],[Дата]])</f>
        <v>Октябрь 2025</v>
      </c>
      <c r="E1882" t="s">
        <v>18</v>
      </c>
      <c r="F1882" t="s">
        <v>12</v>
      </c>
      <c r="G1882">
        <v>2</v>
      </c>
      <c r="H1882">
        <v>292</v>
      </c>
      <c r="I1882" t="s">
        <v>13</v>
      </c>
      <c r="J1882" t="str">
        <f>_xlfn.XLOOKUP(branches[[#This Row],[Филиал]], tbl_Filialy[Филиал], tbl_Filialy[Менеджер])</f>
        <v>Ирина Соколова</v>
      </c>
    </row>
    <row r="1883" spans="1:10" x14ac:dyDescent="0.3">
      <c r="A1883" t="str">
        <f>_xlfn.XLOOKUP(branches[[#This Row],[Филиал]], tbl_Filialy[Филиал], tbl_Filialy[Город])</f>
        <v>Москва</v>
      </c>
      <c r="B1883" s="1" t="s">
        <v>36</v>
      </c>
      <c r="C1883" s="2">
        <v>46000</v>
      </c>
      <c r="D1883" s="2" t="str">
        <f>CHOOSE(MONTH(branches[[#This Row],[Дата]]),"Январь","Февраль","Март","Апрель","Май","Июнь","Июль","Август","Сентябрь","Октябрь","Ноябрь","Декабрь")&amp;" "&amp;YEAR(branches[[#This Row],[Дата]])</f>
        <v>Декабрь 2025</v>
      </c>
      <c r="E1883" t="s">
        <v>24</v>
      </c>
      <c r="F1883" t="s">
        <v>17</v>
      </c>
      <c r="G1883">
        <v>1</v>
      </c>
      <c r="H1883">
        <v>337</v>
      </c>
      <c r="I1883" t="s">
        <v>19</v>
      </c>
      <c r="J1883" t="str">
        <f>_xlfn.XLOOKUP(branches[[#This Row],[Филиал]], tbl_Filialy[Филиал], tbl_Filialy[Менеджер])</f>
        <v>Ирина Соколова</v>
      </c>
    </row>
    <row r="1884" spans="1:10" x14ac:dyDescent="0.3">
      <c r="A1884" t="str">
        <f>_xlfn.XLOOKUP(branches[[#This Row],[Филиал]], tbl_Filialy[Филиал], tbl_Filialy[Город])</f>
        <v>Москва</v>
      </c>
      <c r="B1884" s="1" t="s">
        <v>36</v>
      </c>
      <c r="C1884" s="2">
        <v>45848</v>
      </c>
      <c r="D1884" s="2" t="str">
        <f>CHOOSE(MONTH(branches[[#This Row],[Дата]]),"Январь","Февраль","Март","Апрель","Май","Июнь","Июль","Август","Сентябрь","Октябрь","Ноябрь","Декабрь")&amp;" "&amp;YEAR(branches[[#This Row],[Дата]])</f>
        <v>Июль 2025</v>
      </c>
      <c r="E1884" t="s">
        <v>28</v>
      </c>
      <c r="F1884" t="s">
        <v>12</v>
      </c>
      <c r="G1884">
        <v>2</v>
      </c>
      <c r="H1884">
        <v>510</v>
      </c>
      <c r="I1884" t="s">
        <v>13</v>
      </c>
      <c r="J1884" t="str">
        <f>_xlfn.XLOOKUP(branches[[#This Row],[Филиал]], tbl_Filialy[Филиал], tbl_Filialy[Менеджер])</f>
        <v>Ирина Соколова</v>
      </c>
    </row>
    <row r="1885" spans="1:10" x14ac:dyDescent="0.3">
      <c r="A1885" t="str">
        <f>_xlfn.XLOOKUP(branches[[#This Row],[Филиал]], tbl_Filialy[Филиал], tbl_Filialy[Город])</f>
        <v>Москва</v>
      </c>
      <c r="B1885" s="1" t="s">
        <v>36</v>
      </c>
      <c r="C1885" s="2">
        <v>45941</v>
      </c>
      <c r="D1885" s="2" t="str">
        <f>CHOOSE(MONTH(branches[[#This Row],[Дата]]),"Январь","Февраль","Март","Апрель","Май","Июнь","Июль","Август","Сентябрь","Октябрь","Ноябрь","Декабрь")&amp;" "&amp;YEAR(branches[[#This Row],[Дата]])</f>
        <v>Октябрь 2025</v>
      </c>
      <c r="E1885" t="s">
        <v>27</v>
      </c>
      <c r="F1885" t="s">
        <v>12</v>
      </c>
      <c r="G1885">
        <v>1</v>
      </c>
      <c r="H1885">
        <v>225</v>
      </c>
      <c r="I1885" t="s">
        <v>15</v>
      </c>
      <c r="J1885" t="str">
        <f>_xlfn.XLOOKUP(branches[[#This Row],[Филиал]], tbl_Filialy[Филиал], tbl_Filialy[Менеджер])</f>
        <v>Ирина Соколова</v>
      </c>
    </row>
    <row r="1886" spans="1:10" x14ac:dyDescent="0.3">
      <c r="A1886" t="str">
        <f>_xlfn.XLOOKUP(branches[[#This Row],[Филиал]], tbl_Filialy[Филиал], tbl_Filialy[Город])</f>
        <v>Москва</v>
      </c>
      <c r="B1886" s="1" t="s">
        <v>36</v>
      </c>
      <c r="C1886" s="2">
        <v>45727</v>
      </c>
      <c r="D1886" s="2" t="str">
        <f>CHOOSE(MONTH(branches[[#This Row],[Дата]]),"Январь","Февраль","Март","Апрель","Май","Июнь","Июль","Август","Сентябрь","Октябрь","Ноябрь","Декабрь")&amp;" "&amp;YEAR(branches[[#This Row],[Дата]])</f>
        <v>Март 2025</v>
      </c>
      <c r="E1886" t="s">
        <v>20</v>
      </c>
      <c r="F1886" t="s">
        <v>12</v>
      </c>
      <c r="G1886">
        <v>2</v>
      </c>
      <c r="H1886">
        <v>630</v>
      </c>
      <c r="I1886" t="s">
        <v>10</v>
      </c>
      <c r="J1886" t="str">
        <f>_xlfn.XLOOKUP(branches[[#This Row],[Филиал]], tbl_Filialy[Филиал], tbl_Filialy[Менеджер])</f>
        <v>Ирина Соколова</v>
      </c>
    </row>
    <row r="1887" spans="1:10" x14ac:dyDescent="0.3">
      <c r="A1887" t="str">
        <f>_xlfn.XLOOKUP(branches[[#This Row],[Филиал]], tbl_Filialy[Филиал], tbl_Filialy[Город])</f>
        <v>Москва</v>
      </c>
      <c r="B1887" s="1" t="s">
        <v>36</v>
      </c>
      <c r="C1887" s="2">
        <v>45731</v>
      </c>
      <c r="D1887" s="2" t="str">
        <f>CHOOSE(MONTH(branches[[#This Row],[Дата]]),"Январь","Февраль","Март","Апрель","Май","Июнь","Июль","Август","Сентябрь","Октябрь","Ноябрь","Декабрь")&amp;" "&amp;YEAR(branches[[#This Row],[Дата]])</f>
        <v>Март 2025</v>
      </c>
      <c r="E1887" t="s">
        <v>11</v>
      </c>
      <c r="F1887" t="s">
        <v>12</v>
      </c>
      <c r="G1887">
        <v>3</v>
      </c>
      <c r="H1887">
        <v>525</v>
      </c>
      <c r="I1887" t="s">
        <v>10</v>
      </c>
      <c r="J1887" t="str">
        <f>_xlfn.XLOOKUP(branches[[#This Row],[Филиал]], tbl_Filialy[Филиал], tbl_Filialy[Менеджер])</f>
        <v>Ирина Соколова</v>
      </c>
    </row>
    <row r="1888" spans="1:10" x14ac:dyDescent="0.3">
      <c r="A1888" t="str">
        <f>_xlfn.XLOOKUP(branches[[#This Row],[Филиал]], tbl_Filialy[Филиал], tbl_Filialy[Город])</f>
        <v>Москва</v>
      </c>
      <c r="B1888" s="1" t="s">
        <v>36</v>
      </c>
      <c r="C1888" s="2">
        <v>46019</v>
      </c>
      <c r="D1888" s="2" t="str">
        <f>CHOOSE(MONTH(branches[[#This Row],[Дата]]),"Январь","Февраль","Март","Апрель","Май","Июнь","Июль","Август","Сентябрь","Октябрь","Ноябрь","Декабрь")&amp;" "&amp;YEAR(branches[[#This Row],[Дата]])</f>
        <v>Декабрь 2025</v>
      </c>
      <c r="E1888" t="s">
        <v>26</v>
      </c>
      <c r="F1888" t="s">
        <v>9</v>
      </c>
      <c r="G1888">
        <v>3</v>
      </c>
      <c r="H1888">
        <v>690</v>
      </c>
      <c r="I1888" t="s">
        <v>23</v>
      </c>
      <c r="J1888" t="str">
        <f>_xlfn.XLOOKUP(branches[[#This Row],[Филиал]], tbl_Filialy[Филиал], tbl_Filialy[Менеджер])</f>
        <v>Ирина Соколова</v>
      </c>
    </row>
    <row r="1889" spans="1:10" x14ac:dyDescent="0.3">
      <c r="A1889" t="str">
        <f>_xlfn.XLOOKUP(branches[[#This Row],[Филиал]], tbl_Filialy[Филиал], tbl_Filialy[Город])</f>
        <v>Москва</v>
      </c>
      <c r="B1889" s="1" t="s">
        <v>36</v>
      </c>
      <c r="C1889" s="2">
        <v>45659</v>
      </c>
      <c r="D1889" s="2" t="str">
        <f>CHOOSE(MONTH(branches[[#This Row],[Дата]]),"Январь","Февраль","Март","Апрель","Май","Июнь","Июль","Август","Сентябрь","Октябрь","Ноябрь","Декабрь")&amp;" "&amp;YEAR(branches[[#This Row],[Дата]])</f>
        <v>Январь 2025</v>
      </c>
      <c r="E1889" t="s">
        <v>25</v>
      </c>
      <c r="F1889" t="s">
        <v>12</v>
      </c>
      <c r="G1889">
        <v>2</v>
      </c>
      <c r="H1889">
        <v>482</v>
      </c>
      <c r="I1889" t="s">
        <v>13</v>
      </c>
      <c r="J1889" t="str">
        <f>_xlfn.XLOOKUP(branches[[#This Row],[Филиал]], tbl_Filialy[Филиал], tbl_Filialy[Менеджер])</f>
        <v>Ирина Соколова</v>
      </c>
    </row>
    <row r="1890" spans="1:10" x14ac:dyDescent="0.3">
      <c r="A1890" t="str">
        <f>_xlfn.XLOOKUP(branches[[#This Row],[Филиал]], tbl_Filialy[Филиал], tbl_Filialy[Город])</f>
        <v>Москва</v>
      </c>
      <c r="B1890" s="1" t="s">
        <v>36</v>
      </c>
      <c r="C1890" s="2">
        <v>45943</v>
      </c>
      <c r="D1890" s="2" t="str">
        <f>CHOOSE(MONTH(branches[[#This Row],[Дата]]),"Январь","Февраль","Март","Апрель","Май","Июнь","Июль","Август","Сентябрь","Октябрь","Ноябрь","Декабрь")&amp;" "&amp;YEAR(branches[[#This Row],[Дата]])</f>
        <v>Октябрь 2025</v>
      </c>
      <c r="E1890" t="s">
        <v>24</v>
      </c>
      <c r="F1890" t="s">
        <v>17</v>
      </c>
      <c r="G1890">
        <v>1</v>
      </c>
      <c r="H1890">
        <v>379</v>
      </c>
      <c r="I1890" t="s">
        <v>21</v>
      </c>
      <c r="J1890" t="str">
        <f>_xlfn.XLOOKUP(branches[[#This Row],[Филиал]], tbl_Filialy[Филиал], tbl_Filialy[Менеджер])</f>
        <v>Ирина Соколова</v>
      </c>
    </row>
    <row r="1891" spans="1:10" x14ac:dyDescent="0.3">
      <c r="A1891" t="str">
        <f>_xlfn.XLOOKUP(branches[[#This Row],[Филиал]], tbl_Filialy[Филиал], tbl_Filialy[Город])</f>
        <v>Москва</v>
      </c>
      <c r="B1891" s="1" t="s">
        <v>36</v>
      </c>
      <c r="C1891" s="2">
        <v>45734</v>
      </c>
      <c r="D1891" s="2" t="str">
        <f>CHOOSE(MONTH(branches[[#This Row],[Дата]]),"Январь","Февраль","Март","Апрель","Май","Июнь","Июль","Август","Сентябрь","Октябрь","Ноябрь","Декабрь")&amp;" "&amp;YEAR(branches[[#This Row],[Дата]])</f>
        <v>Март 2025</v>
      </c>
      <c r="E1891" t="s">
        <v>14</v>
      </c>
      <c r="F1891" t="s">
        <v>12</v>
      </c>
      <c r="G1891">
        <v>2</v>
      </c>
      <c r="H1891">
        <v>562</v>
      </c>
      <c r="I1891" t="s">
        <v>15</v>
      </c>
      <c r="J1891" t="str">
        <f>_xlfn.XLOOKUP(branches[[#This Row],[Филиал]], tbl_Filialy[Филиал], tbl_Filialy[Менеджер])</f>
        <v>Ирина Соколова</v>
      </c>
    </row>
    <row r="1892" spans="1:10" x14ac:dyDescent="0.3">
      <c r="A1892" t="str">
        <f>_xlfn.XLOOKUP(branches[[#This Row],[Филиал]], tbl_Filialy[Филиал], tbl_Filialy[Город])</f>
        <v>Москва</v>
      </c>
      <c r="B1892" s="1" t="s">
        <v>36</v>
      </c>
      <c r="C1892" s="2">
        <v>45910</v>
      </c>
      <c r="D1892" s="2" t="str">
        <f>CHOOSE(MONTH(branches[[#This Row],[Дата]]),"Январь","Февраль","Март","Апрель","Май","Июнь","Июль","Август","Сентябрь","Октябрь","Ноябрь","Декабрь")&amp;" "&amp;YEAR(branches[[#This Row],[Дата]])</f>
        <v>Сентябрь 2025</v>
      </c>
      <c r="E1892" t="s">
        <v>20</v>
      </c>
      <c r="F1892" t="s">
        <v>12</v>
      </c>
      <c r="G1892">
        <v>3</v>
      </c>
      <c r="H1892">
        <v>846</v>
      </c>
      <c r="I1892" t="s">
        <v>15</v>
      </c>
      <c r="J1892" t="str">
        <f>_xlfn.XLOOKUP(branches[[#This Row],[Филиал]], tbl_Filialy[Филиал], tbl_Filialy[Менеджер])</f>
        <v>Ирина Соколова</v>
      </c>
    </row>
    <row r="1893" spans="1:10" x14ac:dyDescent="0.3">
      <c r="A1893" t="str">
        <f>_xlfn.XLOOKUP(branches[[#This Row],[Филиал]], tbl_Filialy[Филиал], tbl_Filialy[Город])</f>
        <v>Москва</v>
      </c>
      <c r="B1893" s="1" t="s">
        <v>36</v>
      </c>
      <c r="C1893" s="2">
        <v>45901</v>
      </c>
      <c r="D1893" s="2" t="str">
        <f>CHOOSE(MONTH(branches[[#This Row],[Дата]]),"Январь","Февраль","Март","Апрель","Май","Июнь","Июль","Август","Сентябрь","Октябрь","Ноябрь","Декабрь")&amp;" "&amp;YEAR(branches[[#This Row],[Дата]])</f>
        <v>Сентябрь 2025</v>
      </c>
      <c r="E1893" t="s">
        <v>20</v>
      </c>
      <c r="F1893" t="s">
        <v>12</v>
      </c>
      <c r="G1893">
        <v>2</v>
      </c>
      <c r="H1893">
        <v>530</v>
      </c>
      <c r="I1893" t="s">
        <v>21</v>
      </c>
      <c r="J1893" t="str">
        <f>_xlfn.XLOOKUP(branches[[#This Row],[Филиал]], tbl_Filialy[Филиал], tbl_Filialy[Менеджер])</f>
        <v>Ирина Соколова</v>
      </c>
    </row>
    <row r="1894" spans="1:10" x14ac:dyDescent="0.3">
      <c r="A1894" t="str">
        <f>_xlfn.XLOOKUP(branches[[#This Row],[Филиал]], tbl_Filialy[Филиал], tbl_Filialy[Город])</f>
        <v>Москва</v>
      </c>
      <c r="B1894" s="1" t="s">
        <v>36</v>
      </c>
      <c r="C1894" s="2">
        <v>45670</v>
      </c>
      <c r="D1894" s="2" t="str">
        <f>CHOOSE(MONTH(branches[[#This Row],[Дата]]),"Январь","Февраль","Март","Апрель","Май","Июнь","Июль","Август","Сентябрь","Октябрь","Ноябрь","Декабрь")&amp;" "&amp;YEAR(branches[[#This Row],[Дата]])</f>
        <v>Январь 2025</v>
      </c>
      <c r="E1894" t="s">
        <v>25</v>
      </c>
      <c r="F1894" t="s">
        <v>12</v>
      </c>
      <c r="G1894">
        <v>1</v>
      </c>
      <c r="H1894">
        <v>205</v>
      </c>
      <c r="I1894" t="s">
        <v>23</v>
      </c>
      <c r="J1894" t="str">
        <f>_xlfn.XLOOKUP(branches[[#This Row],[Филиал]], tbl_Filialy[Филиал], tbl_Filialy[Менеджер])</f>
        <v>Ирина Соколова</v>
      </c>
    </row>
    <row r="1895" spans="1:10" x14ac:dyDescent="0.3">
      <c r="A1895" t="str">
        <f>_xlfn.XLOOKUP(branches[[#This Row],[Филиал]], tbl_Filialy[Филиал], tbl_Filialy[Город])</f>
        <v>Москва</v>
      </c>
      <c r="B1895" s="1" t="s">
        <v>36</v>
      </c>
      <c r="C1895" s="2">
        <v>45792</v>
      </c>
      <c r="D1895" s="2" t="str">
        <f>CHOOSE(MONTH(branches[[#This Row],[Дата]]),"Январь","Февраль","Март","Апрель","Май","Июнь","Июль","Август","Сентябрь","Октябрь","Ноябрь","Декабрь")&amp;" "&amp;YEAR(branches[[#This Row],[Дата]])</f>
        <v>Май 2025</v>
      </c>
      <c r="E1895" t="s">
        <v>28</v>
      </c>
      <c r="F1895" t="s">
        <v>12</v>
      </c>
      <c r="G1895">
        <v>3</v>
      </c>
      <c r="H1895">
        <v>756</v>
      </c>
      <c r="I1895" t="s">
        <v>13</v>
      </c>
      <c r="J1895" t="str">
        <f>_xlfn.XLOOKUP(branches[[#This Row],[Филиал]], tbl_Filialy[Филиал], tbl_Filialy[Менеджер])</f>
        <v>Ирина Соколова</v>
      </c>
    </row>
    <row r="1896" spans="1:10" x14ac:dyDescent="0.3">
      <c r="A1896" t="str">
        <f>_xlfn.XLOOKUP(branches[[#This Row],[Филиал]], tbl_Filialy[Филиал], tbl_Filialy[Город])</f>
        <v>Москва</v>
      </c>
      <c r="B1896" s="1" t="s">
        <v>36</v>
      </c>
      <c r="C1896" s="2">
        <v>45912</v>
      </c>
      <c r="D1896" s="2" t="str">
        <f>CHOOSE(MONTH(branches[[#This Row],[Дата]]),"Январь","Февраль","Март","Апрель","Май","Июнь","Июль","Август","Сентябрь","Октябрь","Ноябрь","Декабрь")&amp;" "&amp;YEAR(branches[[#This Row],[Дата]])</f>
        <v>Сентябрь 2025</v>
      </c>
      <c r="E1896" t="s">
        <v>22</v>
      </c>
      <c r="F1896" t="s">
        <v>9</v>
      </c>
      <c r="G1896">
        <v>3</v>
      </c>
      <c r="H1896">
        <v>579</v>
      </c>
      <c r="I1896" t="s">
        <v>21</v>
      </c>
      <c r="J1896" t="str">
        <f>_xlfn.XLOOKUP(branches[[#This Row],[Филиал]], tbl_Filialy[Филиал], tbl_Filialy[Менеджер])</f>
        <v>Ирина Соколова</v>
      </c>
    </row>
    <row r="1897" spans="1:10" x14ac:dyDescent="0.3">
      <c r="A1897" t="str">
        <f>_xlfn.XLOOKUP(branches[[#This Row],[Филиал]], tbl_Filialy[Филиал], tbl_Filialy[Город])</f>
        <v>Москва</v>
      </c>
      <c r="B1897" s="1" t="s">
        <v>36</v>
      </c>
      <c r="C1897" s="2">
        <v>45950</v>
      </c>
      <c r="D1897" s="2" t="str">
        <f>CHOOSE(MONTH(branches[[#This Row],[Дата]]),"Январь","Февраль","Март","Апрель","Май","Июнь","Июль","Август","Сентябрь","Октябрь","Ноябрь","Декабрь")&amp;" "&amp;YEAR(branches[[#This Row],[Дата]])</f>
        <v>Октябрь 2025</v>
      </c>
      <c r="E1897" t="s">
        <v>11</v>
      </c>
      <c r="F1897" t="s">
        <v>12</v>
      </c>
      <c r="G1897">
        <v>1</v>
      </c>
      <c r="H1897">
        <v>187</v>
      </c>
      <c r="I1897" t="s">
        <v>13</v>
      </c>
      <c r="J1897" t="str">
        <f>_xlfn.XLOOKUP(branches[[#This Row],[Филиал]], tbl_Filialy[Филиал], tbl_Filialy[Менеджер])</f>
        <v>Ирина Соколова</v>
      </c>
    </row>
    <row r="1898" spans="1:10" x14ac:dyDescent="0.3">
      <c r="A1898" t="str">
        <f>_xlfn.XLOOKUP(branches[[#This Row],[Филиал]], tbl_Filialy[Филиал], tbl_Filialy[Город])</f>
        <v>Москва</v>
      </c>
      <c r="B1898" s="1" t="s">
        <v>36</v>
      </c>
      <c r="C1898" s="2">
        <v>45772</v>
      </c>
      <c r="D1898" s="2" t="str">
        <f>CHOOSE(MONTH(branches[[#This Row],[Дата]]),"Январь","Февраль","Март","Апрель","Май","Июнь","Июль","Август","Сентябрь","Октябрь","Ноябрь","Декабрь")&amp;" "&amp;YEAR(branches[[#This Row],[Дата]])</f>
        <v>Апрель 2025</v>
      </c>
      <c r="E1898" t="s">
        <v>8</v>
      </c>
      <c r="F1898" t="s">
        <v>9</v>
      </c>
      <c r="G1898">
        <v>1</v>
      </c>
      <c r="H1898">
        <v>259</v>
      </c>
      <c r="I1898" t="s">
        <v>15</v>
      </c>
      <c r="J1898" t="str">
        <f>_xlfn.XLOOKUP(branches[[#This Row],[Филиал]], tbl_Filialy[Филиал], tbl_Filialy[Менеджер])</f>
        <v>Ирина Соколова</v>
      </c>
    </row>
    <row r="1899" spans="1:10" x14ac:dyDescent="0.3">
      <c r="A1899" t="str">
        <f>_xlfn.XLOOKUP(branches[[#This Row],[Филиал]], tbl_Filialy[Филиал], tbl_Filialy[Город])</f>
        <v>Москва</v>
      </c>
      <c r="B1899" s="1" t="s">
        <v>36</v>
      </c>
      <c r="C1899" s="2">
        <v>45706</v>
      </c>
      <c r="D1899" s="2" t="str">
        <f>CHOOSE(MONTH(branches[[#This Row],[Дата]]),"Январь","Февраль","Март","Апрель","Май","Июнь","Июль","Август","Сентябрь","Октябрь","Ноябрь","Декабрь")&amp;" "&amp;YEAR(branches[[#This Row],[Дата]])</f>
        <v>Февраль 2025</v>
      </c>
      <c r="E1899" t="s">
        <v>27</v>
      </c>
      <c r="F1899" t="s">
        <v>12</v>
      </c>
      <c r="G1899">
        <v>3</v>
      </c>
      <c r="H1899">
        <v>696</v>
      </c>
      <c r="I1899" t="s">
        <v>10</v>
      </c>
      <c r="J1899" t="str">
        <f>_xlfn.XLOOKUP(branches[[#This Row],[Филиал]], tbl_Filialy[Филиал], tbl_Filialy[Менеджер])</f>
        <v>Ирина Соколова</v>
      </c>
    </row>
    <row r="1900" spans="1:10" x14ac:dyDescent="0.3">
      <c r="A1900" t="str">
        <f>_xlfn.XLOOKUP(branches[[#This Row],[Филиал]], tbl_Filialy[Филиал], tbl_Filialy[Город])</f>
        <v>Москва</v>
      </c>
      <c r="B1900" s="1" t="s">
        <v>36</v>
      </c>
      <c r="C1900" s="2">
        <v>46018</v>
      </c>
      <c r="D1900" s="2" t="str">
        <f>CHOOSE(MONTH(branches[[#This Row],[Дата]]),"Январь","Февраль","Март","Апрель","Май","Июнь","Июль","Август","Сентябрь","Октябрь","Ноябрь","Декабрь")&amp;" "&amp;YEAR(branches[[#This Row],[Дата]])</f>
        <v>Декабрь 2025</v>
      </c>
      <c r="E1900" t="s">
        <v>14</v>
      </c>
      <c r="F1900" t="s">
        <v>12</v>
      </c>
      <c r="G1900">
        <v>1</v>
      </c>
      <c r="H1900">
        <v>262</v>
      </c>
      <c r="I1900" t="s">
        <v>13</v>
      </c>
      <c r="J1900" t="str">
        <f>_xlfn.XLOOKUP(branches[[#This Row],[Филиал]], tbl_Filialy[Филиал], tbl_Filialy[Менеджер])</f>
        <v>Ирина Соколова</v>
      </c>
    </row>
    <row r="1901" spans="1:10" x14ac:dyDescent="0.3">
      <c r="A1901" t="str">
        <f>_xlfn.XLOOKUP(branches[[#This Row],[Филиал]], tbl_Filialy[Филиал], tbl_Filialy[Город])</f>
        <v>Москва</v>
      </c>
      <c r="B1901" s="1" t="s">
        <v>36</v>
      </c>
      <c r="C1901" s="2">
        <v>46015</v>
      </c>
      <c r="D1901" s="2" t="str">
        <f>CHOOSE(MONTH(branches[[#This Row],[Дата]]),"Январь","Февраль","Март","Апрель","Май","Июнь","Июль","Август","Сентябрь","Октябрь","Ноябрь","Декабрь")&amp;" "&amp;YEAR(branches[[#This Row],[Дата]])</f>
        <v>Декабрь 2025</v>
      </c>
      <c r="E1901" t="s">
        <v>27</v>
      </c>
      <c r="F1901" t="s">
        <v>12</v>
      </c>
      <c r="G1901">
        <v>1</v>
      </c>
      <c r="H1901">
        <v>213</v>
      </c>
      <c r="I1901" t="s">
        <v>10</v>
      </c>
      <c r="J1901" t="str">
        <f>_xlfn.XLOOKUP(branches[[#This Row],[Филиал]], tbl_Filialy[Филиал], tbl_Filialy[Менеджер])</f>
        <v>Ирина Соколова</v>
      </c>
    </row>
    <row r="1902" spans="1:10" x14ac:dyDescent="0.3">
      <c r="A1902" t="str">
        <f>_xlfn.XLOOKUP(branches[[#This Row],[Филиал]], tbl_Filialy[Филиал], tbl_Filialy[Город])</f>
        <v>Москва</v>
      </c>
      <c r="B1902" s="1" t="s">
        <v>36</v>
      </c>
      <c r="C1902" s="2">
        <v>45925</v>
      </c>
      <c r="D1902" s="2" t="str">
        <f>CHOOSE(MONTH(branches[[#This Row],[Дата]]),"Январь","Февраль","Март","Апрель","Май","Июнь","Июль","Август","Сентябрь","Октябрь","Ноябрь","Декабрь")&amp;" "&amp;YEAR(branches[[#This Row],[Дата]])</f>
        <v>Сентябрь 2025</v>
      </c>
      <c r="E1902" t="s">
        <v>28</v>
      </c>
      <c r="F1902" t="s">
        <v>12</v>
      </c>
      <c r="G1902">
        <v>2</v>
      </c>
      <c r="H1902">
        <v>494</v>
      </c>
      <c r="I1902" t="s">
        <v>10</v>
      </c>
      <c r="J1902" t="str">
        <f>_xlfn.XLOOKUP(branches[[#This Row],[Филиал]], tbl_Filialy[Филиал], tbl_Filialy[Менеджер])</f>
        <v>Ирина Соколова</v>
      </c>
    </row>
    <row r="1903" spans="1:10" x14ac:dyDescent="0.3">
      <c r="A1903" t="str">
        <f>_xlfn.XLOOKUP(branches[[#This Row],[Филиал]], tbl_Filialy[Филиал], tbl_Filialy[Город])</f>
        <v>Москва</v>
      </c>
      <c r="B1903" s="1" t="s">
        <v>36</v>
      </c>
      <c r="C1903" s="2">
        <v>45903</v>
      </c>
      <c r="D1903" s="2" t="str">
        <f>CHOOSE(MONTH(branches[[#This Row],[Дата]]),"Январь","Февраль","Март","Апрель","Май","Июнь","Июль","Август","Сентябрь","Октябрь","Ноябрь","Декабрь")&amp;" "&amp;YEAR(branches[[#This Row],[Дата]])</f>
        <v>Сентябрь 2025</v>
      </c>
      <c r="E1903" t="s">
        <v>28</v>
      </c>
      <c r="F1903" t="s">
        <v>12</v>
      </c>
      <c r="G1903">
        <v>3</v>
      </c>
      <c r="H1903">
        <v>681</v>
      </c>
      <c r="I1903" t="s">
        <v>15</v>
      </c>
      <c r="J1903" t="str">
        <f>_xlfn.XLOOKUP(branches[[#This Row],[Филиал]], tbl_Filialy[Филиал], tbl_Filialy[Менеджер])</f>
        <v>Ирина Соколова</v>
      </c>
    </row>
    <row r="1904" spans="1:10" x14ac:dyDescent="0.3">
      <c r="A1904" t="str">
        <f>_xlfn.XLOOKUP(branches[[#This Row],[Филиал]], tbl_Filialy[Филиал], tbl_Filialy[Город])</f>
        <v>Москва</v>
      </c>
      <c r="B1904" s="1" t="s">
        <v>36</v>
      </c>
      <c r="C1904" s="2">
        <v>45934</v>
      </c>
      <c r="D1904" s="2" t="str">
        <f>CHOOSE(MONTH(branches[[#This Row],[Дата]]),"Январь","Февраль","Март","Апрель","Май","Июнь","Июль","Август","Сентябрь","Октябрь","Ноябрь","Декабрь")&amp;" "&amp;YEAR(branches[[#This Row],[Дата]])</f>
        <v>Октябрь 2025</v>
      </c>
      <c r="E1904" t="s">
        <v>26</v>
      </c>
      <c r="F1904" t="s">
        <v>9</v>
      </c>
      <c r="G1904">
        <v>1</v>
      </c>
      <c r="H1904">
        <v>193</v>
      </c>
      <c r="I1904" t="s">
        <v>15</v>
      </c>
      <c r="J1904" t="str">
        <f>_xlfn.XLOOKUP(branches[[#This Row],[Филиал]], tbl_Filialy[Филиал], tbl_Filialy[Менеджер])</f>
        <v>Ирина Соколова</v>
      </c>
    </row>
    <row r="1905" spans="1:10" x14ac:dyDescent="0.3">
      <c r="A1905" t="str">
        <f>_xlfn.XLOOKUP(branches[[#This Row],[Филиал]], tbl_Filialy[Филиал], tbl_Filialy[Город])</f>
        <v>Москва</v>
      </c>
      <c r="B1905" s="1" t="s">
        <v>36</v>
      </c>
      <c r="C1905" s="2">
        <v>46003</v>
      </c>
      <c r="D1905" s="2" t="str">
        <f>CHOOSE(MONTH(branches[[#This Row],[Дата]]),"Январь","Февраль","Март","Апрель","Май","Июнь","Июль","Август","Сентябрь","Октябрь","Ноябрь","Декабрь")&amp;" "&amp;YEAR(branches[[#This Row],[Дата]])</f>
        <v>Декабрь 2025</v>
      </c>
      <c r="E1905" t="s">
        <v>14</v>
      </c>
      <c r="F1905" t="s">
        <v>12</v>
      </c>
      <c r="G1905">
        <v>2</v>
      </c>
      <c r="H1905">
        <v>470</v>
      </c>
      <c r="I1905" t="s">
        <v>15</v>
      </c>
      <c r="J1905" t="str">
        <f>_xlfn.XLOOKUP(branches[[#This Row],[Филиал]], tbl_Filialy[Филиал], tbl_Filialy[Менеджер])</f>
        <v>Ирина Соколова</v>
      </c>
    </row>
    <row r="1906" spans="1:10" x14ac:dyDescent="0.3">
      <c r="A1906" t="str">
        <f>_xlfn.XLOOKUP(branches[[#This Row],[Филиал]], tbl_Filialy[Филиал], tbl_Filialy[Город])</f>
        <v>Москва</v>
      </c>
      <c r="B1906" s="1" t="s">
        <v>36</v>
      </c>
      <c r="C1906" s="2">
        <v>45903</v>
      </c>
      <c r="D1906" s="2" t="str">
        <f>CHOOSE(MONTH(branches[[#This Row],[Дата]]),"Январь","Февраль","Март","Апрель","Май","Июнь","Июль","Август","Сентябрь","Октябрь","Ноябрь","Декабрь")&amp;" "&amp;YEAR(branches[[#This Row],[Дата]])</f>
        <v>Сентябрь 2025</v>
      </c>
      <c r="E1906" t="s">
        <v>11</v>
      </c>
      <c r="F1906" t="s">
        <v>12</v>
      </c>
      <c r="G1906">
        <v>3</v>
      </c>
      <c r="H1906">
        <v>519</v>
      </c>
      <c r="I1906" t="s">
        <v>13</v>
      </c>
      <c r="J1906" t="str">
        <f>_xlfn.XLOOKUP(branches[[#This Row],[Филиал]], tbl_Filialy[Филиал], tbl_Filialy[Менеджер])</f>
        <v>Ирина Соколова</v>
      </c>
    </row>
    <row r="1907" spans="1:10" x14ac:dyDescent="0.3">
      <c r="A1907" t="str">
        <f>_xlfn.XLOOKUP(branches[[#This Row],[Филиал]], tbl_Filialy[Филиал], tbl_Filialy[Город])</f>
        <v>Москва</v>
      </c>
      <c r="B1907" s="1" t="s">
        <v>36</v>
      </c>
      <c r="C1907" s="2">
        <v>45739</v>
      </c>
      <c r="D1907" s="2" t="str">
        <f>CHOOSE(MONTH(branches[[#This Row],[Дата]]),"Январь","Февраль","Март","Апрель","Май","Июнь","Июль","Август","Сентябрь","Октябрь","Ноябрь","Декабрь")&amp;" "&amp;YEAR(branches[[#This Row],[Дата]])</f>
        <v>Март 2025</v>
      </c>
      <c r="E1907" t="s">
        <v>14</v>
      </c>
      <c r="F1907" t="s">
        <v>12</v>
      </c>
      <c r="G1907">
        <v>1</v>
      </c>
      <c r="H1907">
        <v>255</v>
      </c>
      <c r="I1907" t="s">
        <v>21</v>
      </c>
      <c r="J1907" t="str">
        <f>_xlfn.XLOOKUP(branches[[#This Row],[Филиал]], tbl_Filialy[Филиал], tbl_Filialy[Менеджер])</f>
        <v>Ирина Соколова</v>
      </c>
    </row>
    <row r="1908" spans="1:10" x14ac:dyDescent="0.3">
      <c r="A1908" t="str">
        <f>_xlfn.XLOOKUP(branches[[#This Row],[Филиал]], tbl_Filialy[Филиал], tbl_Filialy[Город])</f>
        <v>Москва</v>
      </c>
      <c r="B1908" s="1" t="s">
        <v>36</v>
      </c>
      <c r="C1908" s="2">
        <v>45744</v>
      </c>
      <c r="D1908" s="2" t="str">
        <f>CHOOSE(MONTH(branches[[#This Row],[Дата]]),"Январь","Февраль","Март","Апрель","Май","Июнь","Июль","Август","Сентябрь","Октябрь","Ноябрь","Декабрь")&amp;" "&amp;YEAR(branches[[#This Row],[Дата]])</f>
        <v>Март 2025</v>
      </c>
      <c r="E1908" t="s">
        <v>26</v>
      </c>
      <c r="F1908" t="s">
        <v>9</v>
      </c>
      <c r="G1908">
        <v>3</v>
      </c>
      <c r="H1908">
        <v>558</v>
      </c>
      <c r="I1908" t="s">
        <v>19</v>
      </c>
      <c r="J1908" t="str">
        <f>_xlfn.XLOOKUP(branches[[#This Row],[Филиал]], tbl_Filialy[Филиал], tbl_Filialy[Менеджер])</f>
        <v>Ирина Соколова</v>
      </c>
    </row>
    <row r="1909" spans="1:10" x14ac:dyDescent="0.3">
      <c r="A1909" t="str">
        <f>_xlfn.XLOOKUP(branches[[#This Row],[Филиал]], tbl_Filialy[Филиал], tbl_Filialy[Город])</f>
        <v>Москва</v>
      </c>
      <c r="B1909" s="1" t="s">
        <v>36</v>
      </c>
      <c r="C1909" s="2">
        <v>45677</v>
      </c>
      <c r="D1909" s="2" t="str">
        <f>CHOOSE(MONTH(branches[[#This Row],[Дата]]),"Январь","Февраль","Март","Апрель","Май","Июнь","Июль","Август","Сентябрь","Октябрь","Ноябрь","Декабрь")&amp;" "&amp;YEAR(branches[[#This Row],[Дата]])</f>
        <v>Январь 2025</v>
      </c>
      <c r="E1909" t="s">
        <v>28</v>
      </c>
      <c r="F1909" t="s">
        <v>12</v>
      </c>
      <c r="G1909">
        <v>1</v>
      </c>
      <c r="H1909">
        <v>204</v>
      </c>
      <c r="I1909" t="s">
        <v>23</v>
      </c>
      <c r="J1909" t="str">
        <f>_xlfn.XLOOKUP(branches[[#This Row],[Филиал]], tbl_Filialy[Филиал], tbl_Filialy[Менеджер])</f>
        <v>Ирина Соколова</v>
      </c>
    </row>
    <row r="1910" spans="1:10" x14ac:dyDescent="0.3">
      <c r="A1910" t="str">
        <f>_xlfn.XLOOKUP(branches[[#This Row],[Филиал]], tbl_Filialy[Филиал], tbl_Filialy[Город])</f>
        <v>Москва</v>
      </c>
      <c r="B1910" s="1" t="s">
        <v>36</v>
      </c>
      <c r="C1910" s="2">
        <v>45849</v>
      </c>
      <c r="D1910" s="2" t="str">
        <f>CHOOSE(MONTH(branches[[#This Row],[Дата]]),"Январь","Февраль","Март","Апрель","Май","Июнь","Июль","Август","Сентябрь","Октябрь","Ноябрь","Декабрь")&amp;" "&amp;YEAR(branches[[#This Row],[Дата]])</f>
        <v>Июль 2025</v>
      </c>
      <c r="E1910" t="s">
        <v>16</v>
      </c>
      <c r="F1910" t="s">
        <v>17</v>
      </c>
      <c r="G1910">
        <v>3</v>
      </c>
      <c r="H1910">
        <v>1077</v>
      </c>
      <c r="I1910" t="s">
        <v>13</v>
      </c>
      <c r="J1910" t="str">
        <f>_xlfn.XLOOKUP(branches[[#This Row],[Филиал]], tbl_Filialy[Филиал], tbl_Filialy[Менеджер])</f>
        <v>Ирина Соколова</v>
      </c>
    </row>
    <row r="1911" spans="1:10" x14ac:dyDescent="0.3">
      <c r="A1911" t="str">
        <f>_xlfn.XLOOKUP(branches[[#This Row],[Филиал]], tbl_Filialy[Филиал], tbl_Filialy[Город])</f>
        <v>Москва</v>
      </c>
      <c r="B1911" s="1" t="s">
        <v>36</v>
      </c>
      <c r="C1911" s="2">
        <v>45698</v>
      </c>
      <c r="D1911" s="2" t="str">
        <f>CHOOSE(MONTH(branches[[#This Row],[Дата]]),"Январь","Февраль","Март","Апрель","Май","Июнь","Июль","Август","Сентябрь","Октябрь","Ноябрь","Декабрь")&amp;" "&amp;YEAR(branches[[#This Row],[Дата]])</f>
        <v>Февраль 2025</v>
      </c>
      <c r="E1911" t="s">
        <v>28</v>
      </c>
      <c r="F1911" t="s">
        <v>12</v>
      </c>
      <c r="G1911">
        <v>1</v>
      </c>
      <c r="H1911">
        <v>223</v>
      </c>
      <c r="I1911" t="s">
        <v>21</v>
      </c>
      <c r="J1911" t="str">
        <f>_xlfn.XLOOKUP(branches[[#This Row],[Филиал]], tbl_Filialy[Филиал], tbl_Filialy[Менеджер])</f>
        <v>Ирина Соколова</v>
      </c>
    </row>
    <row r="1912" spans="1:10" x14ac:dyDescent="0.3">
      <c r="A1912" t="str">
        <f>_xlfn.XLOOKUP(branches[[#This Row],[Филиал]], tbl_Filialy[Филиал], tbl_Filialy[Город])</f>
        <v>Москва</v>
      </c>
      <c r="B1912" s="1" t="s">
        <v>36</v>
      </c>
      <c r="C1912" s="2">
        <v>45883</v>
      </c>
      <c r="D1912" s="2" t="str">
        <f>CHOOSE(MONTH(branches[[#This Row],[Дата]]),"Январь","Февраль","Март","Апрель","Май","Июнь","Июль","Август","Сентябрь","Октябрь","Ноябрь","Декабрь")&amp;" "&amp;YEAR(branches[[#This Row],[Дата]])</f>
        <v>Август 2025</v>
      </c>
      <c r="E1912" t="s">
        <v>25</v>
      </c>
      <c r="F1912" t="s">
        <v>12</v>
      </c>
      <c r="G1912">
        <v>2</v>
      </c>
      <c r="H1912">
        <v>456</v>
      </c>
      <c r="I1912" t="s">
        <v>21</v>
      </c>
      <c r="J1912" t="str">
        <f>_xlfn.XLOOKUP(branches[[#This Row],[Филиал]], tbl_Filialy[Филиал], tbl_Filialy[Менеджер])</f>
        <v>Ирина Соколова</v>
      </c>
    </row>
    <row r="1913" spans="1:10" x14ac:dyDescent="0.3">
      <c r="A1913" t="str">
        <f>_xlfn.XLOOKUP(branches[[#This Row],[Филиал]], tbl_Filialy[Филиал], tbl_Filialy[Город])</f>
        <v>Москва</v>
      </c>
      <c r="B1913" s="1" t="s">
        <v>36</v>
      </c>
      <c r="C1913" s="2">
        <v>45736</v>
      </c>
      <c r="D1913" s="2" t="str">
        <f>CHOOSE(MONTH(branches[[#This Row],[Дата]]),"Январь","Февраль","Март","Апрель","Май","Июнь","Июль","Август","Сентябрь","Октябрь","Ноябрь","Декабрь")&amp;" "&amp;YEAR(branches[[#This Row],[Дата]])</f>
        <v>Март 2025</v>
      </c>
      <c r="E1913" t="s">
        <v>14</v>
      </c>
      <c r="F1913" t="s">
        <v>12</v>
      </c>
      <c r="G1913">
        <v>1</v>
      </c>
      <c r="H1913">
        <v>247</v>
      </c>
      <c r="I1913" t="s">
        <v>13</v>
      </c>
      <c r="J1913" t="str">
        <f>_xlfn.XLOOKUP(branches[[#This Row],[Филиал]], tbl_Filialy[Филиал], tbl_Filialy[Менеджер])</f>
        <v>Ирина Соколова</v>
      </c>
    </row>
    <row r="1914" spans="1:10" x14ac:dyDescent="0.3">
      <c r="A1914" t="str">
        <f>_xlfn.XLOOKUP(branches[[#This Row],[Филиал]], tbl_Filialy[Филиал], tbl_Filialy[Город])</f>
        <v>Москва</v>
      </c>
      <c r="B1914" s="1" t="s">
        <v>36</v>
      </c>
      <c r="C1914" s="2">
        <v>45709</v>
      </c>
      <c r="D1914" s="2" t="str">
        <f>CHOOSE(MONTH(branches[[#This Row],[Дата]]),"Январь","Февраль","Март","Апрель","Май","Июнь","Июль","Август","Сентябрь","Октябрь","Ноябрь","Декабрь")&amp;" "&amp;YEAR(branches[[#This Row],[Дата]])</f>
        <v>Февраль 2025</v>
      </c>
      <c r="E1914" t="s">
        <v>28</v>
      </c>
      <c r="F1914" t="s">
        <v>12</v>
      </c>
      <c r="G1914">
        <v>1</v>
      </c>
      <c r="H1914">
        <v>222</v>
      </c>
      <c r="I1914" t="s">
        <v>19</v>
      </c>
      <c r="J1914" t="str">
        <f>_xlfn.XLOOKUP(branches[[#This Row],[Филиал]], tbl_Filialy[Филиал], tbl_Filialy[Менеджер])</f>
        <v>Ирина Соколова</v>
      </c>
    </row>
    <row r="1915" spans="1:10" x14ac:dyDescent="0.3">
      <c r="A1915" t="str">
        <f>_xlfn.XLOOKUP(branches[[#This Row],[Филиал]], tbl_Filialy[Филиал], tbl_Filialy[Город])</f>
        <v>Москва</v>
      </c>
      <c r="B1915" s="1" t="s">
        <v>36</v>
      </c>
      <c r="C1915" s="2">
        <v>45813</v>
      </c>
      <c r="D1915" s="2" t="str">
        <f>CHOOSE(MONTH(branches[[#This Row],[Дата]]),"Январь","Февраль","Март","Апрель","Май","Июнь","Июль","Август","Сентябрь","Октябрь","Ноябрь","Декабрь")&amp;" "&amp;YEAR(branches[[#This Row],[Дата]])</f>
        <v>Июнь 2025</v>
      </c>
      <c r="E1915" t="s">
        <v>27</v>
      </c>
      <c r="F1915" t="s">
        <v>12</v>
      </c>
      <c r="G1915">
        <v>1</v>
      </c>
      <c r="H1915">
        <v>235</v>
      </c>
      <c r="I1915" t="s">
        <v>19</v>
      </c>
      <c r="J1915" t="str">
        <f>_xlfn.XLOOKUP(branches[[#This Row],[Филиал]], tbl_Filialy[Филиал], tbl_Filialy[Менеджер])</f>
        <v>Ирина Соколова</v>
      </c>
    </row>
    <row r="1916" spans="1:10" x14ac:dyDescent="0.3">
      <c r="A1916" t="str">
        <f>_xlfn.XLOOKUP(branches[[#This Row],[Филиал]], tbl_Filialy[Филиал], tbl_Filialy[Город])</f>
        <v>Москва</v>
      </c>
      <c r="B1916" s="1" t="s">
        <v>36</v>
      </c>
      <c r="C1916" s="2">
        <v>45751</v>
      </c>
      <c r="D1916" s="2" t="str">
        <f>CHOOSE(MONTH(branches[[#This Row],[Дата]]),"Январь","Февраль","Март","Апрель","Май","Июнь","Июль","Август","Сентябрь","Октябрь","Ноябрь","Декабрь")&amp;" "&amp;YEAR(branches[[#This Row],[Дата]])</f>
        <v>Апрель 2025</v>
      </c>
      <c r="E1916" t="s">
        <v>16</v>
      </c>
      <c r="F1916" t="s">
        <v>17</v>
      </c>
      <c r="G1916">
        <v>1</v>
      </c>
      <c r="H1916">
        <v>334</v>
      </c>
      <c r="I1916" t="s">
        <v>19</v>
      </c>
      <c r="J1916" t="str">
        <f>_xlfn.XLOOKUP(branches[[#This Row],[Филиал]], tbl_Filialy[Филиал], tbl_Filialy[Менеджер])</f>
        <v>Ирина Соколова</v>
      </c>
    </row>
    <row r="1917" spans="1:10" x14ac:dyDescent="0.3">
      <c r="A1917" t="str">
        <f>_xlfn.XLOOKUP(branches[[#This Row],[Филиал]], tbl_Filialy[Филиал], tbl_Filialy[Город])</f>
        <v>Москва</v>
      </c>
      <c r="B1917" s="1" t="s">
        <v>36</v>
      </c>
      <c r="C1917" s="2">
        <v>45879</v>
      </c>
      <c r="D1917" s="2" t="str">
        <f>CHOOSE(MONTH(branches[[#This Row],[Дата]]),"Январь","Февраль","Март","Апрель","Май","Июнь","Июль","Август","Сентябрь","Октябрь","Ноябрь","Декабрь")&amp;" "&amp;YEAR(branches[[#This Row],[Дата]])</f>
        <v>Август 2025</v>
      </c>
      <c r="E1917" t="s">
        <v>20</v>
      </c>
      <c r="F1917" t="s">
        <v>12</v>
      </c>
      <c r="G1917">
        <v>1</v>
      </c>
      <c r="H1917">
        <v>291</v>
      </c>
      <c r="I1917" t="s">
        <v>21</v>
      </c>
      <c r="J1917" t="str">
        <f>_xlfn.XLOOKUP(branches[[#This Row],[Филиал]], tbl_Filialy[Филиал], tbl_Filialy[Менеджер])</f>
        <v>Ирина Соколова</v>
      </c>
    </row>
    <row r="1918" spans="1:10" x14ac:dyDescent="0.3">
      <c r="A1918" t="str">
        <f>_xlfn.XLOOKUP(branches[[#This Row],[Филиал]], tbl_Filialy[Филиал], tbl_Filialy[Город])</f>
        <v>Москва</v>
      </c>
      <c r="B1918" s="1" t="s">
        <v>36</v>
      </c>
      <c r="C1918" s="2">
        <v>45818</v>
      </c>
      <c r="D1918" s="2" t="str">
        <f>CHOOSE(MONTH(branches[[#This Row],[Дата]]),"Январь","Февраль","Март","Апрель","Май","Июнь","Июль","Август","Сентябрь","Октябрь","Ноябрь","Декабрь")&amp;" "&amp;YEAR(branches[[#This Row],[Дата]])</f>
        <v>Июнь 2025</v>
      </c>
      <c r="E1918" t="s">
        <v>14</v>
      </c>
      <c r="F1918" t="s">
        <v>12</v>
      </c>
      <c r="G1918">
        <v>3</v>
      </c>
      <c r="H1918">
        <v>834</v>
      </c>
      <c r="I1918" t="s">
        <v>10</v>
      </c>
      <c r="J1918" t="str">
        <f>_xlfn.XLOOKUP(branches[[#This Row],[Филиал]], tbl_Filialy[Филиал], tbl_Filialy[Менеджер])</f>
        <v>Ирина Соколова</v>
      </c>
    </row>
    <row r="1919" spans="1:10" x14ac:dyDescent="0.3">
      <c r="A1919" t="str">
        <f>_xlfn.XLOOKUP(branches[[#This Row],[Филиал]], tbl_Filialy[Филиал], tbl_Filialy[Город])</f>
        <v>Москва</v>
      </c>
      <c r="B1919" s="1" t="s">
        <v>36</v>
      </c>
      <c r="C1919" s="2">
        <v>45903</v>
      </c>
      <c r="D1919" s="2" t="str">
        <f>CHOOSE(MONTH(branches[[#This Row],[Дата]]),"Январь","Февраль","Март","Апрель","Май","Июнь","Июль","Август","Сентябрь","Октябрь","Ноябрь","Декабрь")&amp;" "&amp;YEAR(branches[[#This Row],[Дата]])</f>
        <v>Сентябрь 2025</v>
      </c>
      <c r="E1919" t="s">
        <v>16</v>
      </c>
      <c r="F1919" t="s">
        <v>17</v>
      </c>
      <c r="G1919">
        <v>2</v>
      </c>
      <c r="H1919">
        <v>676</v>
      </c>
      <c r="I1919" t="s">
        <v>23</v>
      </c>
      <c r="J1919" t="str">
        <f>_xlfn.XLOOKUP(branches[[#This Row],[Филиал]], tbl_Filialy[Филиал], tbl_Filialy[Менеджер])</f>
        <v>Ирина Соколова</v>
      </c>
    </row>
    <row r="1920" spans="1:10" x14ac:dyDescent="0.3">
      <c r="A1920" t="str">
        <f>_xlfn.XLOOKUP(branches[[#This Row],[Филиал]], tbl_Filialy[Филиал], tbl_Filialy[Город])</f>
        <v>Москва</v>
      </c>
      <c r="B1920" s="1" t="s">
        <v>36</v>
      </c>
      <c r="C1920" s="2">
        <v>45770</v>
      </c>
      <c r="D1920" s="2" t="str">
        <f>CHOOSE(MONTH(branches[[#This Row],[Дата]]),"Январь","Февраль","Март","Апрель","Май","Июнь","Июль","Август","Сентябрь","Октябрь","Ноябрь","Декабрь")&amp;" "&amp;YEAR(branches[[#This Row],[Дата]])</f>
        <v>Апрель 2025</v>
      </c>
      <c r="E1920" t="s">
        <v>14</v>
      </c>
      <c r="F1920" t="s">
        <v>12</v>
      </c>
      <c r="G1920">
        <v>2</v>
      </c>
      <c r="H1920">
        <v>572</v>
      </c>
      <c r="I1920" t="s">
        <v>15</v>
      </c>
      <c r="J1920" t="str">
        <f>_xlfn.XLOOKUP(branches[[#This Row],[Филиал]], tbl_Filialy[Филиал], tbl_Filialy[Менеджер])</f>
        <v>Ирина Соколова</v>
      </c>
    </row>
    <row r="1921" spans="1:10" x14ac:dyDescent="0.3">
      <c r="A1921" t="str">
        <f>_xlfn.XLOOKUP(branches[[#This Row],[Филиал]], tbl_Filialy[Филиал], tbl_Filialy[Город])</f>
        <v>Москва</v>
      </c>
      <c r="B1921" s="1" t="s">
        <v>36</v>
      </c>
      <c r="C1921" s="2">
        <v>45984</v>
      </c>
      <c r="D1921" s="2" t="str">
        <f>CHOOSE(MONTH(branches[[#This Row],[Дата]]),"Январь","Февраль","Март","Апрель","Май","Июнь","Июль","Август","Сентябрь","Октябрь","Ноябрь","Декабрь")&amp;" "&amp;YEAR(branches[[#This Row],[Дата]])</f>
        <v>Ноябрь 2025</v>
      </c>
      <c r="E1921" t="s">
        <v>28</v>
      </c>
      <c r="F1921" t="s">
        <v>12</v>
      </c>
      <c r="G1921">
        <v>2</v>
      </c>
      <c r="H1921">
        <v>442</v>
      </c>
      <c r="I1921" t="s">
        <v>15</v>
      </c>
      <c r="J1921" t="str">
        <f>_xlfn.XLOOKUP(branches[[#This Row],[Филиал]], tbl_Filialy[Филиал], tbl_Filialy[Менеджер])</f>
        <v>Ирина Соколова</v>
      </c>
    </row>
    <row r="1922" spans="1:10" x14ac:dyDescent="0.3">
      <c r="A1922" t="str">
        <f>_xlfn.XLOOKUP(branches[[#This Row],[Филиал]], tbl_Filialy[Филиал], tbl_Filialy[Город])</f>
        <v>Москва</v>
      </c>
      <c r="B1922" s="1" t="s">
        <v>36</v>
      </c>
      <c r="C1922" s="2">
        <v>45821</v>
      </c>
      <c r="D1922" s="2" t="str">
        <f>CHOOSE(MONTH(branches[[#This Row],[Дата]]),"Январь","Февраль","Март","Апрель","Май","Июнь","Июль","Август","Сентябрь","Октябрь","Ноябрь","Декабрь")&amp;" "&amp;YEAR(branches[[#This Row],[Дата]])</f>
        <v>Июнь 2025</v>
      </c>
      <c r="E1922" t="s">
        <v>27</v>
      </c>
      <c r="F1922" t="s">
        <v>12</v>
      </c>
      <c r="G1922">
        <v>2</v>
      </c>
      <c r="H1922">
        <v>468</v>
      </c>
      <c r="I1922" t="s">
        <v>15</v>
      </c>
      <c r="J1922" t="str">
        <f>_xlfn.XLOOKUP(branches[[#This Row],[Филиал]], tbl_Filialy[Филиал], tbl_Filialy[Менеджер])</f>
        <v>Ирина Соколова</v>
      </c>
    </row>
    <row r="1923" spans="1:10" x14ac:dyDescent="0.3">
      <c r="A1923" t="str">
        <f>_xlfn.XLOOKUP(branches[[#This Row],[Филиал]], tbl_Filialy[Филиал], tbl_Filialy[Город])</f>
        <v>Москва</v>
      </c>
      <c r="B1923" s="1" t="s">
        <v>36</v>
      </c>
      <c r="C1923" s="2">
        <v>45782</v>
      </c>
      <c r="D1923" s="2" t="str">
        <f>CHOOSE(MONTH(branches[[#This Row],[Дата]]),"Январь","Февраль","Март","Апрель","Май","Июнь","Июль","Август","Сентябрь","Октябрь","Ноябрь","Декабрь")&amp;" "&amp;YEAR(branches[[#This Row],[Дата]])</f>
        <v>Май 2025</v>
      </c>
      <c r="E1923" t="s">
        <v>16</v>
      </c>
      <c r="F1923" t="s">
        <v>17</v>
      </c>
      <c r="G1923">
        <v>2</v>
      </c>
      <c r="H1923">
        <v>588</v>
      </c>
      <c r="I1923" t="s">
        <v>23</v>
      </c>
      <c r="J1923" t="str">
        <f>_xlfn.XLOOKUP(branches[[#This Row],[Филиал]], tbl_Filialy[Филиал], tbl_Filialy[Менеджер])</f>
        <v>Ирина Соколова</v>
      </c>
    </row>
    <row r="1924" spans="1:10" x14ac:dyDescent="0.3">
      <c r="A1924" t="str">
        <f>_xlfn.XLOOKUP(branches[[#This Row],[Филиал]], tbl_Filialy[Филиал], tbl_Filialy[Город])</f>
        <v>Москва</v>
      </c>
      <c r="B1924" s="1" t="s">
        <v>36</v>
      </c>
      <c r="C1924" s="2">
        <v>45743</v>
      </c>
      <c r="D1924" s="2" t="str">
        <f>CHOOSE(MONTH(branches[[#This Row],[Дата]]),"Январь","Февраль","Март","Апрель","Май","Июнь","Июль","Август","Сентябрь","Октябрь","Ноябрь","Декабрь")&amp;" "&amp;YEAR(branches[[#This Row],[Дата]])</f>
        <v>Март 2025</v>
      </c>
      <c r="E1924" t="s">
        <v>27</v>
      </c>
      <c r="F1924" t="s">
        <v>12</v>
      </c>
      <c r="G1924">
        <v>1</v>
      </c>
      <c r="H1924">
        <v>192</v>
      </c>
      <c r="I1924" t="s">
        <v>23</v>
      </c>
      <c r="J1924" t="str">
        <f>_xlfn.XLOOKUP(branches[[#This Row],[Филиал]], tbl_Filialy[Филиал], tbl_Filialy[Менеджер])</f>
        <v>Ирина Соколова</v>
      </c>
    </row>
    <row r="1925" spans="1:10" x14ac:dyDescent="0.3">
      <c r="A1925" t="str">
        <f>_xlfn.XLOOKUP(branches[[#This Row],[Филиал]], tbl_Filialy[Филиал], tbl_Filialy[Город])</f>
        <v>Москва</v>
      </c>
      <c r="B1925" s="1" t="s">
        <v>36</v>
      </c>
      <c r="C1925" s="2">
        <v>45882</v>
      </c>
      <c r="D1925" s="2" t="str">
        <f>CHOOSE(MONTH(branches[[#This Row],[Дата]]),"Январь","Февраль","Март","Апрель","Май","Июнь","Июль","Август","Сентябрь","Октябрь","Ноябрь","Декабрь")&amp;" "&amp;YEAR(branches[[#This Row],[Дата]])</f>
        <v>Август 2025</v>
      </c>
      <c r="E1925" t="s">
        <v>20</v>
      </c>
      <c r="F1925" t="s">
        <v>12</v>
      </c>
      <c r="G1925">
        <v>1</v>
      </c>
      <c r="H1925">
        <v>281</v>
      </c>
      <c r="I1925" t="s">
        <v>15</v>
      </c>
      <c r="J1925" t="str">
        <f>_xlfn.XLOOKUP(branches[[#This Row],[Филиал]], tbl_Filialy[Филиал], tbl_Filialy[Менеджер])</f>
        <v>Ирина Соколова</v>
      </c>
    </row>
    <row r="1926" spans="1:10" x14ac:dyDescent="0.3">
      <c r="A1926" t="str">
        <f>_xlfn.XLOOKUP(branches[[#This Row],[Филиал]], tbl_Filialy[Филиал], tbl_Filialy[Город])</f>
        <v>Москва</v>
      </c>
      <c r="B1926" s="1" t="s">
        <v>36</v>
      </c>
      <c r="C1926" s="2">
        <v>45976</v>
      </c>
      <c r="D1926" s="2" t="str">
        <f>CHOOSE(MONTH(branches[[#This Row],[Дата]]),"Январь","Февраль","Март","Апрель","Май","Июнь","Июль","Август","Сентябрь","Октябрь","Ноябрь","Декабрь")&amp;" "&amp;YEAR(branches[[#This Row],[Дата]])</f>
        <v>Ноябрь 2025</v>
      </c>
      <c r="E1926" t="s">
        <v>11</v>
      </c>
      <c r="F1926" t="s">
        <v>12</v>
      </c>
      <c r="G1926">
        <v>2</v>
      </c>
      <c r="H1926">
        <v>342</v>
      </c>
      <c r="I1926" t="s">
        <v>19</v>
      </c>
      <c r="J1926" t="str">
        <f>_xlfn.XLOOKUP(branches[[#This Row],[Филиал]], tbl_Filialy[Филиал], tbl_Filialy[Менеджер])</f>
        <v>Ирина Соколова</v>
      </c>
    </row>
    <row r="1927" spans="1:10" x14ac:dyDescent="0.3">
      <c r="A1927" t="str">
        <f>_xlfn.XLOOKUP(branches[[#This Row],[Филиал]], tbl_Filialy[Филиал], tbl_Filialy[Город])</f>
        <v>Москва</v>
      </c>
      <c r="B1927" s="1" t="s">
        <v>36</v>
      </c>
      <c r="C1927" s="2">
        <v>45987</v>
      </c>
      <c r="D1927" s="2" t="str">
        <f>CHOOSE(MONTH(branches[[#This Row],[Дата]]),"Январь","Февраль","Март","Апрель","Май","Июнь","Июль","Август","Сентябрь","Октябрь","Ноябрь","Декабрь")&amp;" "&amp;YEAR(branches[[#This Row],[Дата]])</f>
        <v>Ноябрь 2025</v>
      </c>
      <c r="E1927" t="s">
        <v>8</v>
      </c>
      <c r="F1927" t="s">
        <v>9</v>
      </c>
      <c r="G1927">
        <v>2</v>
      </c>
      <c r="H1927">
        <v>526</v>
      </c>
      <c r="I1927" t="s">
        <v>10</v>
      </c>
      <c r="J1927" t="str">
        <f>_xlfn.XLOOKUP(branches[[#This Row],[Филиал]], tbl_Filialy[Филиал], tbl_Filialy[Менеджер])</f>
        <v>Ирина Соколова</v>
      </c>
    </row>
    <row r="1928" spans="1:10" x14ac:dyDescent="0.3">
      <c r="A1928" t="str">
        <f>_xlfn.XLOOKUP(branches[[#This Row],[Филиал]], tbl_Filialy[Филиал], tbl_Filialy[Город])</f>
        <v>Москва</v>
      </c>
      <c r="B1928" s="1" t="s">
        <v>36</v>
      </c>
      <c r="C1928" s="2">
        <v>45955</v>
      </c>
      <c r="D1928" s="2" t="str">
        <f>CHOOSE(MONTH(branches[[#This Row],[Дата]]),"Январь","Февраль","Март","Апрель","Май","Июнь","Июль","Август","Сентябрь","Октябрь","Ноябрь","Декабрь")&amp;" "&amp;YEAR(branches[[#This Row],[Дата]])</f>
        <v>Октябрь 2025</v>
      </c>
      <c r="E1928" t="s">
        <v>8</v>
      </c>
      <c r="F1928" t="s">
        <v>9</v>
      </c>
      <c r="G1928">
        <v>1</v>
      </c>
      <c r="H1928">
        <v>263</v>
      </c>
      <c r="I1928" t="s">
        <v>13</v>
      </c>
      <c r="J1928" t="str">
        <f>_xlfn.XLOOKUP(branches[[#This Row],[Филиал]], tbl_Filialy[Филиал], tbl_Filialy[Менеджер])</f>
        <v>Ирина Соколова</v>
      </c>
    </row>
    <row r="1929" spans="1:10" x14ac:dyDescent="0.3">
      <c r="A1929" t="str">
        <f>_xlfn.XLOOKUP(branches[[#This Row],[Филиал]], tbl_Filialy[Филиал], tbl_Filialy[Город])</f>
        <v>Москва</v>
      </c>
      <c r="B1929" s="1" t="s">
        <v>36</v>
      </c>
      <c r="C1929" s="2">
        <v>45766</v>
      </c>
      <c r="D1929" s="2" t="str">
        <f>CHOOSE(MONTH(branches[[#This Row],[Дата]]),"Январь","Февраль","Март","Апрель","Май","Июнь","Июль","Август","Сентябрь","Октябрь","Ноябрь","Декабрь")&amp;" "&amp;YEAR(branches[[#This Row],[Дата]])</f>
        <v>Апрель 2025</v>
      </c>
      <c r="E1929" t="s">
        <v>18</v>
      </c>
      <c r="F1929" t="s">
        <v>12</v>
      </c>
      <c r="G1929">
        <v>3</v>
      </c>
      <c r="H1929">
        <v>468</v>
      </c>
      <c r="I1929" t="s">
        <v>23</v>
      </c>
      <c r="J1929" t="str">
        <f>_xlfn.XLOOKUP(branches[[#This Row],[Филиал]], tbl_Filialy[Филиал], tbl_Filialy[Менеджер])</f>
        <v>Ирина Соколова</v>
      </c>
    </row>
    <row r="1930" spans="1:10" x14ac:dyDescent="0.3">
      <c r="A1930" t="str">
        <f>_xlfn.XLOOKUP(branches[[#This Row],[Филиал]], tbl_Filialy[Филиал], tbl_Filialy[Город])</f>
        <v>Москва</v>
      </c>
      <c r="B1930" s="1" t="s">
        <v>36</v>
      </c>
      <c r="C1930" s="2">
        <v>45841</v>
      </c>
      <c r="D1930" s="2" t="str">
        <f>CHOOSE(MONTH(branches[[#This Row],[Дата]]),"Январь","Февраль","Март","Апрель","Май","Июнь","Июль","Август","Сентябрь","Октябрь","Ноябрь","Декабрь")&amp;" "&amp;YEAR(branches[[#This Row],[Дата]])</f>
        <v>Июль 2025</v>
      </c>
      <c r="E1930" t="s">
        <v>18</v>
      </c>
      <c r="F1930" t="s">
        <v>12</v>
      </c>
      <c r="G1930">
        <v>1</v>
      </c>
      <c r="H1930">
        <v>130</v>
      </c>
      <c r="I1930" t="s">
        <v>19</v>
      </c>
      <c r="J1930" t="str">
        <f>_xlfn.XLOOKUP(branches[[#This Row],[Филиал]], tbl_Filialy[Филиал], tbl_Filialy[Менеджер])</f>
        <v>Ирина Соколова</v>
      </c>
    </row>
    <row r="1931" spans="1:10" x14ac:dyDescent="0.3">
      <c r="A1931" t="str">
        <f>_xlfn.XLOOKUP(branches[[#This Row],[Филиал]], tbl_Filialy[Филиал], tbl_Filialy[Город])</f>
        <v>Москва</v>
      </c>
      <c r="B1931" s="1" t="s">
        <v>36</v>
      </c>
      <c r="C1931" s="2">
        <v>45928</v>
      </c>
      <c r="D1931" s="2" t="str">
        <f>CHOOSE(MONTH(branches[[#This Row],[Дата]]),"Январь","Февраль","Март","Апрель","Май","Июнь","Июль","Август","Сентябрь","Октябрь","Ноябрь","Декабрь")&amp;" "&amp;YEAR(branches[[#This Row],[Дата]])</f>
        <v>Сентябрь 2025</v>
      </c>
      <c r="E1931" t="s">
        <v>18</v>
      </c>
      <c r="F1931" t="s">
        <v>12</v>
      </c>
      <c r="G1931">
        <v>1</v>
      </c>
      <c r="H1931">
        <v>128</v>
      </c>
      <c r="I1931" t="s">
        <v>23</v>
      </c>
      <c r="J1931" t="str">
        <f>_xlfn.XLOOKUP(branches[[#This Row],[Филиал]], tbl_Filialy[Филиал], tbl_Filialy[Менеджер])</f>
        <v>Ирина Соколова</v>
      </c>
    </row>
    <row r="1932" spans="1:10" x14ac:dyDescent="0.3">
      <c r="A1932" t="str">
        <f>_xlfn.XLOOKUP(branches[[#This Row],[Филиал]], tbl_Filialy[Филиал], tbl_Filialy[Город])</f>
        <v>Москва</v>
      </c>
      <c r="B1932" s="1" t="s">
        <v>36</v>
      </c>
      <c r="C1932" s="2">
        <v>45684</v>
      </c>
      <c r="D1932" s="2" t="str">
        <f>CHOOSE(MONTH(branches[[#This Row],[Дата]]),"Январь","Февраль","Март","Апрель","Май","Июнь","Июль","Август","Сентябрь","Октябрь","Ноябрь","Декабрь")&amp;" "&amp;YEAR(branches[[#This Row],[Дата]])</f>
        <v>Январь 2025</v>
      </c>
      <c r="E1932" t="s">
        <v>27</v>
      </c>
      <c r="F1932" t="s">
        <v>12</v>
      </c>
      <c r="G1932">
        <v>3</v>
      </c>
      <c r="H1932">
        <v>642</v>
      </c>
      <c r="I1932" t="s">
        <v>23</v>
      </c>
      <c r="J1932" t="str">
        <f>_xlfn.XLOOKUP(branches[[#This Row],[Филиал]], tbl_Filialy[Филиал], tbl_Filialy[Менеджер])</f>
        <v>Ирина Соколова</v>
      </c>
    </row>
    <row r="1933" spans="1:10" x14ac:dyDescent="0.3">
      <c r="A1933" t="str">
        <f>_xlfn.XLOOKUP(branches[[#This Row],[Филиал]], tbl_Filialy[Филиал], tbl_Filialy[Город])</f>
        <v>Москва</v>
      </c>
      <c r="B1933" s="1" t="s">
        <v>36</v>
      </c>
      <c r="C1933" s="2">
        <v>45840</v>
      </c>
      <c r="D1933" s="2" t="str">
        <f>CHOOSE(MONTH(branches[[#This Row],[Дата]]),"Январь","Февраль","Март","Апрель","Май","Июнь","Июль","Август","Сентябрь","Октябрь","Ноябрь","Декабрь")&amp;" "&amp;YEAR(branches[[#This Row],[Дата]])</f>
        <v>Июль 2025</v>
      </c>
      <c r="E1933" t="s">
        <v>26</v>
      </c>
      <c r="F1933" t="s">
        <v>9</v>
      </c>
      <c r="G1933">
        <v>2</v>
      </c>
      <c r="H1933">
        <v>380</v>
      </c>
      <c r="I1933" t="s">
        <v>21</v>
      </c>
      <c r="J1933" t="str">
        <f>_xlfn.XLOOKUP(branches[[#This Row],[Филиал]], tbl_Filialy[Филиал], tbl_Filialy[Менеджер])</f>
        <v>Ирина Соколова</v>
      </c>
    </row>
    <row r="1934" spans="1:10" x14ac:dyDescent="0.3">
      <c r="A1934" t="str">
        <f>_xlfn.XLOOKUP(branches[[#This Row],[Филиал]], tbl_Filialy[Филиал], tbl_Filialy[Город])</f>
        <v>Москва</v>
      </c>
      <c r="B1934" s="1" t="s">
        <v>36</v>
      </c>
      <c r="C1934" s="2">
        <v>45674</v>
      </c>
      <c r="D1934" s="2" t="str">
        <f>CHOOSE(MONTH(branches[[#This Row],[Дата]]),"Январь","Февраль","Март","Апрель","Май","Июнь","Июль","Август","Сентябрь","Октябрь","Ноябрь","Декабрь")&amp;" "&amp;YEAR(branches[[#This Row],[Дата]])</f>
        <v>Январь 2025</v>
      </c>
      <c r="E1934" t="s">
        <v>11</v>
      </c>
      <c r="F1934" t="s">
        <v>12</v>
      </c>
      <c r="G1934">
        <v>2</v>
      </c>
      <c r="H1934">
        <v>388</v>
      </c>
      <c r="I1934" t="s">
        <v>23</v>
      </c>
      <c r="J1934" t="str">
        <f>_xlfn.XLOOKUP(branches[[#This Row],[Филиал]], tbl_Filialy[Филиал], tbl_Filialy[Менеджер])</f>
        <v>Ирина Соколова</v>
      </c>
    </row>
    <row r="1935" spans="1:10" x14ac:dyDescent="0.3">
      <c r="A1935" t="str">
        <f>_xlfn.XLOOKUP(branches[[#This Row],[Филиал]], tbl_Filialy[Филиал], tbl_Filialy[Город])</f>
        <v>Москва</v>
      </c>
      <c r="B1935" s="1" t="s">
        <v>36</v>
      </c>
      <c r="C1935" s="2">
        <v>46019</v>
      </c>
      <c r="D1935" s="2" t="str">
        <f>CHOOSE(MONTH(branches[[#This Row],[Дата]]),"Январь","Февраль","Март","Апрель","Май","Июнь","Июль","Август","Сентябрь","Октябрь","Ноябрь","Декабрь")&amp;" "&amp;YEAR(branches[[#This Row],[Дата]])</f>
        <v>Декабрь 2025</v>
      </c>
      <c r="E1935" t="s">
        <v>18</v>
      </c>
      <c r="F1935" t="s">
        <v>12</v>
      </c>
      <c r="G1935">
        <v>1</v>
      </c>
      <c r="H1935">
        <v>139</v>
      </c>
      <c r="I1935" t="s">
        <v>13</v>
      </c>
      <c r="J1935" t="str">
        <f>_xlfn.XLOOKUP(branches[[#This Row],[Филиал]], tbl_Filialy[Филиал], tbl_Filialy[Менеджер])</f>
        <v>Ирина Соколова</v>
      </c>
    </row>
    <row r="1936" spans="1:10" x14ac:dyDescent="0.3">
      <c r="A1936" t="str">
        <f>_xlfn.XLOOKUP(branches[[#This Row],[Филиал]], tbl_Filialy[Филиал], tbl_Filialy[Город])</f>
        <v>Москва</v>
      </c>
      <c r="B1936" s="1" t="s">
        <v>36</v>
      </c>
      <c r="C1936" s="2">
        <v>45886</v>
      </c>
      <c r="D1936" s="2" t="str">
        <f>CHOOSE(MONTH(branches[[#This Row],[Дата]]),"Январь","Февраль","Март","Апрель","Май","Июнь","Июль","Август","Сентябрь","Октябрь","Ноябрь","Декабрь")&amp;" "&amp;YEAR(branches[[#This Row],[Дата]])</f>
        <v>Август 2025</v>
      </c>
      <c r="E1936" t="s">
        <v>8</v>
      </c>
      <c r="F1936" t="s">
        <v>9</v>
      </c>
      <c r="G1936">
        <v>3</v>
      </c>
      <c r="H1936">
        <v>828</v>
      </c>
      <c r="I1936" t="s">
        <v>23</v>
      </c>
      <c r="J1936" t="str">
        <f>_xlfn.XLOOKUP(branches[[#This Row],[Филиал]], tbl_Filialy[Филиал], tbl_Filialy[Менеджер])</f>
        <v>Ирина Соколова</v>
      </c>
    </row>
    <row r="1937" spans="1:10" x14ac:dyDescent="0.3">
      <c r="A1937" t="str">
        <f>_xlfn.XLOOKUP(branches[[#This Row],[Филиал]], tbl_Filialy[Филиал], tbl_Filialy[Город])</f>
        <v>Москва</v>
      </c>
      <c r="B1937" s="1" t="s">
        <v>36</v>
      </c>
      <c r="C1937" s="2">
        <v>45999</v>
      </c>
      <c r="D1937" s="2" t="str">
        <f>CHOOSE(MONTH(branches[[#This Row],[Дата]]),"Январь","Февраль","Март","Апрель","Май","Июнь","Июль","Август","Сентябрь","Октябрь","Ноябрь","Декабрь")&amp;" "&amp;YEAR(branches[[#This Row],[Дата]])</f>
        <v>Декабрь 2025</v>
      </c>
      <c r="E1937" t="s">
        <v>26</v>
      </c>
      <c r="F1937" t="s">
        <v>9</v>
      </c>
      <c r="G1937">
        <v>1</v>
      </c>
      <c r="H1937">
        <v>229</v>
      </c>
      <c r="I1937" t="s">
        <v>10</v>
      </c>
      <c r="J1937" t="str">
        <f>_xlfn.XLOOKUP(branches[[#This Row],[Филиал]], tbl_Filialy[Филиал], tbl_Filialy[Менеджер])</f>
        <v>Ирина Соколова</v>
      </c>
    </row>
    <row r="1938" spans="1:10" x14ac:dyDescent="0.3">
      <c r="A1938" t="str">
        <f>_xlfn.XLOOKUP(branches[[#This Row],[Филиал]], tbl_Filialy[Филиал], tbl_Filialy[Город])</f>
        <v>Москва</v>
      </c>
      <c r="B1938" s="1" t="s">
        <v>36</v>
      </c>
      <c r="C1938" s="2">
        <v>45659</v>
      </c>
      <c r="D1938" s="2" t="str">
        <f>CHOOSE(MONTH(branches[[#This Row],[Дата]]),"Январь","Февраль","Март","Апрель","Май","Июнь","Июль","Август","Сентябрь","Октябрь","Ноябрь","Декабрь")&amp;" "&amp;YEAR(branches[[#This Row],[Дата]])</f>
        <v>Январь 2025</v>
      </c>
      <c r="E1938" t="s">
        <v>28</v>
      </c>
      <c r="F1938" t="s">
        <v>12</v>
      </c>
      <c r="G1938">
        <v>2</v>
      </c>
      <c r="H1938">
        <v>454</v>
      </c>
      <c r="I1938" t="s">
        <v>23</v>
      </c>
      <c r="J1938" t="str">
        <f>_xlfn.XLOOKUP(branches[[#This Row],[Филиал]], tbl_Filialy[Филиал], tbl_Filialy[Менеджер])</f>
        <v>Ирина Соколова</v>
      </c>
    </row>
    <row r="1939" spans="1:10" x14ac:dyDescent="0.3">
      <c r="A1939" t="str">
        <f>_xlfn.XLOOKUP(branches[[#This Row],[Филиал]], tbl_Filialy[Филиал], tbl_Filialy[Город])</f>
        <v>Москва</v>
      </c>
      <c r="B1939" s="1" t="s">
        <v>36</v>
      </c>
      <c r="C1939" s="2">
        <v>45773</v>
      </c>
      <c r="D1939" s="2" t="str">
        <f>CHOOSE(MONTH(branches[[#This Row],[Дата]]),"Январь","Февраль","Март","Апрель","Май","Июнь","Июль","Август","Сентябрь","Октябрь","Ноябрь","Декабрь")&amp;" "&amp;YEAR(branches[[#This Row],[Дата]])</f>
        <v>Апрель 2025</v>
      </c>
      <c r="E1939" t="s">
        <v>27</v>
      </c>
      <c r="F1939" t="s">
        <v>12</v>
      </c>
      <c r="G1939">
        <v>3</v>
      </c>
      <c r="H1939">
        <v>654</v>
      </c>
      <c r="I1939" t="s">
        <v>21</v>
      </c>
      <c r="J1939" t="str">
        <f>_xlfn.XLOOKUP(branches[[#This Row],[Филиал]], tbl_Filialy[Филиал], tbl_Filialy[Менеджер])</f>
        <v>Ирина Соколова</v>
      </c>
    </row>
    <row r="1940" spans="1:10" x14ac:dyDescent="0.3">
      <c r="A1940" t="str">
        <f>_xlfn.XLOOKUP(branches[[#This Row],[Филиал]], tbl_Filialy[Филиал], tbl_Filialy[Город])</f>
        <v>Москва</v>
      </c>
      <c r="B1940" s="1" t="s">
        <v>36</v>
      </c>
      <c r="C1940" s="2">
        <v>45780</v>
      </c>
      <c r="D1940" s="2" t="str">
        <f>CHOOSE(MONTH(branches[[#This Row],[Дата]]),"Январь","Февраль","Март","Апрель","Май","Июнь","Июль","Август","Сентябрь","Октябрь","Ноябрь","Декабрь")&amp;" "&amp;YEAR(branches[[#This Row],[Дата]])</f>
        <v>Май 2025</v>
      </c>
      <c r="E1940" t="s">
        <v>8</v>
      </c>
      <c r="F1940" t="s">
        <v>9</v>
      </c>
      <c r="G1940">
        <v>1</v>
      </c>
      <c r="H1940">
        <v>259</v>
      </c>
      <c r="I1940" t="s">
        <v>21</v>
      </c>
      <c r="J1940" t="str">
        <f>_xlfn.XLOOKUP(branches[[#This Row],[Филиал]], tbl_Filialy[Филиал], tbl_Filialy[Менеджер])</f>
        <v>Ирина Соколова</v>
      </c>
    </row>
    <row r="1941" spans="1:10" x14ac:dyDescent="0.3">
      <c r="A1941" t="str">
        <f>_xlfn.XLOOKUP(branches[[#This Row],[Филиал]], tbl_Filialy[Филиал], tbl_Filialy[Город])</f>
        <v>Москва</v>
      </c>
      <c r="B1941" s="1" t="s">
        <v>36</v>
      </c>
      <c r="C1941" s="2">
        <v>45931</v>
      </c>
      <c r="D1941" s="2" t="str">
        <f>CHOOSE(MONTH(branches[[#This Row],[Дата]]),"Январь","Февраль","Март","Апрель","Май","Июнь","Июль","Август","Сентябрь","Октябрь","Ноябрь","Декабрь")&amp;" "&amp;YEAR(branches[[#This Row],[Дата]])</f>
        <v>Октябрь 2025</v>
      </c>
      <c r="E1941" t="s">
        <v>24</v>
      </c>
      <c r="F1941" t="s">
        <v>17</v>
      </c>
      <c r="G1941">
        <v>3</v>
      </c>
      <c r="H1941">
        <v>1245</v>
      </c>
      <c r="I1941" t="s">
        <v>19</v>
      </c>
      <c r="J1941" t="str">
        <f>_xlfn.XLOOKUP(branches[[#This Row],[Филиал]], tbl_Filialy[Филиал], tbl_Filialy[Менеджер])</f>
        <v>Ирина Соколова</v>
      </c>
    </row>
    <row r="1942" spans="1:10" x14ac:dyDescent="0.3">
      <c r="A1942" t="str">
        <f>_xlfn.XLOOKUP(branches[[#This Row],[Филиал]], tbl_Filialy[Филиал], tbl_Filialy[Город])</f>
        <v>Москва</v>
      </c>
      <c r="B1942" s="1" t="s">
        <v>36</v>
      </c>
      <c r="C1942" s="2">
        <v>45792</v>
      </c>
      <c r="D1942" s="2" t="str">
        <f>CHOOSE(MONTH(branches[[#This Row],[Дата]]),"Январь","Февраль","Март","Апрель","Май","Июнь","Июль","Август","Сентябрь","Октябрь","Ноябрь","Декабрь")&amp;" "&amp;YEAR(branches[[#This Row],[Дата]])</f>
        <v>Май 2025</v>
      </c>
      <c r="E1942" t="s">
        <v>16</v>
      </c>
      <c r="F1942" t="s">
        <v>17</v>
      </c>
      <c r="G1942">
        <v>2</v>
      </c>
      <c r="H1942">
        <v>624</v>
      </c>
      <c r="I1942" t="s">
        <v>10</v>
      </c>
      <c r="J1942" t="str">
        <f>_xlfn.XLOOKUP(branches[[#This Row],[Филиал]], tbl_Filialy[Филиал], tbl_Filialy[Менеджер])</f>
        <v>Ирина Соколова</v>
      </c>
    </row>
    <row r="1943" spans="1:10" x14ac:dyDescent="0.3">
      <c r="A1943" t="str">
        <f>_xlfn.XLOOKUP(branches[[#This Row],[Филиал]], tbl_Filialy[Филиал], tbl_Filialy[Город])</f>
        <v>Москва</v>
      </c>
      <c r="B1943" s="1" t="s">
        <v>36</v>
      </c>
      <c r="C1943" s="2">
        <v>45702</v>
      </c>
      <c r="D1943" s="2" t="str">
        <f>CHOOSE(MONTH(branches[[#This Row],[Дата]]),"Январь","Февраль","Март","Апрель","Май","Июнь","Июль","Август","Сентябрь","Октябрь","Ноябрь","Декабрь")&amp;" "&amp;YEAR(branches[[#This Row],[Дата]])</f>
        <v>Февраль 2025</v>
      </c>
      <c r="E1943" t="s">
        <v>14</v>
      </c>
      <c r="F1943" t="s">
        <v>12</v>
      </c>
      <c r="G1943">
        <v>1</v>
      </c>
      <c r="H1943">
        <v>243</v>
      </c>
      <c r="I1943" t="s">
        <v>19</v>
      </c>
      <c r="J1943" t="str">
        <f>_xlfn.XLOOKUP(branches[[#This Row],[Филиал]], tbl_Filialy[Филиал], tbl_Filialy[Менеджер])</f>
        <v>Ирина Соколова</v>
      </c>
    </row>
    <row r="1944" spans="1:10" x14ac:dyDescent="0.3">
      <c r="A1944" t="str">
        <f>_xlfn.XLOOKUP(branches[[#This Row],[Филиал]], tbl_Filialy[Филиал], tbl_Filialy[Город])</f>
        <v>Москва</v>
      </c>
      <c r="B1944" s="1" t="s">
        <v>36</v>
      </c>
      <c r="C1944" s="2">
        <v>45679</v>
      </c>
      <c r="D1944" s="2" t="str">
        <f>CHOOSE(MONTH(branches[[#This Row],[Дата]]),"Январь","Февраль","Март","Апрель","Май","Июнь","Июль","Август","Сентябрь","Октябрь","Ноябрь","Декабрь")&amp;" "&amp;YEAR(branches[[#This Row],[Дата]])</f>
        <v>Январь 2025</v>
      </c>
      <c r="E1944" t="s">
        <v>14</v>
      </c>
      <c r="F1944" t="s">
        <v>12</v>
      </c>
      <c r="G1944">
        <v>3</v>
      </c>
      <c r="H1944">
        <v>867</v>
      </c>
      <c r="I1944" t="s">
        <v>13</v>
      </c>
      <c r="J1944" t="str">
        <f>_xlfn.XLOOKUP(branches[[#This Row],[Филиал]], tbl_Filialy[Филиал], tbl_Filialy[Менеджер])</f>
        <v>Ирина Соколова</v>
      </c>
    </row>
    <row r="1945" spans="1:10" x14ac:dyDescent="0.3">
      <c r="A1945" t="str">
        <f>_xlfn.XLOOKUP(branches[[#This Row],[Филиал]], tbl_Filialy[Филиал], tbl_Filialy[Город])</f>
        <v>Москва</v>
      </c>
      <c r="B1945" s="1" t="s">
        <v>36</v>
      </c>
      <c r="C1945" s="2">
        <v>45989</v>
      </c>
      <c r="D1945" s="2" t="str">
        <f>CHOOSE(MONTH(branches[[#This Row],[Дата]]),"Январь","Февраль","Март","Апрель","Май","Июнь","Июль","Август","Сентябрь","Октябрь","Ноябрь","Декабрь")&amp;" "&amp;YEAR(branches[[#This Row],[Дата]])</f>
        <v>Ноябрь 2025</v>
      </c>
      <c r="E1945" t="s">
        <v>18</v>
      </c>
      <c r="F1945" t="s">
        <v>12</v>
      </c>
      <c r="G1945">
        <v>3</v>
      </c>
      <c r="H1945">
        <v>474</v>
      </c>
      <c r="I1945" t="s">
        <v>23</v>
      </c>
      <c r="J1945" t="str">
        <f>_xlfn.XLOOKUP(branches[[#This Row],[Филиал]], tbl_Filialy[Филиал], tbl_Filialy[Менеджер])</f>
        <v>Ирина Соколова</v>
      </c>
    </row>
    <row r="1946" spans="1:10" x14ac:dyDescent="0.3">
      <c r="A1946" t="str">
        <f>_xlfn.XLOOKUP(branches[[#This Row],[Филиал]], tbl_Filialy[Филиал], tbl_Filialy[Город])</f>
        <v>Москва</v>
      </c>
      <c r="B1946" s="1" t="s">
        <v>36</v>
      </c>
      <c r="C1946" s="2">
        <v>45805</v>
      </c>
      <c r="D1946" s="2" t="str">
        <f>CHOOSE(MONTH(branches[[#This Row],[Дата]]),"Январь","Февраль","Март","Апрель","Май","Июнь","Июль","Август","Сентябрь","Октябрь","Ноябрь","Декабрь")&amp;" "&amp;YEAR(branches[[#This Row],[Дата]])</f>
        <v>Май 2025</v>
      </c>
      <c r="E1946" t="s">
        <v>28</v>
      </c>
      <c r="F1946" t="s">
        <v>12</v>
      </c>
      <c r="G1946">
        <v>3</v>
      </c>
      <c r="H1946">
        <v>735</v>
      </c>
      <c r="I1946" t="s">
        <v>23</v>
      </c>
      <c r="J1946" t="str">
        <f>_xlfn.XLOOKUP(branches[[#This Row],[Филиал]], tbl_Filialy[Филиал], tbl_Filialy[Менеджер])</f>
        <v>Ирина Соколова</v>
      </c>
    </row>
    <row r="1947" spans="1:10" x14ac:dyDescent="0.3">
      <c r="A1947" t="str">
        <f>_xlfn.XLOOKUP(branches[[#This Row],[Филиал]], tbl_Filialy[Филиал], tbl_Filialy[Город])</f>
        <v>Москва</v>
      </c>
      <c r="B1947" s="1" t="s">
        <v>36</v>
      </c>
      <c r="C1947" s="2">
        <v>46016</v>
      </c>
      <c r="D1947" s="2" t="str">
        <f>CHOOSE(MONTH(branches[[#This Row],[Дата]]),"Январь","Февраль","Март","Апрель","Май","Июнь","Июль","Август","Сентябрь","Октябрь","Ноябрь","Декабрь")&amp;" "&amp;YEAR(branches[[#This Row],[Дата]])</f>
        <v>Декабрь 2025</v>
      </c>
      <c r="E1947" t="s">
        <v>22</v>
      </c>
      <c r="F1947" t="s">
        <v>9</v>
      </c>
      <c r="G1947">
        <v>1</v>
      </c>
      <c r="H1947">
        <v>190</v>
      </c>
      <c r="I1947" t="s">
        <v>10</v>
      </c>
      <c r="J1947" t="str">
        <f>_xlfn.XLOOKUP(branches[[#This Row],[Филиал]], tbl_Filialy[Филиал], tbl_Filialy[Менеджер])</f>
        <v>Ирина Соколова</v>
      </c>
    </row>
    <row r="1948" spans="1:10" x14ac:dyDescent="0.3">
      <c r="A1948" t="str">
        <f>_xlfn.XLOOKUP(branches[[#This Row],[Филиал]], tbl_Filialy[Филиал], tbl_Filialy[Город])</f>
        <v>Москва</v>
      </c>
      <c r="B1948" s="1" t="s">
        <v>36</v>
      </c>
      <c r="C1948" s="2">
        <v>45712</v>
      </c>
      <c r="D1948" s="2" t="str">
        <f>CHOOSE(MONTH(branches[[#This Row],[Дата]]),"Январь","Февраль","Март","Апрель","Май","Июнь","Июль","Август","Сентябрь","Октябрь","Ноябрь","Декабрь")&amp;" "&amp;YEAR(branches[[#This Row],[Дата]])</f>
        <v>Февраль 2025</v>
      </c>
      <c r="E1948" t="s">
        <v>8</v>
      </c>
      <c r="F1948" t="s">
        <v>9</v>
      </c>
      <c r="G1948">
        <v>3</v>
      </c>
      <c r="H1948">
        <v>798</v>
      </c>
      <c r="I1948" t="s">
        <v>13</v>
      </c>
      <c r="J1948" t="str">
        <f>_xlfn.XLOOKUP(branches[[#This Row],[Филиал]], tbl_Filialy[Филиал], tbl_Filialy[Менеджер])</f>
        <v>Ирина Соколова</v>
      </c>
    </row>
    <row r="1949" spans="1:10" x14ac:dyDescent="0.3">
      <c r="A1949" t="str">
        <f>_xlfn.XLOOKUP(branches[[#This Row],[Филиал]], tbl_Filialy[Филиал], tbl_Filialy[Город])</f>
        <v>Москва</v>
      </c>
      <c r="B1949" s="1" t="s">
        <v>36</v>
      </c>
      <c r="C1949" s="2">
        <v>45774</v>
      </c>
      <c r="D1949" s="2" t="str">
        <f>CHOOSE(MONTH(branches[[#This Row],[Дата]]),"Январь","Февраль","Март","Апрель","Май","Июнь","Июль","Август","Сентябрь","Октябрь","Ноябрь","Декабрь")&amp;" "&amp;YEAR(branches[[#This Row],[Дата]])</f>
        <v>Апрель 2025</v>
      </c>
      <c r="E1949" t="s">
        <v>14</v>
      </c>
      <c r="F1949" t="s">
        <v>12</v>
      </c>
      <c r="G1949">
        <v>3</v>
      </c>
      <c r="H1949">
        <v>747</v>
      </c>
      <c r="I1949" t="s">
        <v>19</v>
      </c>
      <c r="J1949" t="str">
        <f>_xlfn.XLOOKUP(branches[[#This Row],[Филиал]], tbl_Filialy[Филиал], tbl_Filialy[Менеджер])</f>
        <v>Ирина Соколова</v>
      </c>
    </row>
    <row r="1950" spans="1:10" x14ac:dyDescent="0.3">
      <c r="A1950" t="str">
        <f>_xlfn.XLOOKUP(branches[[#This Row],[Филиал]], tbl_Filialy[Филиал], tbl_Filialy[Город])</f>
        <v>Москва</v>
      </c>
      <c r="B1950" s="1" t="s">
        <v>36</v>
      </c>
      <c r="C1950" s="2">
        <v>45734</v>
      </c>
      <c r="D1950" s="2" t="str">
        <f>CHOOSE(MONTH(branches[[#This Row],[Дата]]),"Январь","Февраль","Март","Апрель","Май","Июнь","Июль","Август","Сентябрь","Октябрь","Ноябрь","Декабрь")&amp;" "&amp;YEAR(branches[[#This Row],[Дата]])</f>
        <v>Март 2025</v>
      </c>
      <c r="E1950" t="s">
        <v>14</v>
      </c>
      <c r="F1950" t="s">
        <v>12</v>
      </c>
      <c r="G1950">
        <v>1</v>
      </c>
      <c r="H1950">
        <v>250</v>
      </c>
      <c r="I1950" t="s">
        <v>23</v>
      </c>
      <c r="J1950" t="str">
        <f>_xlfn.XLOOKUP(branches[[#This Row],[Филиал]], tbl_Filialy[Филиал], tbl_Filialy[Менеджер])</f>
        <v>Ирина Соколова</v>
      </c>
    </row>
    <row r="1951" spans="1:10" x14ac:dyDescent="0.3">
      <c r="A1951" t="str">
        <f>_xlfn.XLOOKUP(branches[[#This Row],[Филиал]], tbl_Filialy[Филиал], tbl_Filialy[Город])</f>
        <v>Москва</v>
      </c>
      <c r="B1951" s="1" t="s">
        <v>36</v>
      </c>
      <c r="C1951" s="2">
        <v>45955</v>
      </c>
      <c r="D1951" s="2" t="str">
        <f>CHOOSE(MONTH(branches[[#This Row],[Дата]]),"Январь","Февраль","Март","Апрель","Май","Июнь","Июль","Август","Сентябрь","Октябрь","Ноябрь","Декабрь")&amp;" "&amp;YEAR(branches[[#This Row],[Дата]])</f>
        <v>Октябрь 2025</v>
      </c>
      <c r="E1951" t="s">
        <v>20</v>
      </c>
      <c r="F1951" t="s">
        <v>12</v>
      </c>
      <c r="G1951">
        <v>2</v>
      </c>
      <c r="H1951">
        <v>582</v>
      </c>
      <c r="I1951" t="s">
        <v>21</v>
      </c>
      <c r="J1951" t="str">
        <f>_xlfn.XLOOKUP(branches[[#This Row],[Филиал]], tbl_Filialy[Филиал], tbl_Filialy[Менеджер])</f>
        <v>Ирина Соколова</v>
      </c>
    </row>
    <row r="1952" spans="1:10" x14ac:dyDescent="0.3">
      <c r="A1952" t="str">
        <f>_xlfn.XLOOKUP(branches[[#This Row],[Филиал]], tbl_Filialy[Филиал], tbl_Filialy[Город])</f>
        <v>Москва</v>
      </c>
      <c r="B1952" s="1" t="s">
        <v>36</v>
      </c>
      <c r="C1952" s="2">
        <v>45798</v>
      </c>
      <c r="D1952" s="2" t="str">
        <f>CHOOSE(MONTH(branches[[#This Row],[Дата]]),"Январь","Февраль","Март","Апрель","Май","Июнь","Июль","Август","Сентябрь","Октябрь","Ноябрь","Декабрь")&amp;" "&amp;YEAR(branches[[#This Row],[Дата]])</f>
        <v>Май 2025</v>
      </c>
      <c r="E1952" t="s">
        <v>8</v>
      </c>
      <c r="F1952" t="s">
        <v>9</v>
      </c>
      <c r="G1952">
        <v>2</v>
      </c>
      <c r="H1952">
        <v>480</v>
      </c>
      <c r="I1952" t="s">
        <v>13</v>
      </c>
      <c r="J1952" t="str">
        <f>_xlfn.XLOOKUP(branches[[#This Row],[Филиал]], tbl_Filialy[Филиал], tbl_Filialy[Менеджер])</f>
        <v>Ирина Соколова</v>
      </c>
    </row>
    <row r="1953" spans="1:10" x14ac:dyDescent="0.3">
      <c r="A1953" t="str">
        <f>_xlfn.XLOOKUP(branches[[#This Row],[Филиал]], tbl_Filialy[Филиал], tbl_Filialy[Город])</f>
        <v>Москва</v>
      </c>
      <c r="B1953" s="1" t="s">
        <v>36</v>
      </c>
      <c r="C1953" s="2">
        <v>45820</v>
      </c>
      <c r="D1953" s="2" t="str">
        <f>CHOOSE(MONTH(branches[[#This Row],[Дата]]),"Январь","Февраль","Март","Апрель","Май","Июнь","Июль","Август","Сентябрь","Октябрь","Ноябрь","Декабрь")&amp;" "&amp;YEAR(branches[[#This Row],[Дата]])</f>
        <v>Июнь 2025</v>
      </c>
      <c r="E1953" t="s">
        <v>22</v>
      </c>
      <c r="F1953" t="s">
        <v>9</v>
      </c>
      <c r="G1953">
        <v>1</v>
      </c>
      <c r="H1953">
        <v>166</v>
      </c>
      <c r="I1953" t="s">
        <v>19</v>
      </c>
      <c r="J1953" t="str">
        <f>_xlfn.XLOOKUP(branches[[#This Row],[Филиал]], tbl_Filialy[Филиал], tbl_Filialy[Менеджер])</f>
        <v>Ирина Соколова</v>
      </c>
    </row>
    <row r="1954" spans="1:10" x14ac:dyDescent="0.3">
      <c r="A1954" t="str">
        <f>_xlfn.XLOOKUP(branches[[#This Row],[Филиал]], tbl_Filialy[Филиал], tbl_Filialy[Город])</f>
        <v>Москва</v>
      </c>
      <c r="B1954" s="1" t="s">
        <v>36</v>
      </c>
      <c r="C1954" s="2">
        <v>45904</v>
      </c>
      <c r="D1954" s="2" t="str">
        <f>CHOOSE(MONTH(branches[[#This Row],[Дата]]),"Январь","Февраль","Март","Апрель","Май","Июнь","Июль","Август","Сентябрь","Октябрь","Ноябрь","Декабрь")&amp;" "&amp;YEAR(branches[[#This Row],[Дата]])</f>
        <v>Сентябрь 2025</v>
      </c>
      <c r="E1954" t="s">
        <v>16</v>
      </c>
      <c r="F1954" t="s">
        <v>17</v>
      </c>
      <c r="G1954">
        <v>1</v>
      </c>
      <c r="H1954">
        <v>314</v>
      </c>
      <c r="I1954" t="s">
        <v>10</v>
      </c>
      <c r="J1954" t="str">
        <f>_xlfn.XLOOKUP(branches[[#This Row],[Филиал]], tbl_Filialy[Филиал], tbl_Filialy[Менеджер])</f>
        <v>Ирина Соколова</v>
      </c>
    </row>
    <row r="1955" spans="1:10" x14ac:dyDescent="0.3">
      <c r="A1955" t="str">
        <f>_xlfn.XLOOKUP(branches[[#This Row],[Филиал]], tbl_Filialy[Филиал], tbl_Filialy[Город])</f>
        <v>Москва</v>
      </c>
      <c r="B1955" s="1" t="s">
        <v>36</v>
      </c>
      <c r="C1955" s="2">
        <v>45710</v>
      </c>
      <c r="D1955" s="2" t="str">
        <f>CHOOSE(MONTH(branches[[#This Row],[Дата]]),"Январь","Февраль","Март","Апрель","Май","Июнь","Июль","Август","Сентябрь","Октябрь","Ноябрь","Декабрь")&amp;" "&amp;YEAR(branches[[#This Row],[Дата]])</f>
        <v>Февраль 2025</v>
      </c>
      <c r="E1955" t="s">
        <v>18</v>
      </c>
      <c r="F1955" t="s">
        <v>12</v>
      </c>
      <c r="G1955">
        <v>3</v>
      </c>
      <c r="H1955">
        <v>405</v>
      </c>
      <c r="I1955" t="s">
        <v>23</v>
      </c>
      <c r="J1955" t="str">
        <f>_xlfn.XLOOKUP(branches[[#This Row],[Филиал]], tbl_Filialy[Филиал], tbl_Filialy[Менеджер])</f>
        <v>Ирина Соколова</v>
      </c>
    </row>
    <row r="1956" spans="1:10" x14ac:dyDescent="0.3">
      <c r="A1956" t="str">
        <f>_xlfn.XLOOKUP(branches[[#This Row],[Филиал]], tbl_Filialy[Филиал], tbl_Filialy[Город])</f>
        <v>Москва</v>
      </c>
      <c r="B1956" s="1" t="s">
        <v>36</v>
      </c>
      <c r="C1956" s="2">
        <v>45826</v>
      </c>
      <c r="D1956" s="2" t="str">
        <f>CHOOSE(MONTH(branches[[#This Row],[Дата]]),"Январь","Февраль","Март","Апрель","Май","Июнь","Июль","Август","Сентябрь","Октябрь","Ноябрь","Декабрь")&amp;" "&amp;YEAR(branches[[#This Row],[Дата]])</f>
        <v>Июнь 2025</v>
      </c>
      <c r="E1956" t="s">
        <v>27</v>
      </c>
      <c r="F1956" t="s">
        <v>12</v>
      </c>
      <c r="G1956">
        <v>2</v>
      </c>
      <c r="H1956">
        <v>430</v>
      </c>
      <c r="I1956" t="s">
        <v>10</v>
      </c>
      <c r="J1956" t="str">
        <f>_xlfn.XLOOKUP(branches[[#This Row],[Филиал]], tbl_Filialy[Филиал], tbl_Filialy[Менеджер])</f>
        <v>Ирина Соколова</v>
      </c>
    </row>
    <row r="1957" spans="1:10" x14ac:dyDescent="0.3">
      <c r="A1957" t="str">
        <f>_xlfn.XLOOKUP(branches[[#This Row],[Филиал]], tbl_Filialy[Филиал], tbl_Filialy[Город])</f>
        <v>Москва</v>
      </c>
      <c r="B1957" s="1" t="s">
        <v>36</v>
      </c>
      <c r="C1957" s="2">
        <v>45994</v>
      </c>
      <c r="D1957" s="2" t="str">
        <f>CHOOSE(MONTH(branches[[#This Row],[Дата]]),"Январь","Февраль","Март","Апрель","Май","Июнь","Июль","Август","Сентябрь","Октябрь","Ноябрь","Декабрь")&amp;" "&amp;YEAR(branches[[#This Row],[Дата]])</f>
        <v>Декабрь 2025</v>
      </c>
      <c r="E1957" t="s">
        <v>11</v>
      </c>
      <c r="F1957" t="s">
        <v>12</v>
      </c>
      <c r="G1957">
        <v>3</v>
      </c>
      <c r="H1957">
        <v>477</v>
      </c>
      <c r="I1957" t="s">
        <v>13</v>
      </c>
      <c r="J1957" t="str">
        <f>_xlfn.XLOOKUP(branches[[#This Row],[Филиал]], tbl_Filialy[Филиал], tbl_Filialy[Менеджер])</f>
        <v>Ирина Соколова</v>
      </c>
    </row>
    <row r="1958" spans="1:10" x14ac:dyDescent="0.3">
      <c r="A1958" t="str">
        <f>_xlfn.XLOOKUP(branches[[#This Row],[Филиал]], tbl_Filialy[Филиал], tbl_Filialy[Город])</f>
        <v>Москва</v>
      </c>
      <c r="B1958" s="1" t="s">
        <v>36</v>
      </c>
      <c r="C1958" s="2">
        <v>45820</v>
      </c>
      <c r="D1958" s="2" t="str">
        <f>CHOOSE(MONTH(branches[[#This Row],[Дата]]),"Январь","Февраль","Март","Апрель","Май","Июнь","Июль","Август","Сентябрь","Октябрь","Ноябрь","Декабрь")&amp;" "&amp;YEAR(branches[[#This Row],[Дата]])</f>
        <v>Июнь 2025</v>
      </c>
      <c r="E1958" t="s">
        <v>27</v>
      </c>
      <c r="F1958" t="s">
        <v>12</v>
      </c>
      <c r="G1958">
        <v>1</v>
      </c>
      <c r="H1958">
        <v>180</v>
      </c>
      <c r="I1958" t="s">
        <v>21</v>
      </c>
      <c r="J1958" t="str">
        <f>_xlfn.XLOOKUP(branches[[#This Row],[Филиал]], tbl_Filialy[Филиал], tbl_Filialy[Менеджер])</f>
        <v>Ирина Соколова</v>
      </c>
    </row>
    <row r="1959" spans="1:10" x14ac:dyDescent="0.3">
      <c r="A1959" t="str">
        <f>_xlfn.XLOOKUP(branches[[#This Row],[Филиал]], tbl_Filialy[Филиал], tbl_Filialy[Город])</f>
        <v>Москва</v>
      </c>
      <c r="B1959" s="1" t="s">
        <v>36</v>
      </c>
      <c r="C1959" s="2">
        <v>45977</v>
      </c>
      <c r="D1959" s="2" t="str">
        <f>CHOOSE(MONTH(branches[[#This Row],[Дата]]),"Январь","Февраль","Март","Апрель","Май","Июнь","Июль","Август","Сентябрь","Октябрь","Ноябрь","Декабрь")&amp;" "&amp;YEAR(branches[[#This Row],[Дата]])</f>
        <v>Ноябрь 2025</v>
      </c>
      <c r="E1959" t="s">
        <v>24</v>
      </c>
      <c r="F1959" t="s">
        <v>17</v>
      </c>
      <c r="G1959">
        <v>1</v>
      </c>
      <c r="H1959">
        <v>413</v>
      </c>
      <c r="I1959" t="s">
        <v>21</v>
      </c>
      <c r="J1959" t="str">
        <f>_xlfn.XLOOKUP(branches[[#This Row],[Филиал]], tbl_Filialy[Филиал], tbl_Filialy[Менеджер])</f>
        <v>Ирина Соколова</v>
      </c>
    </row>
    <row r="1960" spans="1:10" x14ac:dyDescent="0.3">
      <c r="A1960" t="str">
        <f>_xlfn.XLOOKUP(branches[[#This Row],[Филиал]], tbl_Filialy[Филиал], tbl_Filialy[Город])</f>
        <v>Москва</v>
      </c>
      <c r="B1960" s="1" t="s">
        <v>36</v>
      </c>
      <c r="C1960" s="2">
        <v>45996</v>
      </c>
      <c r="D1960" s="2" t="str">
        <f>CHOOSE(MONTH(branches[[#This Row],[Дата]]),"Январь","Февраль","Март","Апрель","Май","Июнь","Июль","Август","Сентябрь","Октябрь","Ноябрь","Декабрь")&amp;" "&amp;YEAR(branches[[#This Row],[Дата]])</f>
        <v>Декабрь 2025</v>
      </c>
      <c r="E1960" t="s">
        <v>27</v>
      </c>
      <c r="F1960" t="s">
        <v>12</v>
      </c>
      <c r="G1960">
        <v>1</v>
      </c>
      <c r="H1960">
        <v>217</v>
      </c>
      <c r="I1960" t="s">
        <v>13</v>
      </c>
      <c r="J1960" t="str">
        <f>_xlfn.XLOOKUP(branches[[#This Row],[Филиал]], tbl_Filialy[Филиал], tbl_Filialy[Менеджер])</f>
        <v>Ирина Соколова</v>
      </c>
    </row>
    <row r="1961" spans="1:10" x14ac:dyDescent="0.3">
      <c r="A1961" t="str">
        <f>_xlfn.XLOOKUP(branches[[#This Row],[Филиал]], tbl_Filialy[Филиал], tbl_Filialy[Город])</f>
        <v>Москва</v>
      </c>
      <c r="B1961" s="1" t="s">
        <v>36</v>
      </c>
      <c r="C1961" s="2">
        <v>45909</v>
      </c>
      <c r="D1961" s="2" t="str">
        <f>CHOOSE(MONTH(branches[[#This Row],[Дата]]),"Январь","Февраль","Март","Апрель","Май","Июнь","Июль","Август","Сентябрь","Октябрь","Ноябрь","Декабрь")&amp;" "&amp;YEAR(branches[[#This Row],[Дата]])</f>
        <v>Сентябрь 2025</v>
      </c>
      <c r="E1961" t="s">
        <v>25</v>
      </c>
      <c r="F1961" t="s">
        <v>12</v>
      </c>
      <c r="G1961">
        <v>1</v>
      </c>
      <c r="H1961">
        <v>236</v>
      </c>
      <c r="I1961" t="s">
        <v>21</v>
      </c>
      <c r="J1961" t="str">
        <f>_xlfn.XLOOKUP(branches[[#This Row],[Филиал]], tbl_Filialy[Филиал], tbl_Filialy[Менеджер])</f>
        <v>Ирина Соколова</v>
      </c>
    </row>
    <row r="1962" spans="1:10" x14ac:dyDescent="0.3">
      <c r="A1962" t="str">
        <f>_xlfn.XLOOKUP(branches[[#This Row],[Филиал]], tbl_Filialy[Филиал], tbl_Filialy[Город])</f>
        <v>Москва</v>
      </c>
      <c r="B1962" s="1" t="s">
        <v>36</v>
      </c>
      <c r="C1962" s="2">
        <v>45894</v>
      </c>
      <c r="D1962" s="2" t="str">
        <f>CHOOSE(MONTH(branches[[#This Row],[Дата]]),"Январь","Февраль","Март","Апрель","Май","Июнь","Июль","Август","Сентябрь","Октябрь","Ноябрь","Декабрь")&amp;" "&amp;YEAR(branches[[#This Row],[Дата]])</f>
        <v>Август 2025</v>
      </c>
      <c r="E1962" t="s">
        <v>11</v>
      </c>
      <c r="F1962" t="s">
        <v>12</v>
      </c>
      <c r="G1962">
        <v>1</v>
      </c>
      <c r="H1962">
        <v>189</v>
      </c>
      <c r="I1962" t="s">
        <v>19</v>
      </c>
      <c r="J1962" t="str">
        <f>_xlfn.XLOOKUP(branches[[#This Row],[Филиал]], tbl_Filialy[Филиал], tbl_Filialy[Менеджер])</f>
        <v>Ирина Соколова</v>
      </c>
    </row>
    <row r="1963" spans="1:10" x14ac:dyDescent="0.3">
      <c r="A1963" t="str">
        <f>_xlfn.XLOOKUP(branches[[#This Row],[Филиал]], tbl_Filialy[Филиал], tbl_Filialy[Город])</f>
        <v>Москва</v>
      </c>
      <c r="B1963" s="1" t="s">
        <v>36</v>
      </c>
      <c r="C1963" s="2">
        <v>45682</v>
      </c>
      <c r="D1963" s="2" t="str">
        <f>CHOOSE(MONTH(branches[[#This Row],[Дата]]),"Январь","Февраль","Март","Апрель","Май","Июнь","Июль","Август","Сентябрь","Октябрь","Ноябрь","Декабрь")&amp;" "&amp;YEAR(branches[[#This Row],[Дата]])</f>
        <v>Январь 2025</v>
      </c>
      <c r="E1963" t="s">
        <v>27</v>
      </c>
      <c r="F1963" t="s">
        <v>12</v>
      </c>
      <c r="G1963">
        <v>3</v>
      </c>
      <c r="H1963">
        <v>582</v>
      </c>
      <c r="I1963" t="s">
        <v>10</v>
      </c>
      <c r="J1963" t="str">
        <f>_xlfn.XLOOKUP(branches[[#This Row],[Филиал]], tbl_Filialy[Филиал], tbl_Filialy[Менеджер])</f>
        <v>Ирина Соколова</v>
      </c>
    </row>
    <row r="1964" spans="1:10" x14ac:dyDescent="0.3">
      <c r="A1964" t="str">
        <f>_xlfn.XLOOKUP(branches[[#This Row],[Филиал]], tbl_Filialy[Филиал], tbl_Filialy[Город])</f>
        <v>Москва</v>
      </c>
      <c r="B1964" s="1" t="s">
        <v>36</v>
      </c>
      <c r="C1964" s="2">
        <v>45950</v>
      </c>
      <c r="D1964" s="2" t="str">
        <f>CHOOSE(MONTH(branches[[#This Row],[Дата]]),"Январь","Февраль","Март","Апрель","Май","Июнь","Июль","Август","Сентябрь","Октябрь","Ноябрь","Декабрь")&amp;" "&amp;YEAR(branches[[#This Row],[Дата]])</f>
        <v>Октябрь 2025</v>
      </c>
      <c r="E1964" t="s">
        <v>8</v>
      </c>
      <c r="F1964" t="s">
        <v>9</v>
      </c>
      <c r="G1964">
        <v>3</v>
      </c>
      <c r="H1964">
        <v>798</v>
      </c>
      <c r="I1964" t="s">
        <v>15</v>
      </c>
      <c r="J1964" t="str">
        <f>_xlfn.XLOOKUP(branches[[#This Row],[Филиал]], tbl_Filialy[Филиал], tbl_Filialy[Менеджер])</f>
        <v>Ирина Соколова</v>
      </c>
    </row>
    <row r="1965" spans="1:10" x14ac:dyDescent="0.3">
      <c r="A1965" t="str">
        <f>_xlfn.XLOOKUP(branches[[#This Row],[Филиал]], tbl_Filialy[Филиал], tbl_Filialy[Город])</f>
        <v>Москва</v>
      </c>
      <c r="B1965" s="1" t="s">
        <v>36</v>
      </c>
      <c r="C1965" s="2">
        <v>45923</v>
      </c>
      <c r="D1965" s="2" t="str">
        <f>CHOOSE(MONTH(branches[[#This Row],[Дата]]),"Январь","Февраль","Март","Апрель","Май","Июнь","Июль","Август","Сентябрь","Октябрь","Ноябрь","Декабрь")&amp;" "&amp;YEAR(branches[[#This Row],[Дата]])</f>
        <v>Сентябрь 2025</v>
      </c>
      <c r="E1965" t="s">
        <v>24</v>
      </c>
      <c r="F1965" t="s">
        <v>17</v>
      </c>
      <c r="G1965">
        <v>2</v>
      </c>
      <c r="H1965">
        <v>712</v>
      </c>
      <c r="I1965" t="s">
        <v>15</v>
      </c>
      <c r="J1965" t="str">
        <f>_xlfn.XLOOKUP(branches[[#This Row],[Филиал]], tbl_Filialy[Филиал], tbl_Filialy[Менеджер])</f>
        <v>Ирина Соколова</v>
      </c>
    </row>
    <row r="1966" spans="1:10" x14ac:dyDescent="0.3">
      <c r="A1966" t="str">
        <f>_xlfn.XLOOKUP(branches[[#This Row],[Филиал]], tbl_Filialy[Филиал], tbl_Filialy[Город])</f>
        <v>Москва</v>
      </c>
      <c r="B1966" s="1" t="s">
        <v>36</v>
      </c>
      <c r="C1966" s="2">
        <v>45963</v>
      </c>
      <c r="D1966" s="2" t="str">
        <f>CHOOSE(MONTH(branches[[#This Row],[Дата]]),"Январь","Февраль","Март","Апрель","Май","Июнь","Июль","Август","Сентябрь","Октябрь","Ноябрь","Декабрь")&amp;" "&amp;YEAR(branches[[#This Row],[Дата]])</f>
        <v>Ноябрь 2025</v>
      </c>
      <c r="E1966" t="s">
        <v>11</v>
      </c>
      <c r="F1966" t="s">
        <v>12</v>
      </c>
      <c r="G1966">
        <v>3</v>
      </c>
      <c r="H1966">
        <v>489</v>
      </c>
      <c r="I1966" t="s">
        <v>23</v>
      </c>
      <c r="J1966" t="str">
        <f>_xlfn.XLOOKUP(branches[[#This Row],[Филиал]], tbl_Filialy[Филиал], tbl_Filialy[Менеджер])</f>
        <v>Ирина Соколова</v>
      </c>
    </row>
    <row r="1967" spans="1:10" x14ac:dyDescent="0.3">
      <c r="A1967" t="str">
        <f>_xlfn.XLOOKUP(branches[[#This Row],[Филиал]], tbl_Filialy[Филиал], tbl_Filialy[Город])</f>
        <v>Москва</v>
      </c>
      <c r="B1967" s="1" t="s">
        <v>36</v>
      </c>
      <c r="C1967" s="2">
        <v>45676</v>
      </c>
      <c r="D1967" s="2" t="str">
        <f>CHOOSE(MONTH(branches[[#This Row],[Дата]]),"Январь","Февраль","Март","Апрель","Май","Июнь","Июль","Август","Сентябрь","Октябрь","Ноябрь","Декабрь")&amp;" "&amp;YEAR(branches[[#This Row],[Дата]])</f>
        <v>Январь 2025</v>
      </c>
      <c r="E1967" t="s">
        <v>18</v>
      </c>
      <c r="F1967" t="s">
        <v>12</v>
      </c>
      <c r="G1967">
        <v>1</v>
      </c>
      <c r="H1967">
        <v>135</v>
      </c>
      <c r="I1967" t="s">
        <v>23</v>
      </c>
      <c r="J1967" t="str">
        <f>_xlfn.XLOOKUP(branches[[#This Row],[Филиал]], tbl_Filialy[Филиал], tbl_Filialy[Менеджер])</f>
        <v>Ирина Соколова</v>
      </c>
    </row>
    <row r="1968" spans="1:10" x14ac:dyDescent="0.3">
      <c r="A1968" t="str">
        <f>_xlfn.XLOOKUP(branches[[#This Row],[Филиал]], tbl_Filialy[Филиал], tbl_Filialy[Город])</f>
        <v>Москва</v>
      </c>
      <c r="B1968" s="1" t="s">
        <v>36</v>
      </c>
      <c r="C1968" s="2">
        <v>45970</v>
      </c>
      <c r="D1968" s="2" t="str">
        <f>CHOOSE(MONTH(branches[[#This Row],[Дата]]),"Январь","Февраль","Март","Апрель","Май","Июнь","Июль","Август","Сентябрь","Октябрь","Ноябрь","Декабрь")&amp;" "&amp;YEAR(branches[[#This Row],[Дата]])</f>
        <v>Ноябрь 2025</v>
      </c>
      <c r="E1968" t="s">
        <v>14</v>
      </c>
      <c r="F1968" t="s">
        <v>12</v>
      </c>
      <c r="G1968">
        <v>2</v>
      </c>
      <c r="H1968">
        <v>548</v>
      </c>
      <c r="I1968" t="s">
        <v>21</v>
      </c>
      <c r="J1968" t="str">
        <f>_xlfn.XLOOKUP(branches[[#This Row],[Филиал]], tbl_Filialy[Филиал], tbl_Filialy[Менеджер])</f>
        <v>Ирина Соколова</v>
      </c>
    </row>
    <row r="1969" spans="1:10" x14ac:dyDescent="0.3">
      <c r="A1969" t="str">
        <f>_xlfn.XLOOKUP(branches[[#This Row],[Филиал]], tbl_Filialy[Филиал], tbl_Filialy[Город])</f>
        <v>Москва</v>
      </c>
      <c r="B1969" s="1" t="s">
        <v>36</v>
      </c>
      <c r="C1969" s="2">
        <v>45785</v>
      </c>
      <c r="D1969" s="2" t="str">
        <f>CHOOSE(MONTH(branches[[#This Row],[Дата]]),"Январь","Февраль","Март","Апрель","Май","Июнь","Июль","Август","Сентябрь","Октябрь","Ноябрь","Декабрь")&amp;" "&amp;YEAR(branches[[#This Row],[Дата]])</f>
        <v>Май 2025</v>
      </c>
      <c r="E1969" t="s">
        <v>25</v>
      </c>
      <c r="F1969" t="s">
        <v>12</v>
      </c>
      <c r="G1969">
        <v>2</v>
      </c>
      <c r="H1969">
        <v>402</v>
      </c>
      <c r="I1969" t="s">
        <v>15</v>
      </c>
      <c r="J1969" t="str">
        <f>_xlfn.XLOOKUP(branches[[#This Row],[Филиал]], tbl_Filialy[Филиал], tbl_Filialy[Менеджер])</f>
        <v>Ирина Соколова</v>
      </c>
    </row>
    <row r="1970" spans="1:10" x14ac:dyDescent="0.3">
      <c r="A1970" t="str">
        <f>_xlfn.XLOOKUP(branches[[#This Row],[Филиал]], tbl_Filialy[Филиал], tbl_Filialy[Город])</f>
        <v>Москва</v>
      </c>
      <c r="B1970" s="1" t="s">
        <v>36</v>
      </c>
      <c r="C1970" s="2">
        <v>45933</v>
      </c>
      <c r="D1970" s="2" t="str">
        <f>CHOOSE(MONTH(branches[[#This Row],[Дата]]),"Январь","Февраль","Март","Апрель","Май","Июнь","Июль","Август","Сентябрь","Октябрь","Ноябрь","Декабрь")&amp;" "&amp;YEAR(branches[[#This Row],[Дата]])</f>
        <v>Октябрь 2025</v>
      </c>
      <c r="E1970" t="s">
        <v>20</v>
      </c>
      <c r="F1970" t="s">
        <v>12</v>
      </c>
      <c r="G1970">
        <v>2</v>
      </c>
      <c r="H1970">
        <v>562</v>
      </c>
      <c r="I1970" t="s">
        <v>15</v>
      </c>
      <c r="J1970" t="str">
        <f>_xlfn.XLOOKUP(branches[[#This Row],[Филиал]], tbl_Filialy[Филиал], tbl_Filialy[Менеджер])</f>
        <v>Ирина Соколова</v>
      </c>
    </row>
    <row r="1971" spans="1:10" x14ac:dyDescent="0.3">
      <c r="A1971" t="str">
        <f>_xlfn.XLOOKUP(branches[[#This Row],[Филиал]], tbl_Filialy[Филиал], tbl_Filialy[Город])</f>
        <v>Москва</v>
      </c>
      <c r="B1971" s="1" t="s">
        <v>36</v>
      </c>
      <c r="C1971" s="2">
        <v>45664</v>
      </c>
      <c r="D1971" s="2" t="str">
        <f>CHOOSE(MONTH(branches[[#This Row],[Дата]]),"Январь","Февраль","Март","Апрель","Май","Июнь","Июль","Август","Сентябрь","Октябрь","Ноябрь","Декабрь")&amp;" "&amp;YEAR(branches[[#This Row],[Дата]])</f>
        <v>Январь 2025</v>
      </c>
      <c r="E1971" t="s">
        <v>28</v>
      </c>
      <c r="F1971" t="s">
        <v>12</v>
      </c>
      <c r="G1971">
        <v>1</v>
      </c>
      <c r="H1971">
        <v>212</v>
      </c>
      <c r="I1971" t="s">
        <v>19</v>
      </c>
      <c r="J1971" t="str">
        <f>_xlfn.XLOOKUP(branches[[#This Row],[Филиал]], tbl_Filialy[Филиал], tbl_Filialy[Менеджер])</f>
        <v>Ирина Соколова</v>
      </c>
    </row>
    <row r="1972" spans="1:10" x14ac:dyDescent="0.3">
      <c r="A1972" t="str">
        <f>_xlfn.XLOOKUP(branches[[#This Row],[Филиал]], tbl_Filialy[Филиал], tbl_Filialy[Город])</f>
        <v>Москва</v>
      </c>
      <c r="B1972" s="1" t="s">
        <v>36</v>
      </c>
      <c r="C1972" s="2">
        <v>45785</v>
      </c>
      <c r="D1972" s="2" t="str">
        <f>CHOOSE(MONTH(branches[[#This Row],[Дата]]),"Январь","Февраль","Март","Апрель","Май","Июнь","Июль","Август","Сентябрь","Октябрь","Ноябрь","Декабрь")&amp;" "&amp;YEAR(branches[[#This Row],[Дата]])</f>
        <v>Май 2025</v>
      </c>
      <c r="E1972" t="s">
        <v>28</v>
      </c>
      <c r="F1972" t="s">
        <v>12</v>
      </c>
      <c r="G1972">
        <v>1</v>
      </c>
      <c r="H1972">
        <v>248</v>
      </c>
      <c r="I1972" t="s">
        <v>13</v>
      </c>
      <c r="J1972" t="str">
        <f>_xlfn.XLOOKUP(branches[[#This Row],[Филиал]], tbl_Filialy[Филиал], tbl_Filialy[Менеджер])</f>
        <v>Ирина Соколова</v>
      </c>
    </row>
    <row r="1973" spans="1:10" x14ac:dyDescent="0.3">
      <c r="A1973" t="str">
        <f>_xlfn.XLOOKUP(branches[[#This Row],[Филиал]], tbl_Filialy[Филиал], tbl_Filialy[Город])</f>
        <v>Москва</v>
      </c>
      <c r="B1973" s="1" t="s">
        <v>36</v>
      </c>
      <c r="C1973" s="2">
        <v>45889</v>
      </c>
      <c r="D1973" s="2" t="str">
        <f>CHOOSE(MONTH(branches[[#This Row],[Дата]]),"Январь","Февраль","Март","Апрель","Май","Июнь","Июль","Август","Сентябрь","Октябрь","Ноябрь","Декабрь")&amp;" "&amp;YEAR(branches[[#This Row],[Дата]])</f>
        <v>Август 2025</v>
      </c>
      <c r="E1973" t="s">
        <v>24</v>
      </c>
      <c r="F1973" t="s">
        <v>17</v>
      </c>
      <c r="G1973">
        <v>1</v>
      </c>
      <c r="H1973">
        <v>391</v>
      </c>
      <c r="I1973" t="s">
        <v>10</v>
      </c>
      <c r="J1973" t="str">
        <f>_xlfn.XLOOKUP(branches[[#This Row],[Филиал]], tbl_Filialy[Филиал], tbl_Filialy[Менеджер])</f>
        <v>Ирина Соколова</v>
      </c>
    </row>
    <row r="1974" spans="1:10" x14ac:dyDescent="0.3">
      <c r="A1974" t="str">
        <f>_xlfn.XLOOKUP(branches[[#This Row],[Филиал]], tbl_Filialy[Филиал], tbl_Filialy[Город])</f>
        <v>Москва</v>
      </c>
      <c r="B1974" s="1" t="s">
        <v>36</v>
      </c>
      <c r="C1974" s="2">
        <v>45957</v>
      </c>
      <c r="D1974" s="2" t="str">
        <f>CHOOSE(MONTH(branches[[#This Row],[Дата]]),"Январь","Февраль","Март","Апрель","Май","Июнь","Июль","Август","Сентябрь","Октябрь","Ноябрь","Декабрь")&amp;" "&amp;YEAR(branches[[#This Row],[Дата]])</f>
        <v>Октябрь 2025</v>
      </c>
      <c r="E1974" t="s">
        <v>20</v>
      </c>
      <c r="F1974" t="s">
        <v>12</v>
      </c>
      <c r="G1974">
        <v>2</v>
      </c>
      <c r="H1974">
        <v>500</v>
      </c>
      <c r="I1974" t="s">
        <v>23</v>
      </c>
      <c r="J1974" t="str">
        <f>_xlfn.XLOOKUP(branches[[#This Row],[Филиал]], tbl_Filialy[Филиал], tbl_Filialy[Менеджер])</f>
        <v>Ирина Соколова</v>
      </c>
    </row>
    <row r="1975" spans="1:10" x14ac:dyDescent="0.3">
      <c r="A1975" t="str">
        <f>_xlfn.XLOOKUP(branches[[#This Row],[Филиал]], tbl_Filialy[Филиал], tbl_Filialy[Город])</f>
        <v>Москва</v>
      </c>
      <c r="B1975" s="1" t="s">
        <v>36</v>
      </c>
      <c r="C1975" s="2">
        <v>45812</v>
      </c>
      <c r="D1975" s="2" t="str">
        <f>CHOOSE(MONTH(branches[[#This Row],[Дата]]),"Январь","Февраль","Март","Апрель","Май","Июнь","Июль","Август","Сентябрь","Октябрь","Ноябрь","Декабрь")&amp;" "&amp;YEAR(branches[[#This Row],[Дата]])</f>
        <v>Июнь 2025</v>
      </c>
      <c r="E1975" t="s">
        <v>24</v>
      </c>
      <c r="F1975" t="s">
        <v>17</v>
      </c>
      <c r="G1975">
        <v>2</v>
      </c>
      <c r="H1975">
        <v>804</v>
      </c>
      <c r="I1975" t="s">
        <v>13</v>
      </c>
      <c r="J1975" t="str">
        <f>_xlfn.XLOOKUP(branches[[#This Row],[Филиал]], tbl_Filialy[Филиал], tbl_Filialy[Менеджер])</f>
        <v>Ирина Соколова</v>
      </c>
    </row>
    <row r="1976" spans="1:10" x14ac:dyDescent="0.3">
      <c r="A1976" t="str">
        <f>_xlfn.XLOOKUP(branches[[#This Row],[Филиал]], tbl_Filialy[Филиал], tbl_Filialy[Город])</f>
        <v>Москва</v>
      </c>
      <c r="B1976" s="1" t="s">
        <v>36</v>
      </c>
      <c r="C1976" s="2">
        <v>46010</v>
      </c>
      <c r="D1976" s="2" t="str">
        <f>CHOOSE(MONTH(branches[[#This Row],[Дата]]),"Январь","Февраль","Март","Апрель","Май","Июнь","Июль","Август","Сентябрь","Октябрь","Ноябрь","Декабрь")&amp;" "&amp;YEAR(branches[[#This Row],[Дата]])</f>
        <v>Декабрь 2025</v>
      </c>
      <c r="E1976" t="s">
        <v>20</v>
      </c>
      <c r="F1976" t="s">
        <v>12</v>
      </c>
      <c r="G1976">
        <v>1</v>
      </c>
      <c r="H1976">
        <v>293</v>
      </c>
      <c r="I1976" t="s">
        <v>21</v>
      </c>
      <c r="J1976" t="str">
        <f>_xlfn.XLOOKUP(branches[[#This Row],[Филиал]], tbl_Filialy[Филиал], tbl_Filialy[Менеджер])</f>
        <v>Ирина Соколова</v>
      </c>
    </row>
    <row r="1977" spans="1:10" x14ac:dyDescent="0.3">
      <c r="A1977" t="str">
        <f>_xlfn.XLOOKUP(branches[[#This Row],[Филиал]], tbl_Filialy[Филиал], tbl_Filialy[Город])</f>
        <v>Москва</v>
      </c>
      <c r="B1977" s="1" t="s">
        <v>36</v>
      </c>
      <c r="C1977" s="2">
        <v>45778</v>
      </c>
      <c r="D1977" s="2" t="str">
        <f>CHOOSE(MONTH(branches[[#This Row],[Дата]]),"Январь","Февраль","Март","Апрель","Май","Июнь","Июль","Август","Сентябрь","Октябрь","Ноябрь","Декабрь")&amp;" "&amp;YEAR(branches[[#This Row],[Дата]])</f>
        <v>Май 2025</v>
      </c>
      <c r="E1977" t="s">
        <v>16</v>
      </c>
      <c r="F1977" t="s">
        <v>17</v>
      </c>
      <c r="G1977">
        <v>2</v>
      </c>
      <c r="H1977">
        <v>630</v>
      </c>
      <c r="I1977" t="s">
        <v>19</v>
      </c>
      <c r="J1977" t="str">
        <f>_xlfn.XLOOKUP(branches[[#This Row],[Филиал]], tbl_Filialy[Филиал], tbl_Filialy[Менеджер])</f>
        <v>Ирина Соколова</v>
      </c>
    </row>
    <row r="1978" spans="1:10" x14ac:dyDescent="0.3">
      <c r="A1978" t="str">
        <f>_xlfn.XLOOKUP(branches[[#This Row],[Филиал]], tbl_Filialy[Филиал], tbl_Filialy[Город])</f>
        <v>Москва</v>
      </c>
      <c r="B1978" s="1" t="s">
        <v>36</v>
      </c>
      <c r="C1978" s="2">
        <v>45755</v>
      </c>
      <c r="D1978" s="2" t="str">
        <f>CHOOSE(MONTH(branches[[#This Row],[Дата]]),"Январь","Февраль","Март","Апрель","Май","Июнь","Июль","Август","Сентябрь","Октябрь","Ноябрь","Декабрь")&amp;" "&amp;YEAR(branches[[#This Row],[Дата]])</f>
        <v>Апрель 2025</v>
      </c>
      <c r="E1978" t="s">
        <v>16</v>
      </c>
      <c r="F1978" t="s">
        <v>17</v>
      </c>
      <c r="G1978">
        <v>1</v>
      </c>
      <c r="H1978">
        <v>300</v>
      </c>
      <c r="I1978" t="s">
        <v>21</v>
      </c>
      <c r="J1978" t="str">
        <f>_xlfn.XLOOKUP(branches[[#This Row],[Филиал]], tbl_Filialy[Филиал], tbl_Filialy[Менеджер])</f>
        <v>Ирина Соколова</v>
      </c>
    </row>
    <row r="1979" spans="1:10" x14ac:dyDescent="0.3">
      <c r="A1979" t="str">
        <f>_xlfn.XLOOKUP(branches[[#This Row],[Филиал]], tbl_Filialy[Филиал], tbl_Filialy[Город])</f>
        <v>Москва</v>
      </c>
      <c r="B1979" s="1" t="s">
        <v>36</v>
      </c>
      <c r="C1979" s="2">
        <v>45725</v>
      </c>
      <c r="D1979" s="2" t="str">
        <f>CHOOSE(MONTH(branches[[#This Row],[Дата]]),"Январь","Февраль","Март","Апрель","Май","Июнь","Июль","Август","Сентябрь","Октябрь","Ноябрь","Декабрь")&amp;" "&amp;YEAR(branches[[#This Row],[Дата]])</f>
        <v>Март 2025</v>
      </c>
      <c r="E1979" t="s">
        <v>22</v>
      </c>
      <c r="F1979" t="s">
        <v>9</v>
      </c>
      <c r="G1979">
        <v>1</v>
      </c>
      <c r="H1979">
        <v>179</v>
      </c>
      <c r="I1979" t="s">
        <v>21</v>
      </c>
      <c r="J1979" t="str">
        <f>_xlfn.XLOOKUP(branches[[#This Row],[Филиал]], tbl_Filialy[Филиал], tbl_Filialy[Менеджер])</f>
        <v>Ирина Соколова</v>
      </c>
    </row>
    <row r="1980" spans="1:10" x14ac:dyDescent="0.3">
      <c r="A1980" t="str">
        <f>_xlfn.XLOOKUP(branches[[#This Row],[Филиал]], tbl_Filialy[Филиал], tbl_Filialy[Город])</f>
        <v>Москва</v>
      </c>
      <c r="B1980" s="1" t="s">
        <v>36</v>
      </c>
      <c r="C1980" s="2">
        <v>45775</v>
      </c>
      <c r="D1980" s="2" t="str">
        <f>CHOOSE(MONTH(branches[[#This Row],[Дата]]),"Январь","Февраль","Март","Апрель","Май","Июнь","Июль","Август","Сентябрь","Октябрь","Ноябрь","Декабрь")&amp;" "&amp;YEAR(branches[[#This Row],[Дата]])</f>
        <v>Апрель 2025</v>
      </c>
      <c r="E1980" t="s">
        <v>24</v>
      </c>
      <c r="F1980" t="s">
        <v>17</v>
      </c>
      <c r="G1980">
        <v>1</v>
      </c>
      <c r="H1980">
        <v>424</v>
      </c>
      <c r="I1980" t="s">
        <v>15</v>
      </c>
      <c r="J1980" t="str">
        <f>_xlfn.XLOOKUP(branches[[#This Row],[Филиал]], tbl_Filialy[Филиал], tbl_Filialy[Менеджер])</f>
        <v>Ирина Соколова</v>
      </c>
    </row>
    <row r="1981" spans="1:10" x14ac:dyDescent="0.3">
      <c r="A1981" t="str">
        <f>_xlfn.XLOOKUP(branches[[#This Row],[Филиал]], tbl_Filialy[Филиал], tbl_Filialy[Город])</f>
        <v>Москва</v>
      </c>
      <c r="B1981" s="1" t="s">
        <v>36</v>
      </c>
      <c r="C1981" s="2">
        <v>45698</v>
      </c>
      <c r="D1981" s="2" t="str">
        <f>CHOOSE(MONTH(branches[[#This Row],[Дата]]),"Январь","Февраль","Март","Апрель","Май","Июнь","Июль","Август","Сентябрь","Октябрь","Ноябрь","Декабрь")&amp;" "&amp;YEAR(branches[[#This Row],[Дата]])</f>
        <v>Февраль 2025</v>
      </c>
      <c r="E1981" t="s">
        <v>8</v>
      </c>
      <c r="F1981" t="s">
        <v>9</v>
      </c>
      <c r="G1981">
        <v>1</v>
      </c>
      <c r="H1981">
        <v>237</v>
      </c>
      <c r="I1981" t="s">
        <v>19</v>
      </c>
      <c r="J1981" t="str">
        <f>_xlfn.XLOOKUP(branches[[#This Row],[Филиал]], tbl_Filialy[Филиал], tbl_Filialy[Менеджер])</f>
        <v>Ирина Соколова</v>
      </c>
    </row>
    <row r="1982" spans="1:10" x14ac:dyDescent="0.3">
      <c r="A1982" t="str">
        <f>_xlfn.XLOOKUP(branches[[#This Row],[Филиал]], tbl_Filialy[Филиал], tbl_Filialy[Город])</f>
        <v>Москва</v>
      </c>
      <c r="B1982" s="1" t="s">
        <v>36</v>
      </c>
      <c r="C1982" s="2">
        <v>45663</v>
      </c>
      <c r="D1982" s="2" t="str">
        <f>CHOOSE(MONTH(branches[[#This Row],[Дата]]),"Январь","Февраль","Март","Апрель","Май","Июнь","Июль","Август","Сентябрь","Октябрь","Ноябрь","Декабрь")&amp;" "&amp;YEAR(branches[[#This Row],[Дата]])</f>
        <v>Январь 2025</v>
      </c>
      <c r="E1982" t="s">
        <v>22</v>
      </c>
      <c r="F1982" t="s">
        <v>9</v>
      </c>
      <c r="G1982">
        <v>2</v>
      </c>
      <c r="H1982">
        <v>386</v>
      </c>
      <c r="I1982" t="s">
        <v>23</v>
      </c>
      <c r="J1982" t="str">
        <f>_xlfn.XLOOKUP(branches[[#This Row],[Филиал]], tbl_Filialy[Филиал], tbl_Filialy[Менеджер])</f>
        <v>Ирина Соколова</v>
      </c>
    </row>
    <row r="1983" spans="1:10" x14ac:dyDescent="0.3">
      <c r="A1983" t="str">
        <f>_xlfn.XLOOKUP(branches[[#This Row],[Филиал]], tbl_Filialy[Филиал], tbl_Filialy[Город])</f>
        <v>Москва</v>
      </c>
      <c r="B1983" s="1" t="s">
        <v>36</v>
      </c>
      <c r="C1983" s="2">
        <v>45916</v>
      </c>
      <c r="D1983" s="2" t="str">
        <f>CHOOSE(MONTH(branches[[#This Row],[Дата]]),"Январь","Февраль","Март","Апрель","Май","Июнь","Июль","Август","Сентябрь","Октябрь","Ноябрь","Декабрь")&amp;" "&amp;YEAR(branches[[#This Row],[Дата]])</f>
        <v>Сентябрь 2025</v>
      </c>
      <c r="E1983" t="s">
        <v>27</v>
      </c>
      <c r="F1983" t="s">
        <v>12</v>
      </c>
      <c r="G1983">
        <v>3</v>
      </c>
      <c r="H1983">
        <v>573</v>
      </c>
      <c r="I1983" t="s">
        <v>19</v>
      </c>
      <c r="J1983" t="str">
        <f>_xlfn.XLOOKUP(branches[[#This Row],[Филиал]], tbl_Filialy[Филиал], tbl_Filialy[Менеджер])</f>
        <v>Ирина Соколова</v>
      </c>
    </row>
    <row r="1984" spans="1:10" x14ac:dyDescent="0.3">
      <c r="A1984" t="str">
        <f>_xlfn.XLOOKUP(branches[[#This Row],[Филиал]], tbl_Filialy[Филиал], tbl_Filialy[Город])</f>
        <v>Москва</v>
      </c>
      <c r="B1984" s="1" t="s">
        <v>36</v>
      </c>
      <c r="C1984" s="2">
        <v>45803</v>
      </c>
      <c r="D1984" s="2" t="str">
        <f>CHOOSE(MONTH(branches[[#This Row],[Дата]]),"Январь","Февраль","Март","Апрель","Май","Июнь","Июль","Август","Сентябрь","Октябрь","Ноябрь","Декабрь")&amp;" "&amp;YEAR(branches[[#This Row],[Дата]])</f>
        <v>Май 2025</v>
      </c>
      <c r="E1984" t="s">
        <v>25</v>
      </c>
      <c r="F1984" t="s">
        <v>12</v>
      </c>
      <c r="G1984">
        <v>2</v>
      </c>
      <c r="H1984">
        <v>474</v>
      </c>
      <c r="I1984" t="s">
        <v>13</v>
      </c>
      <c r="J1984" t="str">
        <f>_xlfn.XLOOKUP(branches[[#This Row],[Филиал]], tbl_Filialy[Филиал], tbl_Filialy[Менеджер])</f>
        <v>Ирина Соколова</v>
      </c>
    </row>
    <row r="1985" spans="1:10" x14ac:dyDescent="0.3">
      <c r="A1985" t="str">
        <f>_xlfn.XLOOKUP(branches[[#This Row],[Филиал]], tbl_Filialy[Филиал], tbl_Filialy[Город])</f>
        <v>Москва</v>
      </c>
      <c r="B1985" s="1" t="s">
        <v>36</v>
      </c>
      <c r="C1985" s="2">
        <v>45732</v>
      </c>
      <c r="D1985" s="2" t="str">
        <f>CHOOSE(MONTH(branches[[#This Row],[Дата]]),"Январь","Февраль","Март","Апрель","Май","Июнь","Июль","Август","Сентябрь","Октябрь","Ноябрь","Декабрь")&amp;" "&amp;YEAR(branches[[#This Row],[Дата]])</f>
        <v>Март 2025</v>
      </c>
      <c r="E1985" t="s">
        <v>22</v>
      </c>
      <c r="F1985" t="s">
        <v>9</v>
      </c>
      <c r="G1985">
        <v>1</v>
      </c>
      <c r="H1985">
        <v>171</v>
      </c>
      <c r="I1985" t="s">
        <v>21</v>
      </c>
      <c r="J1985" t="str">
        <f>_xlfn.XLOOKUP(branches[[#This Row],[Филиал]], tbl_Filialy[Филиал], tbl_Filialy[Менеджер])</f>
        <v>Ирина Соколова</v>
      </c>
    </row>
    <row r="1986" spans="1:10" x14ac:dyDescent="0.3">
      <c r="A1986" t="str">
        <f>_xlfn.XLOOKUP(branches[[#This Row],[Филиал]], tbl_Filialy[Филиал], tbl_Filialy[Город])</f>
        <v>Москва</v>
      </c>
      <c r="B1986" s="1" t="s">
        <v>36</v>
      </c>
      <c r="C1986" s="2">
        <v>45673</v>
      </c>
      <c r="D1986" s="2" t="str">
        <f>CHOOSE(MONTH(branches[[#This Row],[Дата]]),"Январь","Февраль","Март","Апрель","Май","Июнь","Июль","Август","Сентябрь","Октябрь","Ноябрь","Декабрь")&amp;" "&amp;YEAR(branches[[#This Row],[Дата]])</f>
        <v>Январь 2025</v>
      </c>
      <c r="E1986" t="s">
        <v>18</v>
      </c>
      <c r="F1986" t="s">
        <v>12</v>
      </c>
      <c r="G1986">
        <v>1</v>
      </c>
      <c r="H1986">
        <v>146</v>
      </c>
      <c r="I1986" t="s">
        <v>15</v>
      </c>
      <c r="J1986" t="str">
        <f>_xlfn.XLOOKUP(branches[[#This Row],[Филиал]], tbl_Filialy[Филиал], tbl_Filialy[Менеджер])</f>
        <v>Ирина Соколова</v>
      </c>
    </row>
    <row r="1987" spans="1:10" x14ac:dyDescent="0.3">
      <c r="A1987" t="str">
        <f>_xlfn.XLOOKUP(branches[[#This Row],[Филиал]], tbl_Filialy[Филиал], tbl_Filialy[Город])</f>
        <v>Москва</v>
      </c>
      <c r="B1987" s="1" t="s">
        <v>36</v>
      </c>
      <c r="C1987" s="2">
        <v>46011</v>
      </c>
      <c r="D1987" s="2" t="str">
        <f>CHOOSE(MONTH(branches[[#This Row],[Дата]]),"Январь","Февраль","Март","Апрель","Май","Июнь","Июль","Август","Сентябрь","Октябрь","Ноябрь","Декабрь")&amp;" "&amp;YEAR(branches[[#This Row],[Дата]])</f>
        <v>Декабрь 2025</v>
      </c>
      <c r="E1987" t="s">
        <v>27</v>
      </c>
      <c r="F1987" t="s">
        <v>12</v>
      </c>
      <c r="G1987">
        <v>3</v>
      </c>
      <c r="H1987">
        <v>618</v>
      </c>
      <c r="I1987" t="s">
        <v>23</v>
      </c>
      <c r="J1987" t="str">
        <f>_xlfn.XLOOKUP(branches[[#This Row],[Филиал]], tbl_Filialy[Филиал], tbl_Filialy[Менеджер])</f>
        <v>Ирина Соколова</v>
      </c>
    </row>
    <row r="1988" spans="1:10" x14ac:dyDescent="0.3">
      <c r="A1988" t="str">
        <f>_xlfn.XLOOKUP(branches[[#This Row],[Филиал]], tbl_Filialy[Филиал], tbl_Filialy[Город])</f>
        <v>Москва</v>
      </c>
      <c r="B1988" s="1" t="s">
        <v>36</v>
      </c>
      <c r="C1988" s="2">
        <v>46004</v>
      </c>
      <c r="D1988" s="2" t="str">
        <f>CHOOSE(MONTH(branches[[#This Row],[Дата]]),"Январь","Февраль","Март","Апрель","Май","Июнь","Июль","Август","Сентябрь","Октябрь","Ноябрь","Декабрь")&amp;" "&amp;YEAR(branches[[#This Row],[Дата]])</f>
        <v>Декабрь 2025</v>
      </c>
      <c r="E1988" t="s">
        <v>26</v>
      </c>
      <c r="F1988" t="s">
        <v>9</v>
      </c>
      <c r="G1988">
        <v>3</v>
      </c>
      <c r="H1988">
        <v>594</v>
      </c>
      <c r="I1988" t="s">
        <v>21</v>
      </c>
      <c r="J1988" t="str">
        <f>_xlfn.XLOOKUP(branches[[#This Row],[Филиал]], tbl_Filialy[Филиал], tbl_Filialy[Менеджер])</f>
        <v>Ирина Соколова</v>
      </c>
    </row>
    <row r="1989" spans="1:10" x14ac:dyDescent="0.3">
      <c r="A1989" t="str">
        <f>_xlfn.XLOOKUP(branches[[#This Row],[Филиал]], tbl_Filialy[Филиал], tbl_Filialy[Город])</f>
        <v>Москва</v>
      </c>
      <c r="B1989" s="1" t="s">
        <v>36</v>
      </c>
      <c r="C1989" s="2">
        <v>45761</v>
      </c>
      <c r="D1989" s="2" t="str">
        <f>CHOOSE(MONTH(branches[[#This Row],[Дата]]),"Январь","Февраль","Март","Апрель","Май","Июнь","Июль","Август","Сентябрь","Октябрь","Ноябрь","Декабрь")&amp;" "&amp;YEAR(branches[[#This Row],[Дата]])</f>
        <v>Апрель 2025</v>
      </c>
      <c r="E1989" t="s">
        <v>28</v>
      </c>
      <c r="F1989" t="s">
        <v>12</v>
      </c>
      <c r="G1989">
        <v>1</v>
      </c>
      <c r="H1989">
        <v>200</v>
      </c>
      <c r="I1989" t="s">
        <v>15</v>
      </c>
      <c r="J1989" t="str">
        <f>_xlfn.XLOOKUP(branches[[#This Row],[Филиал]], tbl_Filialy[Филиал], tbl_Filialy[Менеджер])</f>
        <v>Ирина Соколова</v>
      </c>
    </row>
    <row r="1990" spans="1:10" x14ac:dyDescent="0.3">
      <c r="A1990" t="str">
        <f>_xlfn.XLOOKUP(branches[[#This Row],[Филиал]], tbl_Filialy[Филиал], tbl_Filialy[Город])</f>
        <v>Москва</v>
      </c>
      <c r="B1990" s="1" t="s">
        <v>36</v>
      </c>
      <c r="C1990" s="2">
        <v>45706</v>
      </c>
      <c r="D1990" s="2" t="str">
        <f>CHOOSE(MONTH(branches[[#This Row],[Дата]]),"Январь","Февраль","Март","Апрель","Май","Июнь","Июль","Август","Сентябрь","Октябрь","Ноябрь","Декабрь")&amp;" "&amp;YEAR(branches[[#This Row],[Дата]])</f>
        <v>Февраль 2025</v>
      </c>
      <c r="E1990" t="s">
        <v>8</v>
      </c>
      <c r="F1990" t="s">
        <v>9</v>
      </c>
      <c r="G1990">
        <v>3</v>
      </c>
      <c r="H1990">
        <v>741</v>
      </c>
      <c r="I1990" t="s">
        <v>29</v>
      </c>
      <c r="J1990" t="str">
        <f>_xlfn.XLOOKUP(branches[[#This Row],[Филиал]], tbl_Filialy[Филиал], tbl_Filialy[Менеджер])</f>
        <v>Ирина Соколова</v>
      </c>
    </row>
    <row r="1991" spans="1:10" x14ac:dyDescent="0.3">
      <c r="A1991" t="str">
        <f>_xlfn.XLOOKUP(branches[[#This Row],[Филиал]], tbl_Filialy[Филиал], tbl_Filialy[Город])</f>
        <v>Москва</v>
      </c>
      <c r="B1991" s="1" t="s">
        <v>36</v>
      </c>
      <c r="C1991" s="2">
        <v>45812</v>
      </c>
      <c r="D1991" s="2" t="str">
        <f>CHOOSE(MONTH(branches[[#This Row],[Дата]]),"Январь","Февраль","Март","Апрель","Май","Июнь","Июль","Август","Сентябрь","Октябрь","Ноябрь","Декабрь")&amp;" "&amp;YEAR(branches[[#This Row],[Дата]])</f>
        <v>Июнь 2025</v>
      </c>
      <c r="E1991" t="s">
        <v>22</v>
      </c>
      <c r="F1991" t="s">
        <v>9</v>
      </c>
      <c r="G1991">
        <v>1</v>
      </c>
      <c r="H1991">
        <v>183</v>
      </c>
      <c r="I1991" t="s">
        <v>13</v>
      </c>
      <c r="J1991" t="str">
        <f>_xlfn.XLOOKUP(branches[[#This Row],[Филиал]], tbl_Filialy[Филиал], tbl_Filialy[Менеджер])</f>
        <v>Ирина Соколова</v>
      </c>
    </row>
    <row r="1992" spans="1:10" x14ac:dyDescent="0.3">
      <c r="A1992" t="str">
        <f>_xlfn.XLOOKUP(branches[[#This Row],[Филиал]], tbl_Filialy[Филиал], tbl_Filialy[Город])</f>
        <v>Москва</v>
      </c>
      <c r="B1992" s="1" t="s">
        <v>36</v>
      </c>
      <c r="C1992" s="2">
        <v>45883</v>
      </c>
      <c r="D1992" s="2" t="str">
        <f>CHOOSE(MONTH(branches[[#This Row],[Дата]]),"Январь","Февраль","Март","Апрель","Май","Июнь","Июль","Август","Сентябрь","Октябрь","Ноябрь","Декабрь")&amp;" "&amp;YEAR(branches[[#This Row],[Дата]])</f>
        <v>Август 2025</v>
      </c>
      <c r="E1992" t="s">
        <v>22</v>
      </c>
      <c r="F1992" t="s">
        <v>9</v>
      </c>
      <c r="G1992">
        <v>1</v>
      </c>
      <c r="H1992">
        <v>161</v>
      </c>
      <c r="I1992" t="s">
        <v>23</v>
      </c>
      <c r="J1992" t="str">
        <f>_xlfn.XLOOKUP(branches[[#This Row],[Филиал]], tbl_Filialy[Филиал], tbl_Filialy[Менеджер])</f>
        <v>Ирина Соколова</v>
      </c>
    </row>
    <row r="1993" spans="1:10" x14ac:dyDescent="0.3">
      <c r="A1993" t="str">
        <f>_xlfn.XLOOKUP(branches[[#This Row],[Филиал]], tbl_Filialy[Филиал], tbl_Filialy[Город])</f>
        <v>Москва</v>
      </c>
      <c r="B1993" s="1" t="s">
        <v>36</v>
      </c>
      <c r="C1993" s="2">
        <v>45845</v>
      </c>
      <c r="D1993" s="2" t="str">
        <f>CHOOSE(MONTH(branches[[#This Row],[Дата]]),"Январь","Февраль","Март","Апрель","Май","Июнь","Июль","Август","Сентябрь","Октябрь","Ноябрь","Декабрь")&amp;" "&amp;YEAR(branches[[#This Row],[Дата]])</f>
        <v>Июль 2025</v>
      </c>
      <c r="E1993" t="s">
        <v>26</v>
      </c>
      <c r="F1993" t="s">
        <v>9</v>
      </c>
      <c r="G1993">
        <v>1</v>
      </c>
      <c r="H1993">
        <v>185</v>
      </c>
      <c r="I1993" t="s">
        <v>10</v>
      </c>
      <c r="J1993" t="str">
        <f>_xlfn.XLOOKUP(branches[[#This Row],[Филиал]], tbl_Filialy[Филиал], tbl_Filialy[Менеджер])</f>
        <v>Ирина Соколова</v>
      </c>
    </row>
    <row r="1994" spans="1:10" x14ac:dyDescent="0.3">
      <c r="A1994" t="str">
        <f>_xlfn.XLOOKUP(branches[[#This Row],[Филиал]], tbl_Filialy[Филиал], tbl_Filialy[Город])</f>
        <v>Москва</v>
      </c>
      <c r="B1994" s="1" t="s">
        <v>36</v>
      </c>
      <c r="C1994" s="2">
        <v>45884</v>
      </c>
      <c r="D1994" s="2" t="str">
        <f>CHOOSE(MONTH(branches[[#This Row],[Дата]]),"Январь","Февраль","Март","Апрель","Май","Июнь","Июль","Август","Сентябрь","Октябрь","Ноябрь","Декабрь")&amp;" "&amp;YEAR(branches[[#This Row],[Дата]])</f>
        <v>Август 2025</v>
      </c>
      <c r="E1994" t="s">
        <v>18</v>
      </c>
      <c r="F1994" t="s">
        <v>12</v>
      </c>
      <c r="G1994">
        <v>1</v>
      </c>
      <c r="H1994">
        <v>156</v>
      </c>
      <c r="I1994" t="s">
        <v>15</v>
      </c>
      <c r="J1994" t="str">
        <f>_xlfn.XLOOKUP(branches[[#This Row],[Филиал]], tbl_Filialy[Филиал], tbl_Filialy[Менеджер])</f>
        <v>Ирина Соколова</v>
      </c>
    </row>
    <row r="1995" spans="1:10" x14ac:dyDescent="0.3">
      <c r="A1995" t="str">
        <f>_xlfn.XLOOKUP(branches[[#This Row],[Филиал]], tbl_Filialy[Филиал], tbl_Filialy[Город])</f>
        <v>Москва</v>
      </c>
      <c r="B1995" s="1" t="s">
        <v>36</v>
      </c>
      <c r="C1995" s="2">
        <v>45748</v>
      </c>
      <c r="D1995" s="2" t="str">
        <f>CHOOSE(MONTH(branches[[#This Row],[Дата]]),"Январь","Февраль","Март","Апрель","Май","Июнь","Июль","Август","Сентябрь","Октябрь","Ноябрь","Декабрь")&amp;" "&amp;YEAR(branches[[#This Row],[Дата]])</f>
        <v>Апрель 2025</v>
      </c>
      <c r="E1995" t="s">
        <v>11</v>
      </c>
      <c r="F1995" t="s">
        <v>12</v>
      </c>
      <c r="G1995">
        <v>1</v>
      </c>
      <c r="H1995">
        <v>180</v>
      </c>
      <c r="I1995" t="s">
        <v>19</v>
      </c>
      <c r="J1995" t="str">
        <f>_xlfn.XLOOKUP(branches[[#This Row],[Филиал]], tbl_Filialy[Филиал], tbl_Filialy[Менеджер])</f>
        <v>Ирина Соколова</v>
      </c>
    </row>
    <row r="1996" spans="1:10" x14ac:dyDescent="0.3">
      <c r="A1996" t="str">
        <f>_xlfn.XLOOKUP(branches[[#This Row],[Филиал]], tbl_Filialy[Филиал], tbl_Filialy[Город])</f>
        <v>Москва</v>
      </c>
      <c r="B1996" s="1" t="s">
        <v>36</v>
      </c>
      <c r="C1996" s="2">
        <v>46016</v>
      </c>
      <c r="D1996" s="2" t="str">
        <f>CHOOSE(MONTH(branches[[#This Row],[Дата]]),"Январь","Февраль","Март","Апрель","Май","Июнь","Июль","Август","Сентябрь","Октябрь","Ноябрь","Декабрь")&amp;" "&amp;YEAR(branches[[#This Row],[Дата]])</f>
        <v>Декабрь 2025</v>
      </c>
      <c r="E1996" t="s">
        <v>28</v>
      </c>
      <c r="F1996" t="s">
        <v>12</v>
      </c>
      <c r="G1996">
        <v>3</v>
      </c>
      <c r="H1996">
        <v>609</v>
      </c>
      <c r="I1996" t="s">
        <v>23</v>
      </c>
      <c r="J1996" t="str">
        <f>_xlfn.XLOOKUP(branches[[#This Row],[Филиал]], tbl_Filialy[Филиал], tbl_Filialy[Менеджер])</f>
        <v>Ирина Соколова</v>
      </c>
    </row>
    <row r="1997" spans="1:10" x14ac:dyDescent="0.3">
      <c r="A1997" t="str">
        <f>_xlfn.XLOOKUP(branches[[#This Row],[Филиал]], tbl_Filialy[Филиал], tbl_Filialy[Город])</f>
        <v>Москва</v>
      </c>
      <c r="B1997" s="1" t="s">
        <v>36</v>
      </c>
      <c r="C1997" s="2">
        <v>45787</v>
      </c>
      <c r="D1997" s="2" t="str">
        <f>CHOOSE(MONTH(branches[[#This Row],[Дата]]),"Январь","Февраль","Март","Апрель","Май","Июнь","Июль","Август","Сентябрь","Октябрь","Ноябрь","Декабрь")&amp;" "&amp;YEAR(branches[[#This Row],[Дата]])</f>
        <v>Май 2025</v>
      </c>
      <c r="E1997" t="s">
        <v>27</v>
      </c>
      <c r="F1997" t="s">
        <v>12</v>
      </c>
      <c r="G1997">
        <v>2</v>
      </c>
      <c r="H1997">
        <v>474</v>
      </c>
      <c r="I1997" t="s">
        <v>13</v>
      </c>
      <c r="J1997" t="str">
        <f>_xlfn.XLOOKUP(branches[[#This Row],[Филиал]], tbl_Filialy[Филиал], tbl_Filialy[Менеджер])</f>
        <v>Ирина Соколова</v>
      </c>
    </row>
    <row r="1998" spans="1:10" x14ac:dyDescent="0.3">
      <c r="A1998" t="str">
        <f>_xlfn.XLOOKUP(branches[[#This Row],[Филиал]], tbl_Filialy[Филиал], tbl_Filialy[Город])</f>
        <v>Москва</v>
      </c>
      <c r="B1998" s="1" t="s">
        <v>36</v>
      </c>
      <c r="C1998" s="2">
        <v>45911</v>
      </c>
      <c r="D1998" s="2" t="str">
        <f>CHOOSE(MONTH(branches[[#This Row],[Дата]]),"Январь","Февраль","Март","Апрель","Май","Июнь","Июль","Август","Сентябрь","Октябрь","Ноябрь","Декабрь")&amp;" "&amp;YEAR(branches[[#This Row],[Дата]])</f>
        <v>Сентябрь 2025</v>
      </c>
      <c r="E1998" t="s">
        <v>27</v>
      </c>
      <c r="F1998" t="s">
        <v>12</v>
      </c>
      <c r="G1998">
        <v>1</v>
      </c>
      <c r="H1998">
        <v>214</v>
      </c>
      <c r="I1998" t="s">
        <v>13</v>
      </c>
      <c r="J1998" t="str">
        <f>_xlfn.XLOOKUP(branches[[#This Row],[Филиал]], tbl_Filialy[Филиал], tbl_Filialy[Менеджер])</f>
        <v>Ирина Соколова</v>
      </c>
    </row>
    <row r="1999" spans="1:10" x14ac:dyDescent="0.3">
      <c r="A1999" t="str">
        <f>_xlfn.XLOOKUP(branches[[#This Row],[Филиал]], tbl_Filialy[Филиал], tbl_Filialy[Город])</f>
        <v>Москва</v>
      </c>
      <c r="B1999" s="1" t="s">
        <v>36</v>
      </c>
      <c r="C1999" s="2">
        <v>45984</v>
      </c>
      <c r="D1999" s="2" t="str">
        <f>CHOOSE(MONTH(branches[[#This Row],[Дата]]),"Январь","Февраль","Март","Апрель","Май","Июнь","Июль","Август","Сентябрь","Октябрь","Ноябрь","Декабрь")&amp;" "&amp;YEAR(branches[[#This Row],[Дата]])</f>
        <v>Ноябрь 2025</v>
      </c>
      <c r="E1999" t="s">
        <v>24</v>
      </c>
      <c r="F1999" t="s">
        <v>17</v>
      </c>
      <c r="G1999">
        <v>1</v>
      </c>
      <c r="H1999">
        <v>423</v>
      </c>
      <c r="I1999" t="s">
        <v>15</v>
      </c>
      <c r="J1999" t="str">
        <f>_xlfn.XLOOKUP(branches[[#This Row],[Филиал]], tbl_Filialy[Филиал], tbl_Filialy[Менеджер])</f>
        <v>Ирина Соколова</v>
      </c>
    </row>
    <row r="2000" spans="1:10" x14ac:dyDescent="0.3">
      <c r="A2000" t="str">
        <f>_xlfn.XLOOKUP(branches[[#This Row],[Филиал]], tbl_Filialy[Филиал], tbl_Filialy[Город])</f>
        <v>Москва</v>
      </c>
      <c r="B2000" s="1" t="s">
        <v>36</v>
      </c>
      <c r="C2000" s="2">
        <v>45883</v>
      </c>
      <c r="D2000" s="2" t="str">
        <f>CHOOSE(MONTH(branches[[#This Row],[Дата]]),"Январь","Февраль","Март","Апрель","Май","Июнь","Июль","Август","Сентябрь","Октябрь","Ноябрь","Декабрь")&amp;" "&amp;YEAR(branches[[#This Row],[Дата]])</f>
        <v>Август 2025</v>
      </c>
      <c r="E2000" t="s">
        <v>8</v>
      </c>
      <c r="F2000" t="s">
        <v>9</v>
      </c>
      <c r="G2000">
        <v>1</v>
      </c>
      <c r="H2000">
        <v>273</v>
      </c>
      <c r="I2000" t="s">
        <v>23</v>
      </c>
      <c r="J2000" t="str">
        <f>_xlfn.XLOOKUP(branches[[#This Row],[Филиал]], tbl_Filialy[Филиал], tbl_Filialy[Менеджер])</f>
        <v>Ирина Соколова</v>
      </c>
    </row>
    <row r="2001" spans="1:10" x14ac:dyDescent="0.3">
      <c r="A2001" t="str">
        <f>_xlfn.XLOOKUP(branches[[#This Row],[Филиал]], tbl_Filialy[Филиал], tbl_Filialy[Город])</f>
        <v>Москва</v>
      </c>
      <c r="B2001" s="1" t="s">
        <v>36</v>
      </c>
      <c r="C2001" s="2">
        <v>45858</v>
      </c>
      <c r="D2001" s="2" t="str">
        <f>CHOOSE(MONTH(branches[[#This Row],[Дата]]),"Январь","Февраль","Март","Апрель","Май","Июнь","Июль","Август","Сентябрь","Октябрь","Ноябрь","Декабрь")&amp;" "&amp;YEAR(branches[[#This Row],[Дата]])</f>
        <v>Июль 2025</v>
      </c>
      <c r="E2001" t="s">
        <v>16</v>
      </c>
      <c r="F2001" t="s">
        <v>17</v>
      </c>
      <c r="G2001">
        <v>2</v>
      </c>
      <c r="H2001">
        <v>684</v>
      </c>
      <c r="I2001" t="s">
        <v>15</v>
      </c>
      <c r="J2001" t="str">
        <f>_xlfn.XLOOKUP(branches[[#This Row],[Филиал]], tbl_Filialy[Филиал], tbl_Filialy[Менеджер])</f>
        <v>Ирина Соколова</v>
      </c>
    </row>
    <row r="2002" spans="1:10" x14ac:dyDescent="0.3">
      <c r="A2002" t="str">
        <f>_xlfn.XLOOKUP(branches[[#This Row],[Филиал]], tbl_Filialy[Филиал], tbl_Filialy[Город])</f>
        <v>Москва</v>
      </c>
      <c r="B2002" s="1" t="s">
        <v>36</v>
      </c>
      <c r="C2002" s="2">
        <v>45815</v>
      </c>
      <c r="D2002" s="2" t="str">
        <f>CHOOSE(MONTH(branches[[#This Row],[Дата]]),"Январь","Февраль","Март","Апрель","Май","Июнь","Июль","Август","Сентябрь","Октябрь","Ноябрь","Декабрь")&amp;" "&amp;YEAR(branches[[#This Row],[Дата]])</f>
        <v>Июнь 2025</v>
      </c>
      <c r="E2002" t="s">
        <v>28</v>
      </c>
      <c r="F2002" t="s">
        <v>12</v>
      </c>
      <c r="G2002">
        <v>2</v>
      </c>
      <c r="H2002">
        <v>464</v>
      </c>
      <c r="I2002" t="s">
        <v>21</v>
      </c>
      <c r="J2002" t="str">
        <f>_xlfn.XLOOKUP(branches[[#This Row],[Филиал]], tbl_Filialy[Филиал], tbl_Filialy[Менеджер])</f>
        <v>Ирина Соколова</v>
      </c>
    </row>
    <row r="2003" spans="1:10" x14ac:dyDescent="0.3">
      <c r="A2003" t="str">
        <f>_xlfn.XLOOKUP(branches[[#This Row],[Филиал]], tbl_Filialy[Филиал], tbl_Filialy[Город])</f>
        <v>Москва</v>
      </c>
      <c r="B2003" s="1" t="s">
        <v>36</v>
      </c>
      <c r="C2003" s="2">
        <v>45817</v>
      </c>
      <c r="D2003" s="2" t="str">
        <f>CHOOSE(MONTH(branches[[#This Row],[Дата]]),"Январь","Февраль","Март","Апрель","Май","Июнь","Июль","Август","Сентябрь","Октябрь","Ноябрь","Декабрь")&amp;" "&amp;YEAR(branches[[#This Row],[Дата]])</f>
        <v>Июнь 2025</v>
      </c>
      <c r="E2003" t="s">
        <v>20</v>
      </c>
      <c r="F2003" t="s">
        <v>12</v>
      </c>
      <c r="G2003">
        <v>1</v>
      </c>
      <c r="H2003">
        <v>267</v>
      </c>
      <c r="I2003" t="s">
        <v>23</v>
      </c>
      <c r="J2003" t="str">
        <f>_xlfn.XLOOKUP(branches[[#This Row],[Филиал]], tbl_Filialy[Филиал], tbl_Filialy[Менеджер])</f>
        <v>Ирина Соколова</v>
      </c>
    </row>
    <row r="2004" spans="1:10" x14ac:dyDescent="0.3">
      <c r="A2004" t="str">
        <f>_xlfn.XLOOKUP(branches[[#This Row],[Филиал]], tbl_Filialy[Филиал], tbl_Filialy[Город])</f>
        <v>Москва</v>
      </c>
      <c r="B2004" s="1" t="s">
        <v>36</v>
      </c>
      <c r="C2004" s="2">
        <v>45835</v>
      </c>
      <c r="D2004" s="2" t="str">
        <f>CHOOSE(MONTH(branches[[#This Row],[Дата]]),"Январь","Февраль","Март","Апрель","Май","Июнь","Июль","Август","Сентябрь","Октябрь","Ноябрь","Декабрь")&amp;" "&amp;YEAR(branches[[#This Row],[Дата]])</f>
        <v>Июнь 2025</v>
      </c>
      <c r="E2004" t="s">
        <v>18</v>
      </c>
      <c r="F2004" t="s">
        <v>12</v>
      </c>
      <c r="G2004">
        <v>2</v>
      </c>
      <c r="H2004">
        <v>266</v>
      </c>
      <c r="I2004" t="s">
        <v>21</v>
      </c>
      <c r="J2004" t="str">
        <f>_xlfn.XLOOKUP(branches[[#This Row],[Филиал]], tbl_Filialy[Филиал], tbl_Filialy[Менеджер])</f>
        <v>Ирина Соколова</v>
      </c>
    </row>
    <row r="2005" spans="1:10" x14ac:dyDescent="0.3">
      <c r="A2005" t="str">
        <f>_xlfn.XLOOKUP(branches[[#This Row],[Филиал]], tbl_Filialy[Филиал], tbl_Filialy[Город])</f>
        <v>Москва</v>
      </c>
      <c r="B2005" s="1" t="s">
        <v>36</v>
      </c>
      <c r="C2005" s="2">
        <v>45727</v>
      </c>
      <c r="D2005" s="2" t="str">
        <f>CHOOSE(MONTH(branches[[#This Row],[Дата]]),"Январь","Февраль","Март","Апрель","Май","Июнь","Июль","Август","Сентябрь","Октябрь","Ноябрь","Декабрь")&amp;" "&amp;YEAR(branches[[#This Row],[Дата]])</f>
        <v>Март 2025</v>
      </c>
      <c r="E2005" t="s">
        <v>8</v>
      </c>
      <c r="F2005" t="s">
        <v>9</v>
      </c>
      <c r="G2005">
        <v>2</v>
      </c>
      <c r="H2005">
        <v>516</v>
      </c>
      <c r="I2005" t="s">
        <v>15</v>
      </c>
      <c r="J2005" t="str">
        <f>_xlfn.XLOOKUP(branches[[#This Row],[Филиал]], tbl_Filialy[Филиал], tbl_Filialy[Менеджер])</f>
        <v>Ирина Соколова</v>
      </c>
    </row>
    <row r="2006" spans="1:10" x14ac:dyDescent="0.3">
      <c r="A2006" t="str">
        <f>_xlfn.XLOOKUP(branches[[#This Row],[Филиал]], tbl_Filialy[Филиал], tbl_Filialy[Город])</f>
        <v>Москва</v>
      </c>
      <c r="B2006" s="1" t="s">
        <v>36</v>
      </c>
      <c r="C2006" s="2">
        <v>45740</v>
      </c>
      <c r="D2006" s="2" t="str">
        <f>CHOOSE(MONTH(branches[[#This Row],[Дата]]),"Январь","Февраль","Март","Апрель","Май","Июнь","Июль","Август","Сентябрь","Октябрь","Ноябрь","Декабрь")&amp;" "&amp;YEAR(branches[[#This Row],[Дата]])</f>
        <v>Март 2025</v>
      </c>
      <c r="E2006" t="s">
        <v>28</v>
      </c>
      <c r="F2006" t="s">
        <v>12</v>
      </c>
      <c r="G2006">
        <v>2</v>
      </c>
      <c r="H2006">
        <v>402</v>
      </c>
      <c r="I2006" t="s">
        <v>19</v>
      </c>
      <c r="J2006" t="str">
        <f>_xlfn.XLOOKUP(branches[[#This Row],[Филиал]], tbl_Filialy[Филиал], tbl_Filialy[Менеджер])</f>
        <v>Ирина Соколова</v>
      </c>
    </row>
    <row r="2007" spans="1:10" x14ac:dyDescent="0.3">
      <c r="A2007" t="str">
        <f>_xlfn.XLOOKUP(branches[[#This Row],[Филиал]], tbl_Filialy[Филиал], tbl_Filialy[Город])</f>
        <v>Москва</v>
      </c>
      <c r="B2007" s="1" t="s">
        <v>36</v>
      </c>
      <c r="C2007" s="2">
        <v>45666</v>
      </c>
      <c r="D2007" s="2" t="str">
        <f>CHOOSE(MONTH(branches[[#This Row],[Дата]]),"Январь","Февраль","Март","Апрель","Май","Июнь","Июль","Август","Сентябрь","Октябрь","Ноябрь","Декабрь")&amp;" "&amp;YEAR(branches[[#This Row],[Дата]])</f>
        <v>Январь 2025</v>
      </c>
      <c r="E2007" t="s">
        <v>11</v>
      </c>
      <c r="F2007" t="s">
        <v>12</v>
      </c>
      <c r="G2007">
        <v>2</v>
      </c>
      <c r="H2007">
        <v>312</v>
      </c>
      <c r="I2007" t="s">
        <v>15</v>
      </c>
      <c r="J2007" t="str">
        <f>_xlfn.XLOOKUP(branches[[#This Row],[Филиал]], tbl_Filialy[Филиал], tbl_Filialy[Менеджер])</f>
        <v>Ирина Соколова</v>
      </c>
    </row>
    <row r="2008" spans="1:10" x14ac:dyDescent="0.3">
      <c r="A2008" t="str">
        <f>_xlfn.XLOOKUP(branches[[#This Row],[Филиал]], tbl_Filialy[Филиал], tbl_Filialy[Город])</f>
        <v>Москва</v>
      </c>
      <c r="B2008" s="1" t="s">
        <v>36</v>
      </c>
      <c r="C2008" s="2">
        <v>46008</v>
      </c>
      <c r="D2008" s="2" t="str">
        <f>CHOOSE(MONTH(branches[[#This Row],[Дата]]),"Январь","Февраль","Март","Апрель","Май","Июнь","Июль","Август","Сентябрь","Октябрь","Ноябрь","Декабрь")&amp;" "&amp;YEAR(branches[[#This Row],[Дата]])</f>
        <v>Декабрь 2025</v>
      </c>
      <c r="E2008" t="s">
        <v>18</v>
      </c>
      <c r="F2008" t="s">
        <v>12</v>
      </c>
      <c r="G2008">
        <v>1</v>
      </c>
      <c r="H2008">
        <v>159</v>
      </c>
      <c r="I2008" t="s">
        <v>10</v>
      </c>
      <c r="J2008" t="str">
        <f>_xlfn.XLOOKUP(branches[[#This Row],[Филиал]], tbl_Filialy[Филиал], tbl_Filialy[Менеджер])</f>
        <v>Ирина Соколова</v>
      </c>
    </row>
    <row r="2009" spans="1:10" x14ac:dyDescent="0.3">
      <c r="A2009" t="str">
        <f>_xlfn.XLOOKUP(branches[[#This Row],[Филиал]], tbl_Filialy[Филиал], tbl_Filialy[Город])</f>
        <v>Москва</v>
      </c>
      <c r="B2009" s="1" t="s">
        <v>36</v>
      </c>
      <c r="C2009" s="2">
        <v>45987</v>
      </c>
      <c r="D2009" s="2" t="str">
        <f>CHOOSE(MONTH(branches[[#This Row],[Дата]]),"Январь","Февраль","Март","Апрель","Май","Июнь","Июль","Август","Сентябрь","Октябрь","Ноябрь","Декабрь")&amp;" "&amp;YEAR(branches[[#This Row],[Дата]])</f>
        <v>Ноябрь 2025</v>
      </c>
      <c r="E2009" t="s">
        <v>28</v>
      </c>
      <c r="F2009" t="s">
        <v>12</v>
      </c>
      <c r="G2009">
        <v>2</v>
      </c>
      <c r="H2009">
        <v>456</v>
      </c>
      <c r="I2009" t="s">
        <v>23</v>
      </c>
      <c r="J2009" t="str">
        <f>_xlfn.XLOOKUP(branches[[#This Row],[Филиал]], tbl_Filialy[Филиал], tbl_Filialy[Менеджер])</f>
        <v>Ирина Соколова</v>
      </c>
    </row>
    <row r="2010" spans="1:10" x14ac:dyDescent="0.3">
      <c r="A2010" t="str">
        <f>_xlfn.XLOOKUP(branches[[#This Row],[Филиал]], tbl_Filialy[Филиал], tbl_Filialy[Город])</f>
        <v>Москва</v>
      </c>
      <c r="B2010" s="1" t="s">
        <v>36</v>
      </c>
      <c r="C2010" s="2">
        <v>45964</v>
      </c>
      <c r="D2010" s="2" t="str">
        <f>CHOOSE(MONTH(branches[[#This Row],[Дата]]),"Январь","Февраль","Март","Апрель","Май","Июнь","Июль","Август","Сентябрь","Октябрь","Ноябрь","Декабрь")&amp;" "&amp;YEAR(branches[[#This Row],[Дата]])</f>
        <v>Ноябрь 2025</v>
      </c>
      <c r="E2010" t="s">
        <v>25</v>
      </c>
      <c r="F2010" t="s">
        <v>12</v>
      </c>
      <c r="G2010">
        <v>2</v>
      </c>
      <c r="H2010">
        <v>430</v>
      </c>
      <c r="I2010" t="s">
        <v>15</v>
      </c>
      <c r="J2010" t="str">
        <f>_xlfn.XLOOKUP(branches[[#This Row],[Филиал]], tbl_Filialy[Филиал], tbl_Filialy[Менеджер])</f>
        <v>Ирина Соколова</v>
      </c>
    </row>
    <row r="2011" spans="1:10" x14ac:dyDescent="0.3">
      <c r="A2011" t="str">
        <f>_xlfn.XLOOKUP(branches[[#This Row],[Филиал]], tbl_Filialy[Филиал], tbl_Filialy[Город])</f>
        <v>Москва</v>
      </c>
      <c r="B2011" s="1" t="s">
        <v>36</v>
      </c>
      <c r="C2011" s="2">
        <v>45749</v>
      </c>
      <c r="D2011" s="2" t="str">
        <f>CHOOSE(MONTH(branches[[#This Row],[Дата]]),"Январь","Февраль","Март","Апрель","Май","Июнь","Июль","Август","Сентябрь","Октябрь","Ноябрь","Декабрь")&amp;" "&amp;YEAR(branches[[#This Row],[Дата]])</f>
        <v>Апрель 2025</v>
      </c>
      <c r="E2011" t="s">
        <v>26</v>
      </c>
      <c r="F2011" t="s">
        <v>9</v>
      </c>
      <c r="G2011">
        <v>3</v>
      </c>
      <c r="H2011">
        <v>684</v>
      </c>
      <c r="I2011" t="s">
        <v>21</v>
      </c>
      <c r="J2011" t="str">
        <f>_xlfn.XLOOKUP(branches[[#This Row],[Филиал]], tbl_Filialy[Филиал], tbl_Filialy[Менеджер])</f>
        <v>Ирина Соколова</v>
      </c>
    </row>
    <row r="2012" spans="1:10" x14ac:dyDescent="0.3">
      <c r="A2012" t="str">
        <f>_xlfn.XLOOKUP(branches[[#This Row],[Филиал]], tbl_Filialy[Филиал], tbl_Filialy[Город])</f>
        <v>Москва</v>
      </c>
      <c r="B2012" s="1" t="s">
        <v>36</v>
      </c>
      <c r="C2012" s="2">
        <v>45752</v>
      </c>
      <c r="D2012" s="2" t="str">
        <f>CHOOSE(MONTH(branches[[#This Row],[Дата]]),"Январь","Февраль","Март","Апрель","Май","Июнь","Июль","Август","Сентябрь","Октябрь","Ноябрь","Декабрь")&amp;" "&amp;YEAR(branches[[#This Row],[Дата]])</f>
        <v>Апрель 2025</v>
      </c>
      <c r="E2012" t="s">
        <v>18</v>
      </c>
      <c r="F2012" t="s">
        <v>12</v>
      </c>
      <c r="G2012">
        <v>2</v>
      </c>
      <c r="H2012">
        <v>310</v>
      </c>
      <c r="I2012" t="s">
        <v>15</v>
      </c>
      <c r="J2012" t="str">
        <f>_xlfn.XLOOKUP(branches[[#This Row],[Филиал]], tbl_Filialy[Филиал], tbl_Filialy[Менеджер])</f>
        <v>Ирина Соколова</v>
      </c>
    </row>
    <row r="2013" spans="1:10" x14ac:dyDescent="0.3">
      <c r="A2013" t="str">
        <f>_xlfn.XLOOKUP(branches[[#This Row],[Филиал]], tbl_Filialy[Филиал], tbl_Filialy[Город])</f>
        <v>Москва</v>
      </c>
      <c r="B2013" s="1" t="s">
        <v>36</v>
      </c>
      <c r="C2013" s="2">
        <v>45922</v>
      </c>
      <c r="D2013" s="2" t="str">
        <f>CHOOSE(MONTH(branches[[#This Row],[Дата]]),"Январь","Февраль","Март","Апрель","Май","Июнь","Июль","Август","Сентябрь","Октябрь","Ноябрь","Декабрь")&amp;" "&amp;YEAR(branches[[#This Row],[Дата]])</f>
        <v>Сентябрь 2025</v>
      </c>
      <c r="E2013" t="s">
        <v>16</v>
      </c>
      <c r="F2013" t="s">
        <v>17</v>
      </c>
      <c r="G2013">
        <v>1</v>
      </c>
      <c r="H2013">
        <v>289</v>
      </c>
      <c r="I2013" t="s">
        <v>13</v>
      </c>
      <c r="J2013" t="str">
        <f>_xlfn.XLOOKUP(branches[[#This Row],[Филиал]], tbl_Filialy[Филиал], tbl_Filialy[Менеджер])</f>
        <v>Ирина Соколова</v>
      </c>
    </row>
    <row r="2014" spans="1:10" x14ac:dyDescent="0.3">
      <c r="A2014" t="str">
        <f>_xlfn.XLOOKUP(branches[[#This Row],[Филиал]], tbl_Filialy[Филиал], tbl_Filialy[Город])</f>
        <v>Москва</v>
      </c>
      <c r="B2014" s="1" t="s">
        <v>36</v>
      </c>
      <c r="C2014" s="2">
        <v>45877</v>
      </c>
      <c r="D2014" s="2" t="str">
        <f>CHOOSE(MONTH(branches[[#This Row],[Дата]]),"Январь","Февраль","Март","Апрель","Май","Июнь","Июль","Август","Сентябрь","Октябрь","Ноябрь","Декабрь")&amp;" "&amp;YEAR(branches[[#This Row],[Дата]])</f>
        <v>Август 2025</v>
      </c>
      <c r="E2014" t="s">
        <v>22</v>
      </c>
      <c r="F2014" t="s">
        <v>9</v>
      </c>
      <c r="G2014">
        <v>1</v>
      </c>
      <c r="H2014">
        <v>194</v>
      </c>
      <c r="I2014" t="s">
        <v>10</v>
      </c>
      <c r="J2014" t="str">
        <f>_xlfn.XLOOKUP(branches[[#This Row],[Филиал]], tbl_Filialy[Филиал], tbl_Filialy[Менеджер])</f>
        <v>Ирина Соколова</v>
      </c>
    </row>
    <row r="2015" spans="1:10" x14ac:dyDescent="0.3">
      <c r="A2015" t="str">
        <f>_xlfn.XLOOKUP(branches[[#This Row],[Филиал]], tbl_Filialy[Филиал], tbl_Filialy[Город])</f>
        <v>Москва</v>
      </c>
      <c r="B2015" s="1" t="s">
        <v>36</v>
      </c>
      <c r="C2015" s="2">
        <v>45895</v>
      </c>
      <c r="D2015" s="2" t="str">
        <f>CHOOSE(MONTH(branches[[#This Row],[Дата]]),"Январь","Февраль","Март","Апрель","Май","Июнь","Июль","Август","Сентябрь","Октябрь","Ноябрь","Декабрь")&amp;" "&amp;YEAR(branches[[#This Row],[Дата]])</f>
        <v>Август 2025</v>
      </c>
      <c r="E2015" t="s">
        <v>16</v>
      </c>
      <c r="F2015" t="s">
        <v>17</v>
      </c>
      <c r="G2015">
        <v>2</v>
      </c>
      <c r="H2015">
        <v>572</v>
      </c>
      <c r="I2015" t="s">
        <v>13</v>
      </c>
      <c r="J2015" t="str">
        <f>_xlfn.XLOOKUP(branches[[#This Row],[Филиал]], tbl_Filialy[Филиал], tbl_Filialy[Менеджер])</f>
        <v>Ирина Соколова</v>
      </c>
    </row>
    <row r="2016" spans="1:10" x14ac:dyDescent="0.3">
      <c r="A2016" t="str">
        <f>_xlfn.XLOOKUP(branches[[#This Row],[Филиал]], tbl_Filialy[Филиал], tbl_Filialy[Город])</f>
        <v>Москва</v>
      </c>
      <c r="B2016" s="1" t="s">
        <v>36</v>
      </c>
      <c r="C2016" s="2">
        <v>46008</v>
      </c>
      <c r="D2016" s="2" t="str">
        <f>CHOOSE(MONTH(branches[[#This Row],[Дата]]),"Январь","Февраль","Март","Апрель","Май","Июнь","Июль","Август","Сентябрь","Октябрь","Ноябрь","Декабрь")&amp;" "&amp;YEAR(branches[[#This Row],[Дата]])</f>
        <v>Декабрь 2025</v>
      </c>
      <c r="E2016" t="s">
        <v>18</v>
      </c>
      <c r="F2016" t="s">
        <v>12</v>
      </c>
      <c r="G2016">
        <v>1</v>
      </c>
      <c r="H2016">
        <v>128</v>
      </c>
      <c r="I2016" t="s">
        <v>10</v>
      </c>
      <c r="J2016" t="str">
        <f>_xlfn.XLOOKUP(branches[[#This Row],[Филиал]], tbl_Filialy[Филиал], tbl_Filialy[Менеджер])</f>
        <v>Ирина Соколова</v>
      </c>
    </row>
    <row r="2017" spans="1:10" x14ac:dyDescent="0.3">
      <c r="A2017" t="str">
        <f>_xlfn.XLOOKUP(branches[[#This Row],[Филиал]], tbl_Filialy[Филиал], tbl_Filialy[Город])</f>
        <v>Москва</v>
      </c>
      <c r="B2017" s="1" t="s">
        <v>36</v>
      </c>
      <c r="C2017" s="2">
        <v>45670</v>
      </c>
      <c r="D2017" s="2" t="str">
        <f>CHOOSE(MONTH(branches[[#This Row],[Дата]]),"Январь","Февраль","Март","Апрель","Май","Июнь","Июль","Август","Сентябрь","Октябрь","Ноябрь","Декабрь")&amp;" "&amp;YEAR(branches[[#This Row],[Дата]])</f>
        <v>Январь 2025</v>
      </c>
      <c r="E2017" t="s">
        <v>26</v>
      </c>
      <c r="F2017" t="s">
        <v>9</v>
      </c>
      <c r="G2017">
        <v>2</v>
      </c>
      <c r="H2017">
        <v>444</v>
      </c>
      <c r="I2017" t="s">
        <v>10</v>
      </c>
      <c r="J2017" t="str">
        <f>_xlfn.XLOOKUP(branches[[#This Row],[Филиал]], tbl_Filialy[Филиал], tbl_Filialy[Менеджер])</f>
        <v>Ирина Соколова</v>
      </c>
    </row>
    <row r="2018" spans="1:10" x14ac:dyDescent="0.3">
      <c r="A2018" t="str">
        <f>_xlfn.XLOOKUP(branches[[#This Row],[Филиал]], tbl_Filialy[Филиал], tbl_Filialy[Город])</f>
        <v>Москва</v>
      </c>
      <c r="B2018" s="1" t="s">
        <v>36</v>
      </c>
      <c r="C2018" s="2">
        <v>45845</v>
      </c>
      <c r="D2018" s="2" t="str">
        <f>CHOOSE(MONTH(branches[[#This Row],[Дата]]),"Январь","Февраль","Март","Апрель","Май","Июнь","Июль","Август","Сентябрь","Октябрь","Ноябрь","Декабрь")&amp;" "&amp;YEAR(branches[[#This Row],[Дата]])</f>
        <v>Июль 2025</v>
      </c>
      <c r="E2018" t="s">
        <v>28</v>
      </c>
      <c r="F2018" t="s">
        <v>12</v>
      </c>
      <c r="G2018">
        <v>2</v>
      </c>
      <c r="H2018">
        <v>464</v>
      </c>
      <c r="I2018" t="s">
        <v>10</v>
      </c>
      <c r="J2018" t="str">
        <f>_xlfn.XLOOKUP(branches[[#This Row],[Филиал]], tbl_Filialy[Филиал], tbl_Filialy[Менеджер])</f>
        <v>Ирина Соколова</v>
      </c>
    </row>
    <row r="2019" spans="1:10" x14ac:dyDescent="0.3">
      <c r="A2019" t="str">
        <f>_xlfn.XLOOKUP(branches[[#This Row],[Филиал]], tbl_Filialy[Филиал], tbl_Filialy[Город])</f>
        <v>Москва</v>
      </c>
      <c r="B2019" s="1" t="s">
        <v>36</v>
      </c>
      <c r="C2019" s="2">
        <v>45873</v>
      </c>
      <c r="D2019" s="2" t="str">
        <f>CHOOSE(MONTH(branches[[#This Row],[Дата]]),"Январь","Февраль","Март","Апрель","Май","Июнь","Июль","Август","Сентябрь","Октябрь","Ноябрь","Декабрь")&amp;" "&amp;YEAR(branches[[#This Row],[Дата]])</f>
        <v>Август 2025</v>
      </c>
      <c r="E2019" t="s">
        <v>20</v>
      </c>
      <c r="F2019" t="s">
        <v>12</v>
      </c>
      <c r="G2019">
        <v>1</v>
      </c>
      <c r="H2019">
        <v>287</v>
      </c>
      <c r="I2019" t="s">
        <v>19</v>
      </c>
      <c r="J2019" t="str">
        <f>_xlfn.XLOOKUP(branches[[#This Row],[Филиал]], tbl_Filialy[Филиал], tbl_Filialy[Менеджер])</f>
        <v>Ирина Соколова</v>
      </c>
    </row>
    <row r="2020" spans="1:10" x14ac:dyDescent="0.3">
      <c r="A2020" t="str">
        <f>_xlfn.XLOOKUP(branches[[#This Row],[Филиал]], tbl_Filialy[Филиал], tbl_Filialy[Город])</f>
        <v>Москва</v>
      </c>
      <c r="B2020" s="1" t="s">
        <v>36</v>
      </c>
      <c r="C2020" s="2">
        <v>45690</v>
      </c>
      <c r="D2020" s="2" t="str">
        <f>CHOOSE(MONTH(branches[[#This Row],[Дата]]),"Январь","Февраль","Март","Апрель","Май","Июнь","Июль","Август","Сентябрь","Октябрь","Ноябрь","Декабрь")&amp;" "&amp;YEAR(branches[[#This Row],[Дата]])</f>
        <v>Февраль 2025</v>
      </c>
      <c r="E2020" t="s">
        <v>28</v>
      </c>
      <c r="F2020" t="s">
        <v>12</v>
      </c>
      <c r="G2020">
        <v>2</v>
      </c>
      <c r="H2020">
        <v>510</v>
      </c>
      <c r="I2020" t="s">
        <v>15</v>
      </c>
      <c r="J2020" t="str">
        <f>_xlfn.XLOOKUP(branches[[#This Row],[Филиал]], tbl_Filialy[Филиал], tbl_Filialy[Менеджер])</f>
        <v>Ирина Соколова</v>
      </c>
    </row>
    <row r="2021" spans="1:10" x14ac:dyDescent="0.3">
      <c r="A2021" t="str">
        <f>_xlfn.XLOOKUP(branches[[#This Row],[Филиал]], tbl_Filialy[Филиал], tbl_Filialy[Город])</f>
        <v>Москва</v>
      </c>
      <c r="B2021" s="1" t="s">
        <v>36</v>
      </c>
      <c r="C2021" s="2">
        <v>45774</v>
      </c>
      <c r="D2021" s="2" t="str">
        <f>CHOOSE(MONTH(branches[[#This Row],[Дата]]),"Январь","Февраль","Март","Апрель","Май","Июнь","Июль","Август","Сентябрь","Октябрь","Ноябрь","Декабрь")&amp;" "&amp;YEAR(branches[[#This Row],[Дата]])</f>
        <v>Апрель 2025</v>
      </c>
      <c r="E2021" t="s">
        <v>16</v>
      </c>
      <c r="F2021" t="s">
        <v>17</v>
      </c>
      <c r="G2021">
        <v>1</v>
      </c>
      <c r="H2021">
        <v>314</v>
      </c>
      <c r="I2021" t="s">
        <v>21</v>
      </c>
      <c r="J2021" t="str">
        <f>_xlfn.XLOOKUP(branches[[#This Row],[Филиал]], tbl_Filialy[Филиал], tbl_Filialy[Менеджер])</f>
        <v>Ирина Соколова</v>
      </c>
    </row>
    <row r="2022" spans="1:10" x14ac:dyDescent="0.3">
      <c r="A2022" t="str">
        <f>_xlfn.XLOOKUP(branches[[#This Row],[Филиал]], tbl_Filialy[Филиал], tbl_Filialy[Город])</f>
        <v>Москва</v>
      </c>
      <c r="B2022" s="1" t="s">
        <v>36</v>
      </c>
      <c r="C2022" s="2">
        <v>45895</v>
      </c>
      <c r="D2022" s="2" t="str">
        <f>CHOOSE(MONTH(branches[[#This Row],[Дата]]),"Январь","Февраль","Март","Апрель","Май","Июнь","Июль","Август","Сентябрь","Октябрь","Ноябрь","Декабрь")&amp;" "&amp;YEAR(branches[[#This Row],[Дата]])</f>
        <v>Август 2025</v>
      </c>
      <c r="E2022" t="s">
        <v>28</v>
      </c>
      <c r="F2022" t="s">
        <v>12</v>
      </c>
      <c r="G2022">
        <v>1</v>
      </c>
      <c r="H2022">
        <v>254</v>
      </c>
      <c r="I2022" t="s">
        <v>23</v>
      </c>
      <c r="J2022" t="str">
        <f>_xlfn.XLOOKUP(branches[[#This Row],[Филиал]], tbl_Filialy[Филиал], tbl_Filialy[Менеджер])</f>
        <v>Ирина Соколова</v>
      </c>
    </row>
    <row r="2023" spans="1:10" x14ac:dyDescent="0.3">
      <c r="A2023" t="str">
        <f>_xlfn.XLOOKUP(branches[[#This Row],[Филиал]], tbl_Filialy[Филиал], tbl_Filialy[Город])</f>
        <v>Москва</v>
      </c>
      <c r="B2023" s="1" t="s">
        <v>36</v>
      </c>
      <c r="C2023" s="2">
        <v>45896</v>
      </c>
      <c r="D2023" s="2" t="str">
        <f>CHOOSE(MONTH(branches[[#This Row],[Дата]]),"Январь","Февраль","Март","Апрель","Май","Июнь","Июль","Август","Сентябрь","Октябрь","Ноябрь","Декабрь")&amp;" "&amp;YEAR(branches[[#This Row],[Дата]])</f>
        <v>Август 2025</v>
      </c>
      <c r="E2023" t="s">
        <v>11</v>
      </c>
      <c r="F2023" t="s">
        <v>12</v>
      </c>
      <c r="G2023">
        <v>3</v>
      </c>
      <c r="H2023">
        <v>567</v>
      </c>
      <c r="I2023" t="s">
        <v>13</v>
      </c>
      <c r="J2023" t="str">
        <f>_xlfn.XLOOKUP(branches[[#This Row],[Филиал]], tbl_Filialy[Филиал], tbl_Filialy[Менеджер])</f>
        <v>Ирина Соколова</v>
      </c>
    </row>
    <row r="2024" spans="1:10" x14ac:dyDescent="0.3">
      <c r="A2024" t="str">
        <f>_xlfn.XLOOKUP(branches[[#This Row],[Филиал]], tbl_Filialy[Филиал], tbl_Filialy[Город])</f>
        <v>Москва</v>
      </c>
      <c r="B2024" s="1" t="s">
        <v>36</v>
      </c>
      <c r="C2024" s="2">
        <v>45736</v>
      </c>
      <c r="D2024" s="2" t="str">
        <f>CHOOSE(MONTH(branches[[#This Row],[Дата]]),"Январь","Февраль","Март","Апрель","Май","Июнь","Июль","Август","Сентябрь","Октябрь","Ноябрь","Декабрь")&amp;" "&amp;YEAR(branches[[#This Row],[Дата]])</f>
        <v>Март 2025</v>
      </c>
      <c r="E2024" t="s">
        <v>11</v>
      </c>
      <c r="F2024" t="s">
        <v>12</v>
      </c>
      <c r="G2024">
        <v>2</v>
      </c>
      <c r="H2024">
        <v>306</v>
      </c>
      <c r="I2024" t="s">
        <v>19</v>
      </c>
      <c r="J2024" t="str">
        <f>_xlfn.XLOOKUP(branches[[#This Row],[Филиал]], tbl_Filialy[Филиал], tbl_Filialy[Менеджер])</f>
        <v>Ирина Соколова</v>
      </c>
    </row>
    <row r="2025" spans="1:10" x14ac:dyDescent="0.3">
      <c r="A2025" t="str">
        <f>_xlfn.XLOOKUP(branches[[#This Row],[Филиал]], tbl_Filialy[Филиал], tbl_Filialy[Город])</f>
        <v>Москва</v>
      </c>
      <c r="B2025" s="1" t="s">
        <v>36</v>
      </c>
      <c r="C2025" s="2">
        <v>45671</v>
      </c>
      <c r="D2025" s="2" t="str">
        <f>CHOOSE(MONTH(branches[[#This Row],[Дата]]),"Январь","Февраль","Март","Апрель","Май","Июнь","Июль","Август","Сентябрь","Октябрь","Ноябрь","Декабрь")&amp;" "&amp;YEAR(branches[[#This Row],[Дата]])</f>
        <v>Январь 2025</v>
      </c>
      <c r="E2025" t="s">
        <v>14</v>
      </c>
      <c r="F2025" t="s">
        <v>12</v>
      </c>
      <c r="G2025">
        <v>2</v>
      </c>
      <c r="H2025">
        <v>496</v>
      </c>
      <c r="I2025" t="s">
        <v>13</v>
      </c>
      <c r="J2025" t="str">
        <f>_xlfn.XLOOKUP(branches[[#This Row],[Филиал]], tbl_Filialy[Филиал], tbl_Filialy[Менеджер])</f>
        <v>Ирина Соколова</v>
      </c>
    </row>
    <row r="2026" spans="1:10" x14ac:dyDescent="0.3">
      <c r="A2026" t="str">
        <f>_xlfn.XLOOKUP(branches[[#This Row],[Филиал]], tbl_Filialy[Филиал], tbl_Filialy[Город])</f>
        <v>Москва</v>
      </c>
      <c r="B2026" s="1" t="s">
        <v>36</v>
      </c>
      <c r="C2026" s="2">
        <v>45666</v>
      </c>
      <c r="D2026" s="2" t="str">
        <f>CHOOSE(MONTH(branches[[#This Row],[Дата]]),"Январь","Февраль","Март","Апрель","Май","Июнь","Июль","Август","Сентябрь","Октябрь","Ноябрь","Декабрь")&amp;" "&amp;YEAR(branches[[#This Row],[Дата]])</f>
        <v>Январь 2025</v>
      </c>
      <c r="E2026" t="s">
        <v>28</v>
      </c>
      <c r="F2026" t="s">
        <v>12</v>
      </c>
      <c r="G2026">
        <v>2</v>
      </c>
      <c r="H2026">
        <v>430</v>
      </c>
      <c r="I2026" t="s">
        <v>13</v>
      </c>
      <c r="J2026" t="str">
        <f>_xlfn.XLOOKUP(branches[[#This Row],[Филиал]], tbl_Filialy[Филиал], tbl_Filialy[Менеджер])</f>
        <v>Ирина Соколова</v>
      </c>
    </row>
    <row r="2027" spans="1:10" x14ac:dyDescent="0.3">
      <c r="A2027" t="str">
        <f>_xlfn.XLOOKUP(branches[[#This Row],[Филиал]], tbl_Filialy[Филиал], tbl_Filialy[Город])</f>
        <v>Москва</v>
      </c>
      <c r="B2027" s="1" t="s">
        <v>36</v>
      </c>
      <c r="C2027" s="2">
        <v>45864</v>
      </c>
      <c r="D2027" s="2" t="str">
        <f>CHOOSE(MONTH(branches[[#This Row],[Дата]]),"Январь","Февраль","Март","Апрель","Май","Июнь","Июль","Август","Сентябрь","Октябрь","Ноябрь","Декабрь")&amp;" "&amp;YEAR(branches[[#This Row],[Дата]])</f>
        <v>Июль 2025</v>
      </c>
      <c r="E2027" t="s">
        <v>27</v>
      </c>
      <c r="F2027" t="s">
        <v>12</v>
      </c>
      <c r="G2027">
        <v>2</v>
      </c>
      <c r="H2027">
        <v>372</v>
      </c>
      <c r="I2027" t="s">
        <v>10</v>
      </c>
      <c r="J2027" t="str">
        <f>_xlfn.XLOOKUP(branches[[#This Row],[Филиал]], tbl_Filialy[Филиал], tbl_Filialy[Менеджер])</f>
        <v>Ирина Соколова</v>
      </c>
    </row>
    <row r="2028" spans="1:10" x14ac:dyDescent="0.3">
      <c r="A2028" t="str">
        <f>_xlfn.XLOOKUP(branches[[#This Row],[Филиал]], tbl_Filialy[Филиал], tbl_Filialy[Город])</f>
        <v>Москва</v>
      </c>
      <c r="B2028" s="1" t="s">
        <v>36</v>
      </c>
      <c r="C2028" s="2">
        <v>45977</v>
      </c>
      <c r="D2028" s="2" t="str">
        <f>CHOOSE(MONTH(branches[[#This Row],[Дата]]),"Январь","Февраль","Март","Апрель","Май","Июнь","Июль","Август","Сентябрь","Октябрь","Ноябрь","Декабрь")&amp;" "&amp;YEAR(branches[[#This Row],[Дата]])</f>
        <v>Ноябрь 2025</v>
      </c>
      <c r="E2028" t="s">
        <v>16</v>
      </c>
      <c r="F2028" t="s">
        <v>17</v>
      </c>
      <c r="G2028">
        <v>2</v>
      </c>
      <c r="H2028">
        <v>694</v>
      </c>
      <c r="I2028" t="s">
        <v>21</v>
      </c>
      <c r="J2028" t="str">
        <f>_xlfn.XLOOKUP(branches[[#This Row],[Филиал]], tbl_Filialy[Филиал], tbl_Filialy[Менеджер])</f>
        <v>Ирина Соколова</v>
      </c>
    </row>
    <row r="2029" spans="1:10" x14ac:dyDescent="0.3">
      <c r="A2029" t="str">
        <f>_xlfn.XLOOKUP(branches[[#This Row],[Филиал]], tbl_Filialy[Филиал], tbl_Filialy[Город])</f>
        <v>Москва</v>
      </c>
      <c r="B2029" s="1" t="s">
        <v>36</v>
      </c>
      <c r="C2029" s="2">
        <v>46003</v>
      </c>
      <c r="D2029" s="2" t="str">
        <f>CHOOSE(MONTH(branches[[#This Row],[Дата]]),"Январь","Февраль","Март","Апрель","Май","Июнь","Июль","Август","Сентябрь","Октябрь","Ноябрь","Декабрь")&amp;" "&amp;YEAR(branches[[#This Row],[Дата]])</f>
        <v>Декабрь 2025</v>
      </c>
      <c r="E2029" t="s">
        <v>8</v>
      </c>
      <c r="F2029" t="s">
        <v>9</v>
      </c>
      <c r="G2029">
        <v>2</v>
      </c>
      <c r="H2029">
        <v>446</v>
      </c>
      <c r="I2029" t="s">
        <v>13</v>
      </c>
      <c r="J2029" t="str">
        <f>_xlfn.XLOOKUP(branches[[#This Row],[Филиал]], tbl_Filialy[Филиал], tbl_Filialy[Менеджер])</f>
        <v>Ирина Соколова</v>
      </c>
    </row>
    <row r="2030" spans="1:10" x14ac:dyDescent="0.3">
      <c r="A2030" t="str">
        <f>_xlfn.XLOOKUP(branches[[#This Row],[Филиал]], tbl_Filialy[Филиал], tbl_Filialy[Город])</f>
        <v>Москва</v>
      </c>
      <c r="B2030" s="1" t="s">
        <v>36</v>
      </c>
      <c r="C2030" s="2">
        <v>45914</v>
      </c>
      <c r="D2030" s="2" t="str">
        <f>CHOOSE(MONTH(branches[[#This Row],[Дата]]),"Январь","Февраль","Март","Апрель","Май","Июнь","Июль","Август","Сентябрь","Октябрь","Ноябрь","Декабрь")&amp;" "&amp;YEAR(branches[[#This Row],[Дата]])</f>
        <v>Сентябрь 2025</v>
      </c>
      <c r="E2030" t="s">
        <v>24</v>
      </c>
      <c r="F2030" t="s">
        <v>17</v>
      </c>
      <c r="G2030">
        <v>2</v>
      </c>
      <c r="H2030">
        <v>804</v>
      </c>
      <c r="I2030" t="s">
        <v>23</v>
      </c>
      <c r="J2030" t="str">
        <f>_xlfn.XLOOKUP(branches[[#This Row],[Филиал]], tbl_Filialy[Филиал], tbl_Filialy[Менеджер])</f>
        <v>Ирина Соколова</v>
      </c>
    </row>
    <row r="2031" spans="1:10" x14ac:dyDescent="0.3">
      <c r="A2031" t="str">
        <f>_xlfn.XLOOKUP(branches[[#This Row],[Филиал]], tbl_Filialy[Филиал], tbl_Filialy[Город])</f>
        <v>Москва</v>
      </c>
      <c r="B2031" s="1" t="s">
        <v>36</v>
      </c>
      <c r="C2031" s="2">
        <v>46012</v>
      </c>
      <c r="D2031" s="2" t="str">
        <f>CHOOSE(MONTH(branches[[#This Row],[Дата]]),"Январь","Февраль","Март","Апрель","Май","Июнь","Июль","Август","Сентябрь","Октябрь","Ноябрь","Декабрь")&amp;" "&amp;YEAR(branches[[#This Row],[Дата]])</f>
        <v>Декабрь 2025</v>
      </c>
      <c r="E2031" t="s">
        <v>26</v>
      </c>
      <c r="F2031" t="s">
        <v>9</v>
      </c>
      <c r="G2031">
        <v>3</v>
      </c>
      <c r="H2031">
        <v>588</v>
      </c>
      <c r="I2031" t="s">
        <v>13</v>
      </c>
      <c r="J2031" t="str">
        <f>_xlfn.XLOOKUP(branches[[#This Row],[Филиал]], tbl_Filialy[Филиал], tbl_Filialy[Менеджер])</f>
        <v>Ирина Соколова</v>
      </c>
    </row>
    <row r="2032" spans="1:10" x14ac:dyDescent="0.3">
      <c r="A2032" t="str">
        <f>_xlfn.XLOOKUP(branches[[#This Row],[Филиал]], tbl_Filialy[Филиал], tbl_Filialy[Город])</f>
        <v>Москва</v>
      </c>
      <c r="B2032" s="1" t="s">
        <v>36</v>
      </c>
      <c r="C2032" s="2">
        <v>45666</v>
      </c>
      <c r="D2032" s="2" t="str">
        <f>CHOOSE(MONTH(branches[[#This Row],[Дата]]),"Январь","Февраль","Март","Апрель","Май","Июнь","Июль","Август","Сентябрь","Октябрь","Ноябрь","Декабрь")&amp;" "&amp;YEAR(branches[[#This Row],[Дата]])</f>
        <v>Январь 2025</v>
      </c>
      <c r="E2032" t="s">
        <v>27</v>
      </c>
      <c r="F2032" t="s">
        <v>12</v>
      </c>
      <c r="G2032">
        <v>1</v>
      </c>
      <c r="H2032">
        <v>205</v>
      </c>
      <c r="I2032" t="s">
        <v>23</v>
      </c>
      <c r="J2032" t="str">
        <f>_xlfn.XLOOKUP(branches[[#This Row],[Филиал]], tbl_Filialy[Филиал], tbl_Filialy[Менеджер])</f>
        <v>Ирина Соколова</v>
      </c>
    </row>
    <row r="2033" spans="1:10" x14ac:dyDescent="0.3">
      <c r="A2033" t="str">
        <f>_xlfn.XLOOKUP(branches[[#This Row],[Филиал]], tbl_Filialy[Филиал], tbl_Filialy[Город])</f>
        <v>Москва</v>
      </c>
      <c r="B2033" s="1" t="s">
        <v>36</v>
      </c>
      <c r="C2033" s="2">
        <v>45819</v>
      </c>
      <c r="D2033" s="2" t="str">
        <f>CHOOSE(MONTH(branches[[#This Row],[Дата]]),"Январь","Февраль","Март","Апрель","Май","Июнь","Июль","Август","Сентябрь","Октябрь","Ноябрь","Декабрь")&amp;" "&amp;YEAR(branches[[#This Row],[Дата]])</f>
        <v>Июнь 2025</v>
      </c>
      <c r="E2033" t="s">
        <v>25</v>
      </c>
      <c r="F2033" t="s">
        <v>12</v>
      </c>
      <c r="G2033">
        <v>3</v>
      </c>
      <c r="H2033">
        <v>603</v>
      </c>
      <c r="I2033" t="s">
        <v>15</v>
      </c>
      <c r="J2033" t="str">
        <f>_xlfn.XLOOKUP(branches[[#This Row],[Филиал]], tbl_Filialy[Филиал], tbl_Filialy[Менеджер])</f>
        <v>Ирина Соколова</v>
      </c>
    </row>
    <row r="2034" spans="1:10" x14ac:dyDescent="0.3">
      <c r="A2034" t="str">
        <f>_xlfn.XLOOKUP(branches[[#This Row],[Филиал]], tbl_Filialy[Филиал], tbl_Filialy[Город])</f>
        <v>Москва</v>
      </c>
      <c r="B2034" s="1" t="s">
        <v>36</v>
      </c>
      <c r="C2034" s="2">
        <v>45794</v>
      </c>
      <c r="D2034" s="2" t="str">
        <f>CHOOSE(MONTH(branches[[#This Row],[Дата]]),"Январь","Февраль","Март","Апрель","Май","Июнь","Июль","Август","Сентябрь","Октябрь","Ноябрь","Декабрь")&amp;" "&amp;YEAR(branches[[#This Row],[Дата]])</f>
        <v>Май 2025</v>
      </c>
      <c r="E2034" t="s">
        <v>28</v>
      </c>
      <c r="F2034" t="s">
        <v>12</v>
      </c>
      <c r="G2034">
        <v>2</v>
      </c>
      <c r="H2034">
        <v>412</v>
      </c>
      <c r="I2034" t="s">
        <v>15</v>
      </c>
      <c r="J2034" t="str">
        <f>_xlfn.XLOOKUP(branches[[#This Row],[Филиал]], tbl_Filialy[Филиал], tbl_Filialy[Менеджер])</f>
        <v>Ирина Соколова</v>
      </c>
    </row>
    <row r="2035" spans="1:10" x14ac:dyDescent="0.3">
      <c r="A2035" t="str">
        <f>_xlfn.XLOOKUP(branches[[#This Row],[Филиал]], tbl_Filialy[Филиал], tbl_Filialy[Город])</f>
        <v>Москва</v>
      </c>
      <c r="B2035" s="1" t="s">
        <v>36</v>
      </c>
      <c r="C2035" s="2">
        <v>45950</v>
      </c>
      <c r="D2035" s="2" t="str">
        <f>CHOOSE(MONTH(branches[[#This Row],[Дата]]),"Январь","Февраль","Март","Апрель","Май","Июнь","Июль","Август","Сентябрь","Октябрь","Ноябрь","Декабрь")&amp;" "&amp;YEAR(branches[[#This Row],[Дата]])</f>
        <v>Октябрь 2025</v>
      </c>
      <c r="E2035" t="s">
        <v>27</v>
      </c>
      <c r="F2035" t="s">
        <v>12</v>
      </c>
      <c r="G2035">
        <v>1</v>
      </c>
      <c r="H2035">
        <v>211</v>
      </c>
      <c r="I2035" t="s">
        <v>13</v>
      </c>
      <c r="J2035" t="str">
        <f>_xlfn.XLOOKUP(branches[[#This Row],[Филиал]], tbl_Filialy[Филиал], tbl_Filialy[Менеджер])</f>
        <v>Ирина Соколова</v>
      </c>
    </row>
    <row r="2036" spans="1:10" x14ac:dyDescent="0.3">
      <c r="A2036" t="str">
        <f>_xlfn.XLOOKUP(branches[[#This Row],[Филиал]], tbl_Filialy[Филиал], tbl_Filialy[Город])</f>
        <v>Москва</v>
      </c>
      <c r="B2036" s="1" t="s">
        <v>36</v>
      </c>
      <c r="C2036" s="2">
        <v>45809</v>
      </c>
      <c r="D2036" s="2" t="str">
        <f>CHOOSE(MONTH(branches[[#This Row],[Дата]]),"Январь","Февраль","Март","Апрель","Май","Июнь","Июль","Август","Сентябрь","Октябрь","Ноябрь","Декабрь")&amp;" "&amp;YEAR(branches[[#This Row],[Дата]])</f>
        <v>Июнь 2025</v>
      </c>
      <c r="E2036" t="s">
        <v>16</v>
      </c>
      <c r="F2036" t="s">
        <v>17</v>
      </c>
      <c r="G2036">
        <v>3</v>
      </c>
      <c r="H2036">
        <v>1068</v>
      </c>
      <c r="I2036" t="s">
        <v>23</v>
      </c>
      <c r="J2036" t="str">
        <f>_xlfn.XLOOKUP(branches[[#This Row],[Филиал]], tbl_Filialy[Филиал], tbl_Filialy[Менеджер])</f>
        <v>Ирина Соколова</v>
      </c>
    </row>
    <row r="2037" spans="1:10" x14ac:dyDescent="0.3">
      <c r="A2037" t="str">
        <f>_xlfn.XLOOKUP(branches[[#This Row],[Филиал]], tbl_Filialy[Филиал], tbl_Filialy[Город])</f>
        <v>Москва</v>
      </c>
      <c r="B2037" s="1" t="s">
        <v>36</v>
      </c>
      <c r="C2037" s="2">
        <v>45826</v>
      </c>
      <c r="D2037" s="2" t="str">
        <f>CHOOSE(MONTH(branches[[#This Row],[Дата]]),"Январь","Февраль","Март","Апрель","Май","Июнь","Июль","Август","Сентябрь","Октябрь","Ноябрь","Декабрь")&amp;" "&amp;YEAR(branches[[#This Row],[Дата]])</f>
        <v>Июнь 2025</v>
      </c>
      <c r="E2037" t="s">
        <v>26</v>
      </c>
      <c r="F2037" t="s">
        <v>9</v>
      </c>
      <c r="G2037">
        <v>3</v>
      </c>
      <c r="H2037">
        <v>666</v>
      </c>
      <c r="I2037" t="s">
        <v>13</v>
      </c>
      <c r="J2037" t="str">
        <f>_xlfn.XLOOKUP(branches[[#This Row],[Филиал]], tbl_Filialy[Филиал], tbl_Filialy[Менеджер])</f>
        <v>Ирина Соколова</v>
      </c>
    </row>
    <row r="2038" spans="1:10" x14ac:dyDescent="0.3">
      <c r="A2038" t="str">
        <f>_xlfn.XLOOKUP(branches[[#This Row],[Филиал]], tbl_Filialy[Филиал], tbl_Filialy[Город])</f>
        <v>Москва</v>
      </c>
      <c r="B2038" s="1" t="s">
        <v>36</v>
      </c>
      <c r="C2038" s="2">
        <v>45752</v>
      </c>
      <c r="D2038" s="2" t="str">
        <f>CHOOSE(MONTH(branches[[#This Row],[Дата]]),"Январь","Февраль","Март","Апрель","Май","Июнь","Июль","Август","Сентябрь","Октябрь","Ноябрь","Декабрь")&amp;" "&amp;YEAR(branches[[#This Row],[Дата]])</f>
        <v>Апрель 2025</v>
      </c>
      <c r="E2038" t="s">
        <v>26</v>
      </c>
      <c r="F2038" t="s">
        <v>9</v>
      </c>
      <c r="G2038">
        <v>2</v>
      </c>
      <c r="H2038">
        <v>464</v>
      </c>
      <c r="I2038" t="s">
        <v>23</v>
      </c>
      <c r="J2038" t="str">
        <f>_xlfn.XLOOKUP(branches[[#This Row],[Филиал]], tbl_Filialy[Филиал], tbl_Filialy[Менеджер])</f>
        <v>Ирина Соколова</v>
      </c>
    </row>
    <row r="2039" spans="1:10" x14ac:dyDescent="0.3">
      <c r="A2039" t="str">
        <f>_xlfn.XLOOKUP(branches[[#This Row],[Филиал]], tbl_Filialy[Филиал], tbl_Filialy[Город])</f>
        <v>Москва</v>
      </c>
      <c r="B2039" s="1" t="s">
        <v>36</v>
      </c>
      <c r="C2039" s="2">
        <v>46007</v>
      </c>
      <c r="D2039" s="2" t="str">
        <f>CHOOSE(MONTH(branches[[#This Row],[Дата]]),"Январь","Февраль","Март","Апрель","Май","Июнь","Июль","Август","Сентябрь","Октябрь","Ноябрь","Декабрь")&amp;" "&amp;YEAR(branches[[#This Row],[Дата]])</f>
        <v>Декабрь 2025</v>
      </c>
      <c r="E2039" t="s">
        <v>28</v>
      </c>
      <c r="F2039" t="s">
        <v>12</v>
      </c>
      <c r="G2039">
        <v>3</v>
      </c>
      <c r="H2039">
        <v>744</v>
      </c>
      <c r="I2039" t="s">
        <v>21</v>
      </c>
      <c r="J2039" t="str">
        <f>_xlfn.XLOOKUP(branches[[#This Row],[Филиал]], tbl_Filialy[Филиал], tbl_Filialy[Менеджер])</f>
        <v>Ирина Соколова</v>
      </c>
    </row>
    <row r="2040" spans="1:10" x14ac:dyDescent="0.3">
      <c r="A2040" t="str">
        <f>_xlfn.XLOOKUP(branches[[#This Row],[Филиал]], tbl_Filialy[Филиал], tbl_Filialy[Город])</f>
        <v>Москва</v>
      </c>
      <c r="B2040" s="1" t="s">
        <v>36</v>
      </c>
      <c r="C2040" s="2">
        <v>45979</v>
      </c>
      <c r="D2040" s="2" t="str">
        <f>CHOOSE(MONTH(branches[[#This Row],[Дата]]),"Январь","Февраль","Март","Апрель","Май","Июнь","Июль","Август","Сентябрь","Октябрь","Ноябрь","Декабрь")&amp;" "&amp;YEAR(branches[[#This Row],[Дата]])</f>
        <v>Ноябрь 2025</v>
      </c>
      <c r="E2040" t="s">
        <v>16</v>
      </c>
      <c r="F2040" t="s">
        <v>17</v>
      </c>
      <c r="G2040">
        <v>1</v>
      </c>
      <c r="H2040">
        <v>280</v>
      </c>
      <c r="I2040" t="s">
        <v>21</v>
      </c>
      <c r="J2040" t="str">
        <f>_xlfn.XLOOKUP(branches[[#This Row],[Филиал]], tbl_Filialy[Филиал], tbl_Filialy[Менеджер])</f>
        <v>Ирина Соколова</v>
      </c>
    </row>
    <row r="2041" spans="1:10" x14ac:dyDescent="0.3">
      <c r="A2041" t="str">
        <f>_xlfn.XLOOKUP(branches[[#This Row],[Филиал]], tbl_Filialy[Филиал], tbl_Filialy[Город])</f>
        <v>Москва</v>
      </c>
      <c r="B2041" s="1" t="s">
        <v>36</v>
      </c>
      <c r="C2041" s="2">
        <v>45841</v>
      </c>
      <c r="D2041" s="2" t="str">
        <f>CHOOSE(MONTH(branches[[#This Row],[Дата]]),"Январь","Февраль","Март","Апрель","Май","Июнь","Июль","Август","Сентябрь","Октябрь","Ноябрь","Декабрь")&amp;" "&amp;YEAR(branches[[#This Row],[Дата]])</f>
        <v>Июль 2025</v>
      </c>
      <c r="E2041" t="s">
        <v>25</v>
      </c>
      <c r="F2041" t="s">
        <v>12</v>
      </c>
      <c r="G2041">
        <v>1</v>
      </c>
      <c r="H2041">
        <v>224</v>
      </c>
      <c r="I2041" t="s">
        <v>10</v>
      </c>
      <c r="J2041" t="str">
        <f>_xlfn.XLOOKUP(branches[[#This Row],[Филиал]], tbl_Filialy[Филиал], tbl_Filialy[Менеджер])</f>
        <v>Ирина Соколова</v>
      </c>
    </row>
    <row r="2042" spans="1:10" x14ac:dyDescent="0.3">
      <c r="A2042" t="str">
        <f>_xlfn.XLOOKUP(branches[[#This Row],[Филиал]], tbl_Filialy[Филиал], tbl_Filialy[Город])</f>
        <v>Москва</v>
      </c>
      <c r="B2042" s="1" t="s">
        <v>36</v>
      </c>
      <c r="C2042" s="2">
        <v>45789</v>
      </c>
      <c r="D2042" s="2" t="str">
        <f>CHOOSE(MONTH(branches[[#This Row],[Дата]]),"Январь","Февраль","Март","Апрель","Май","Июнь","Июль","Август","Сентябрь","Октябрь","Ноябрь","Декабрь")&amp;" "&amp;YEAR(branches[[#This Row],[Дата]])</f>
        <v>Май 2025</v>
      </c>
      <c r="E2042" t="s">
        <v>11</v>
      </c>
      <c r="F2042" t="s">
        <v>12</v>
      </c>
      <c r="G2042">
        <v>1</v>
      </c>
      <c r="H2042">
        <v>173</v>
      </c>
      <c r="I2042" t="s">
        <v>19</v>
      </c>
      <c r="J2042" t="str">
        <f>_xlfn.XLOOKUP(branches[[#This Row],[Филиал]], tbl_Filialy[Филиал], tbl_Filialy[Менеджер])</f>
        <v>Ирина Соколова</v>
      </c>
    </row>
    <row r="2043" spans="1:10" x14ac:dyDescent="0.3">
      <c r="A2043" t="str">
        <f>_xlfn.XLOOKUP(branches[[#This Row],[Филиал]], tbl_Filialy[Филиал], tbl_Filialy[Город])</f>
        <v>Москва</v>
      </c>
      <c r="B2043" s="1" t="s">
        <v>36</v>
      </c>
      <c r="C2043" s="2">
        <v>45664</v>
      </c>
      <c r="D2043" s="2" t="str">
        <f>CHOOSE(MONTH(branches[[#This Row],[Дата]]),"Январь","Февраль","Март","Апрель","Май","Июнь","Июль","Август","Сентябрь","Октябрь","Ноябрь","Декабрь")&amp;" "&amp;YEAR(branches[[#This Row],[Дата]])</f>
        <v>Январь 2025</v>
      </c>
      <c r="E2043" t="s">
        <v>8</v>
      </c>
      <c r="F2043" t="s">
        <v>9</v>
      </c>
      <c r="G2043">
        <v>2</v>
      </c>
      <c r="H2043">
        <v>494</v>
      </c>
      <c r="I2043" t="s">
        <v>19</v>
      </c>
      <c r="J2043" t="str">
        <f>_xlfn.XLOOKUP(branches[[#This Row],[Филиал]], tbl_Filialy[Филиал], tbl_Filialy[Менеджер])</f>
        <v>Ирина Соколова</v>
      </c>
    </row>
    <row r="2044" spans="1:10" x14ac:dyDescent="0.3">
      <c r="A2044" t="str">
        <f>_xlfn.XLOOKUP(branches[[#This Row],[Филиал]], tbl_Filialy[Филиал], tbl_Filialy[Город])</f>
        <v>Москва</v>
      </c>
      <c r="B2044" s="1" t="s">
        <v>36</v>
      </c>
      <c r="C2044" s="2">
        <v>45750</v>
      </c>
      <c r="D2044" s="2" t="str">
        <f>CHOOSE(MONTH(branches[[#This Row],[Дата]]),"Январь","Февраль","Март","Апрель","Май","Июнь","Июль","Август","Сентябрь","Октябрь","Ноябрь","Декабрь")&amp;" "&amp;YEAR(branches[[#This Row],[Дата]])</f>
        <v>Апрель 2025</v>
      </c>
      <c r="E2044" t="s">
        <v>8</v>
      </c>
      <c r="F2044" t="s">
        <v>9</v>
      </c>
      <c r="G2044">
        <v>1</v>
      </c>
      <c r="H2044">
        <v>249</v>
      </c>
      <c r="I2044" t="s">
        <v>10</v>
      </c>
      <c r="J2044" t="str">
        <f>_xlfn.XLOOKUP(branches[[#This Row],[Филиал]], tbl_Filialy[Филиал], tbl_Filialy[Менеджер])</f>
        <v>Ирина Соколова</v>
      </c>
    </row>
    <row r="2045" spans="1:10" x14ac:dyDescent="0.3">
      <c r="A2045" t="str">
        <f>_xlfn.XLOOKUP(branches[[#This Row],[Филиал]], tbl_Filialy[Филиал], tbl_Filialy[Город])</f>
        <v>Москва</v>
      </c>
      <c r="B2045" s="1" t="s">
        <v>36</v>
      </c>
      <c r="C2045" s="2">
        <v>45921</v>
      </c>
      <c r="D2045" s="2" t="str">
        <f>CHOOSE(MONTH(branches[[#This Row],[Дата]]),"Январь","Февраль","Март","Апрель","Май","Июнь","Июль","Август","Сентябрь","Октябрь","Ноябрь","Декабрь")&amp;" "&amp;YEAR(branches[[#This Row],[Дата]])</f>
        <v>Сентябрь 2025</v>
      </c>
      <c r="E2045" t="s">
        <v>28</v>
      </c>
      <c r="F2045" t="s">
        <v>12</v>
      </c>
      <c r="G2045">
        <v>1</v>
      </c>
      <c r="H2045">
        <v>220</v>
      </c>
      <c r="I2045" t="s">
        <v>23</v>
      </c>
      <c r="J2045" t="str">
        <f>_xlfn.XLOOKUP(branches[[#This Row],[Филиал]], tbl_Filialy[Филиал], tbl_Filialy[Менеджер])</f>
        <v>Ирина Соколова</v>
      </c>
    </row>
    <row r="2046" spans="1:10" x14ac:dyDescent="0.3">
      <c r="A2046" t="str">
        <f>_xlfn.XLOOKUP(branches[[#This Row],[Филиал]], tbl_Filialy[Филиал], tbl_Filialy[Город])</f>
        <v>Москва</v>
      </c>
      <c r="B2046" s="1" t="s">
        <v>36</v>
      </c>
      <c r="C2046" s="2">
        <v>45786</v>
      </c>
      <c r="D2046" s="2" t="str">
        <f>CHOOSE(MONTH(branches[[#This Row],[Дата]]),"Январь","Февраль","Март","Апрель","Май","Июнь","Июль","Август","Сентябрь","Октябрь","Ноябрь","Декабрь")&amp;" "&amp;YEAR(branches[[#This Row],[Дата]])</f>
        <v>Май 2025</v>
      </c>
      <c r="E2046" t="s">
        <v>28</v>
      </c>
      <c r="F2046" t="s">
        <v>12</v>
      </c>
      <c r="G2046">
        <v>2</v>
      </c>
      <c r="H2046">
        <v>500</v>
      </c>
      <c r="I2046" t="s">
        <v>10</v>
      </c>
      <c r="J2046" t="str">
        <f>_xlfn.XLOOKUP(branches[[#This Row],[Филиал]], tbl_Filialy[Филиал], tbl_Filialy[Менеджер])</f>
        <v>Ирина Соколова</v>
      </c>
    </row>
    <row r="2047" spans="1:10" x14ac:dyDescent="0.3">
      <c r="A2047" t="str">
        <f>_xlfn.XLOOKUP(branches[[#This Row],[Филиал]], tbl_Filialy[Филиал], tbl_Filialy[Город])</f>
        <v>Москва</v>
      </c>
      <c r="B2047" s="1" t="s">
        <v>36</v>
      </c>
      <c r="C2047" s="2">
        <v>45926</v>
      </c>
      <c r="D2047" s="2" t="str">
        <f>CHOOSE(MONTH(branches[[#This Row],[Дата]]),"Январь","Февраль","Март","Апрель","Май","Июнь","Июль","Август","Сентябрь","Октябрь","Ноябрь","Декабрь")&amp;" "&amp;YEAR(branches[[#This Row],[Дата]])</f>
        <v>Сентябрь 2025</v>
      </c>
      <c r="E2047" t="s">
        <v>8</v>
      </c>
      <c r="F2047" t="s">
        <v>9</v>
      </c>
      <c r="G2047">
        <v>2</v>
      </c>
      <c r="H2047">
        <v>504</v>
      </c>
      <c r="I2047" t="s">
        <v>19</v>
      </c>
      <c r="J2047" t="str">
        <f>_xlfn.XLOOKUP(branches[[#This Row],[Филиал]], tbl_Filialy[Филиал], tbl_Filialy[Менеджер])</f>
        <v>Ирина Соколова</v>
      </c>
    </row>
    <row r="2048" spans="1:10" x14ac:dyDescent="0.3">
      <c r="A2048" t="str">
        <f>_xlfn.XLOOKUP(branches[[#This Row],[Филиал]], tbl_Filialy[Филиал], tbl_Filialy[Город])</f>
        <v>Москва</v>
      </c>
      <c r="B2048" s="1" t="s">
        <v>36</v>
      </c>
      <c r="C2048" s="2">
        <v>45693</v>
      </c>
      <c r="D2048" s="2" t="str">
        <f>CHOOSE(MONTH(branches[[#This Row],[Дата]]),"Январь","Февраль","Март","Апрель","Май","Июнь","Июль","Август","Сентябрь","Октябрь","Ноябрь","Декабрь")&amp;" "&amp;YEAR(branches[[#This Row],[Дата]])</f>
        <v>Февраль 2025</v>
      </c>
      <c r="E2048" t="s">
        <v>28</v>
      </c>
      <c r="F2048" t="s">
        <v>12</v>
      </c>
      <c r="G2048">
        <v>3</v>
      </c>
      <c r="H2048">
        <v>771</v>
      </c>
      <c r="I2048" t="s">
        <v>19</v>
      </c>
      <c r="J2048" t="str">
        <f>_xlfn.XLOOKUP(branches[[#This Row],[Филиал]], tbl_Filialy[Филиал], tbl_Filialy[Менеджер])</f>
        <v>Ирина Соколова</v>
      </c>
    </row>
    <row r="2049" spans="1:10" x14ac:dyDescent="0.3">
      <c r="A2049" t="str">
        <f>_xlfn.XLOOKUP(branches[[#This Row],[Филиал]], tbl_Filialy[Филиал], tbl_Filialy[Город])</f>
        <v>Москва</v>
      </c>
      <c r="B2049" s="1" t="s">
        <v>36</v>
      </c>
      <c r="C2049" s="2">
        <v>45891</v>
      </c>
      <c r="D2049" s="2" t="str">
        <f>CHOOSE(MONTH(branches[[#This Row],[Дата]]),"Январь","Февраль","Март","Апрель","Май","Июнь","Июль","Август","Сентябрь","Октябрь","Ноябрь","Декабрь")&amp;" "&amp;YEAR(branches[[#This Row],[Дата]])</f>
        <v>Август 2025</v>
      </c>
      <c r="E2049" t="s">
        <v>8</v>
      </c>
      <c r="F2049" t="s">
        <v>9</v>
      </c>
      <c r="G2049">
        <v>1</v>
      </c>
      <c r="H2049">
        <v>261</v>
      </c>
      <c r="I2049" t="s">
        <v>15</v>
      </c>
      <c r="J2049" t="str">
        <f>_xlfn.XLOOKUP(branches[[#This Row],[Филиал]], tbl_Filialy[Филиал], tbl_Filialy[Менеджер])</f>
        <v>Ирина Соколова</v>
      </c>
    </row>
    <row r="2050" spans="1:10" x14ac:dyDescent="0.3">
      <c r="A2050" t="str">
        <f>_xlfn.XLOOKUP(branches[[#This Row],[Филиал]], tbl_Filialy[Филиал], tbl_Filialy[Город])</f>
        <v>Москва</v>
      </c>
      <c r="B2050" s="1" t="s">
        <v>36</v>
      </c>
      <c r="C2050" s="2">
        <v>45744</v>
      </c>
      <c r="D2050" s="2" t="str">
        <f>CHOOSE(MONTH(branches[[#This Row],[Дата]]),"Январь","Февраль","Март","Апрель","Май","Июнь","Июль","Август","Сентябрь","Октябрь","Ноябрь","Декабрь")&amp;" "&amp;YEAR(branches[[#This Row],[Дата]])</f>
        <v>Март 2025</v>
      </c>
      <c r="E2050" t="s">
        <v>16</v>
      </c>
      <c r="F2050" t="s">
        <v>17</v>
      </c>
      <c r="G2050">
        <v>2</v>
      </c>
      <c r="H2050">
        <v>594</v>
      </c>
      <c r="I2050" t="s">
        <v>15</v>
      </c>
      <c r="J2050" t="str">
        <f>_xlfn.XLOOKUP(branches[[#This Row],[Филиал]], tbl_Filialy[Филиал], tbl_Filialy[Менеджер])</f>
        <v>Ирина Соколова</v>
      </c>
    </row>
    <row r="2051" spans="1:10" x14ac:dyDescent="0.3">
      <c r="A2051" t="str">
        <f>_xlfn.XLOOKUP(branches[[#This Row],[Филиал]], tbl_Filialy[Филиал], tbl_Filialy[Город])</f>
        <v>Москва</v>
      </c>
      <c r="B2051" s="1" t="s">
        <v>36</v>
      </c>
      <c r="C2051" s="2">
        <v>45726</v>
      </c>
      <c r="D2051" s="2" t="str">
        <f>CHOOSE(MONTH(branches[[#This Row],[Дата]]),"Январь","Февраль","Март","Апрель","Май","Июнь","Июль","Август","Сентябрь","Октябрь","Ноябрь","Декабрь")&amp;" "&amp;YEAR(branches[[#This Row],[Дата]])</f>
        <v>Март 2025</v>
      </c>
      <c r="E2051" t="s">
        <v>22</v>
      </c>
      <c r="F2051" t="s">
        <v>9</v>
      </c>
      <c r="G2051">
        <v>1</v>
      </c>
      <c r="H2051">
        <v>182</v>
      </c>
      <c r="I2051" t="s">
        <v>15</v>
      </c>
      <c r="J2051" t="str">
        <f>_xlfn.XLOOKUP(branches[[#This Row],[Филиал]], tbl_Filialy[Филиал], tbl_Filialy[Менеджер])</f>
        <v>Ирина Соколова</v>
      </c>
    </row>
    <row r="2052" spans="1:10" x14ac:dyDescent="0.3">
      <c r="A2052" t="str">
        <f>_xlfn.XLOOKUP(branches[[#This Row],[Филиал]], tbl_Filialy[Филиал], tbl_Filialy[Город])</f>
        <v>Москва</v>
      </c>
      <c r="B2052" s="1" t="s">
        <v>36</v>
      </c>
      <c r="C2052" s="2">
        <v>45972</v>
      </c>
      <c r="D2052" s="2" t="str">
        <f>CHOOSE(MONTH(branches[[#This Row],[Дата]]),"Январь","Февраль","Март","Апрель","Май","Июнь","Июль","Август","Сентябрь","Октябрь","Ноябрь","Декабрь")&amp;" "&amp;YEAR(branches[[#This Row],[Дата]])</f>
        <v>Ноябрь 2025</v>
      </c>
      <c r="E2052" t="s">
        <v>8</v>
      </c>
      <c r="F2052" t="s">
        <v>9</v>
      </c>
      <c r="G2052">
        <v>1</v>
      </c>
      <c r="H2052">
        <v>230</v>
      </c>
      <c r="I2052" t="s">
        <v>19</v>
      </c>
      <c r="J2052" t="str">
        <f>_xlfn.XLOOKUP(branches[[#This Row],[Филиал]], tbl_Filialy[Филиал], tbl_Filialy[Менеджер])</f>
        <v>Ирина Соколова</v>
      </c>
    </row>
    <row r="2053" spans="1:10" x14ac:dyDescent="0.3">
      <c r="A2053" t="str">
        <f>_xlfn.XLOOKUP(branches[[#This Row],[Филиал]], tbl_Filialy[Филиал], tbl_Filialy[Город])</f>
        <v>Москва</v>
      </c>
      <c r="B2053" s="1" t="s">
        <v>36</v>
      </c>
      <c r="C2053" s="2">
        <v>45983</v>
      </c>
      <c r="D2053" s="2" t="str">
        <f>CHOOSE(MONTH(branches[[#This Row],[Дата]]),"Январь","Февраль","Март","Апрель","Май","Июнь","Июль","Август","Сентябрь","Октябрь","Ноябрь","Декабрь")&amp;" "&amp;YEAR(branches[[#This Row],[Дата]])</f>
        <v>Ноябрь 2025</v>
      </c>
      <c r="E2053" t="s">
        <v>14</v>
      </c>
      <c r="F2053" t="s">
        <v>12</v>
      </c>
      <c r="G2053">
        <v>1</v>
      </c>
      <c r="H2053">
        <v>266</v>
      </c>
      <c r="I2053" t="s">
        <v>19</v>
      </c>
      <c r="J2053" t="str">
        <f>_xlfn.XLOOKUP(branches[[#This Row],[Филиал]], tbl_Filialy[Филиал], tbl_Filialy[Менеджер])</f>
        <v>Ирина Соколова</v>
      </c>
    </row>
    <row r="2054" spans="1:10" x14ac:dyDescent="0.3">
      <c r="A2054" t="str">
        <f>_xlfn.XLOOKUP(branches[[#This Row],[Филиал]], tbl_Filialy[Филиал], tbl_Filialy[Город])</f>
        <v>Москва</v>
      </c>
      <c r="B2054" s="1" t="s">
        <v>36</v>
      </c>
      <c r="C2054" s="2">
        <v>45692</v>
      </c>
      <c r="D2054" s="2" t="str">
        <f>CHOOSE(MONTH(branches[[#This Row],[Дата]]),"Январь","Февраль","Март","Апрель","Май","Июнь","Июль","Август","Сентябрь","Октябрь","Ноябрь","Декабрь")&amp;" "&amp;YEAR(branches[[#This Row],[Дата]])</f>
        <v>Февраль 2025</v>
      </c>
      <c r="E2054" t="s">
        <v>28</v>
      </c>
      <c r="F2054" t="s">
        <v>12</v>
      </c>
      <c r="G2054">
        <v>1</v>
      </c>
      <c r="H2054">
        <v>216</v>
      </c>
      <c r="I2054" t="s">
        <v>23</v>
      </c>
      <c r="J2054" t="str">
        <f>_xlfn.XLOOKUP(branches[[#This Row],[Филиал]], tbl_Filialy[Филиал], tbl_Filialy[Менеджер])</f>
        <v>Ирина Соколова</v>
      </c>
    </row>
    <row r="2055" spans="1:10" x14ac:dyDescent="0.3">
      <c r="A2055" t="str">
        <f>_xlfn.XLOOKUP(branches[[#This Row],[Филиал]], tbl_Filialy[Филиал], tbl_Filialy[Город])</f>
        <v>Москва</v>
      </c>
      <c r="B2055" s="1" t="s">
        <v>36</v>
      </c>
      <c r="C2055" s="2">
        <v>45800</v>
      </c>
      <c r="D2055" s="2" t="str">
        <f>CHOOSE(MONTH(branches[[#This Row],[Дата]]),"Январь","Февраль","Март","Апрель","Май","Июнь","Июль","Август","Сентябрь","Октябрь","Ноябрь","Декабрь")&amp;" "&amp;YEAR(branches[[#This Row],[Дата]])</f>
        <v>Май 2025</v>
      </c>
      <c r="E2055" t="s">
        <v>25</v>
      </c>
      <c r="F2055" t="s">
        <v>12</v>
      </c>
      <c r="G2055">
        <v>1</v>
      </c>
      <c r="H2055">
        <v>197</v>
      </c>
      <c r="I2055" t="s">
        <v>10</v>
      </c>
      <c r="J2055" t="str">
        <f>_xlfn.XLOOKUP(branches[[#This Row],[Филиал]], tbl_Filialy[Филиал], tbl_Filialy[Менеджер])</f>
        <v>Ирина Соколова</v>
      </c>
    </row>
    <row r="2056" spans="1:10" x14ac:dyDescent="0.3">
      <c r="A2056" t="str">
        <f>_xlfn.XLOOKUP(branches[[#This Row],[Филиал]], tbl_Filialy[Филиал], tbl_Filialy[Город])</f>
        <v>Москва</v>
      </c>
      <c r="B2056" s="1" t="s">
        <v>36</v>
      </c>
      <c r="C2056" s="2">
        <v>45883</v>
      </c>
      <c r="D2056" s="2" t="str">
        <f>CHOOSE(MONTH(branches[[#This Row],[Дата]]),"Январь","Февраль","Март","Апрель","Май","Июнь","Июль","Август","Сентябрь","Октябрь","Ноябрь","Декабрь")&amp;" "&amp;YEAR(branches[[#This Row],[Дата]])</f>
        <v>Август 2025</v>
      </c>
      <c r="E2056" t="s">
        <v>24</v>
      </c>
      <c r="F2056" t="s">
        <v>17</v>
      </c>
      <c r="G2056">
        <v>2</v>
      </c>
      <c r="H2056">
        <v>680</v>
      </c>
      <c r="I2056" t="s">
        <v>10</v>
      </c>
      <c r="J2056" t="str">
        <f>_xlfn.XLOOKUP(branches[[#This Row],[Филиал]], tbl_Filialy[Филиал], tbl_Filialy[Менеджер])</f>
        <v>Ирина Соколова</v>
      </c>
    </row>
    <row r="2057" spans="1:10" x14ac:dyDescent="0.3">
      <c r="A2057" t="str">
        <f>_xlfn.XLOOKUP(branches[[#This Row],[Филиал]], tbl_Filialy[Филиал], tbl_Filialy[Город])</f>
        <v>Москва</v>
      </c>
      <c r="B2057" s="1" t="s">
        <v>36</v>
      </c>
      <c r="C2057" s="2">
        <v>45772</v>
      </c>
      <c r="D2057" s="2" t="str">
        <f>CHOOSE(MONTH(branches[[#This Row],[Дата]]),"Январь","Февраль","Март","Апрель","Май","Июнь","Июль","Август","Сентябрь","Октябрь","Ноябрь","Декабрь")&amp;" "&amp;YEAR(branches[[#This Row],[Дата]])</f>
        <v>Апрель 2025</v>
      </c>
      <c r="E2057" t="s">
        <v>20</v>
      </c>
      <c r="F2057" t="s">
        <v>12</v>
      </c>
      <c r="G2057">
        <v>1</v>
      </c>
      <c r="H2057">
        <v>315</v>
      </c>
      <c r="I2057" t="s">
        <v>19</v>
      </c>
      <c r="J2057" t="str">
        <f>_xlfn.XLOOKUP(branches[[#This Row],[Филиал]], tbl_Filialy[Филиал], tbl_Filialy[Менеджер])</f>
        <v>Ирина Соколова</v>
      </c>
    </row>
    <row r="2058" spans="1:10" x14ac:dyDescent="0.3">
      <c r="A2058" t="str">
        <f>_xlfn.XLOOKUP(branches[[#This Row],[Филиал]], tbl_Filialy[Филиал], tbl_Filialy[Город])</f>
        <v>Москва</v>
      </c>
      <c r="B2058" s="1" t="s">
        <v>36</v>
      </c>
      <c r="C2058" s="2">
        <v>45931</v>
      </c>
      <c r="D2058" s="2" t="str">
        <f>CHOOSE(MONTH(branches[[#This Row],[Дата]]),"Январь","Февраль","Март","Апрель","Май","Июнь","Июль","Август","Сентябрь","Октябрь","Ноябрь","Декабрь")&amp;" "&amp;YEAR(branches[[#This Row],[Дата]])</f>
        <v>Октябрь 2025</v>
      </c>
      <c r="E2058" t="s">
        <v>22</v>
      </c>
      <c r="F2058" t="s">
        <v>9</v>
      </c>
      <c r="G2058">
        <v>1</v>
      </c>
      <c r="H2058">
        <v>194</v>
      </c>
      <c r="I2058" t="s">
        <v>23</v>
      </c>
      <c r="J2058" t="str">
        <f>_xlfn.XLOOKUP(branches[[#This Row],[Филиал]], tbl_Filialy[Филиал], tbl_Filialy[Менеджер])</f>
        <v>Ирина Соколова</v>
      </c>
    </row>
    <row r="2059" spans="1:10" x14ac:dyDescent="0.3">
      <c r="A2059" t="str">
        <f>_xlfn.XLOOKUP(branches[[#This Row],[Филиал]], tbl_Filialy[Филиал], tbl_Filialy[Город])</f>
        <v>Москва</v>
      </c>
      <c r="B2059" s="1" t="s">
        <v>36</v>
      </c>
      <c r="C2059" s="2">
        <v>45935</v>
      </c>
      <c r="D2059" s="2" t="str">
        <f>CHOOSE(MONTH(branches[[#This Row],[Дата]]),"Январь","Февраль","Март","Апрель","Май","Июнь","Июль","Август","Сентябрь","Октябрь","Ноябрь","Декабрь")&amp;" "&amp;YEAR(branches[[#This Row],[Дата]])</f>
        <v>Октябрь 2025</v>
      </c>
      <c r="E2059" t="s">
        <v>27</v>
      </c>
      <c r="F2059" t="s">
        <v>12</v>
      </c>
      <c r="G2059">
        <v>1</v>
      </c>
      <c r="H2059">
        <v>213</v>
      </c>
      <c r="I2059" t="s">
        <v>10</v>
      </c>
      <c r="J2059" t="str">
        <f>_xlfn.XLOOKUP(branches[[#This Row],[Филиал]], tbl_Filialy[Филиал], tbl_Filialy[Менеджер])</f>
        <v>Ирина Соколова</v>
      </c>
    </row>
    <row r="2060" spans="1:10" x14ac:dyDescent="0.3">
      <c r="A2060" t="str">
        <f>_xlfn.XLOOKUP(branches[[#This Row],[Филиал]], tbl_Filialy[Филиал], tbl_Filialy[Город])</f>
        <v>Москва</v>
      </c>
      <c r="B2060" s="1" t="s">
        <v>36</v>
      </c>
      <c r="C2060" s="2">
        <v>45950</v>
      </c>
      <c r="D2060" s="2" t="str">
        <f>CHOOSE(MONTH(branches[[#This Row],[Дата]]),"Январь","Февраль","Март","Апрель","Май","Июнь","Июль","Август","Сентябрь","Октябрь","Ноябрь","Декабрь")&amp;" "&amp;YEAR(branches[[#This Row],[Дата]])</f>
        <v>Октябрь 2025</v>
      </c>
      <c r="E2060" t="s">
        <v>22</v>
      </c>
      <c r="F2060" t="s">
        <v>9</v>
      </c>
      <c r="G2060">
        <v>1</v>
      </c>
      <c r="H2060">
        <v>181</v>
      </c>
      <c r="I2060" t="s">
        <v>21</v>
      </c>
      <c r="J2060" t="str">
        <f>_xlfn.XLOOKUP(branches[[#This Row],[Филиал]], tbl_Filialy[Филиал], tbl_Filialy[Менеджер])</f>
        <v>Ирина Соколова</v>
      </c>
    </row>
    <row r="2061" spans="1:10" x14ac:dyDescent="0.3">
      <c r="A2061" t="str">
        <f>_xlfn.XLOOKUP(branches[[#This Row],[Филиал]], tbl_Filialy[Филиал], tbl_Filialy[Город])</f>
        <v>Москва</v>
      </c>
      <c r="B2061" s="1" t="s">
        <v>36</v>
      </c>
      <c r="C2061" s="2">
        <v>45682</v>
      </c>
      <c r="D2061" s="2" t="str">
        <f>CHOOSE(MONTH(branches[[#This Row],[Дата]]),"Январь","Февраль","Март","Апрель","Май","Июнь","Июль","Август","Сентябрь","Октябрь","Ноябрь","Декабрь")&amp;" "&amp;YEAR(branches[[#This Row],[Дата]])</f>
        <v>Январь 2025</v>
      </c>
      <c r="E2061" t="s">
        <v>24</v>
      </c>
      <c r="F2061" t="s">
        <v>17</v>
      </c>
      <c r="G2061">
        <v>2</v>
      </c>
      <c r="H2061">
        <v>686</v>
      </c>
      <c r="I2061" t="s">
        <v>19</v>
      </c>
      <c r="J2061" t="str">
        <f>_xlfn.XLOOKUP(branches[[#This Row],[Филиал]], tbl_Filialy[Филиал], tbl_Filialy[Менеджер])</f>
        <v>Ирина Соколова</v>
      </c>
    </row>
    <row r="2062" spans="1:10" x14ac:dyDescent="0.3">
      <c r="A2062" t="str">
        <f>_xlfn.XLOOKUP(branches[[#This Row],[Филиал]], tbl_Filialy[Филиал], tbl_Filialy[Город])</f>
        <v>Москва</v>
      </c>
      <c r="B2062" s="1" t="s">
        <v>36</v>
      </c>
      <c r="C2062" s="2">
        <v>45947</v>
      </c>
      <c r="D2062" s="2" t="str">
        <f>CHOOSE(MONTH(branches[[#This Row],[Дата]]),"Январь","Февраль","Март","Апрель","Май","Июнь","Июль","Август","Сентябрь","Октябрь","Ноябрь","Декабрь")&amp;" "&amp;YEAR(branches[[#This Row],[Дата]])</f>
        <v>Октябрь 2025</v>
      </c>
      <c r="E2062" t="s">
        <v>18</v>
      </c>
      <c r="F2062" t="s">
        <v>12</v>
      </c>
      <c r="G2062">
        <v>1</v>
      </c>
      <c r="H2062">
        <v>151</v>
      </c>
      <c r="I2062" t="s">
        <v>15</v>
      </c>
      <c r="J2062" t="str">
        <f>_xlfn.XLOOKUP(branches[[#This Row],[Филиал]], tbl_Filialy[Филиал], tbl_Filialy[Менеджер])</f>
        <v>Ирина Соколова</v>
      </c>
    </row>
    <row r="2063" spans="1:10" x14ac:dyDescent="0.3">
      <c r="A2063" t="str">
        <f>_xlfn.XLOOKUP(branches[[#This Row],[Филиал]], tbl_Filialy[Филиал], tbl_Filialy[Город])</f>
        <v>Москва</v>
      </c>
      <c r="B2063" s="1" t="s">
        <v>36</v>
      </c>
      <c r="C2063" s="2">
        <v>45968</v>
      </c>
      <c r="D2063" s="2" t="str">
        <f>CHOOSE(MONTH(branches[[#This Row],[Дата]]),"Январь","Февраль","Март","Апрель","Май","Июнь","Июль","Август","Сентябрь","Октябрь","Ноябрь","Декабрь")&amp;" "&amp;YEAR(branches[[#This Row],[Дата]])</f>
        <v>Ноябрь 2025</v>
      </c>
      <c r="E2063" t="s">
        <v>16</v>
      </c>
      <c r="F2063" t="s">
        <v>17</v>
      </c>
      <c r="G2063">
        <v>1</v>
      </c>
      <c r="H2063">
        <v>341</v>
      </c>
      <c r="I2063" t="s">
        <v>29</v>
      </c>
      <c r="J2063" t="str">
        <f>_xlfn.XLOOKUP(branches[[#This Row],[Филиал]], tbl_Filialy[Филиал], tbl_Filialy[Менеджер])</f>
        <v>Ирина Соколова</v>
      </c>
    </row>
    <row r="2064" spans="1:10" x14ac:dyDescent="0.3">
      <c r="A2064" t="str">
        <f>_xlfn.XLOOKUP(branches[[#This Row],[Филиал]], tbl_Filialy[Филиал], tbl_Filialy[Город])</f>
        <v>Москва</v>
      </c>
      <c r="B2064" s="1" t="s">
        <v>36</v>
      </c>
      <c r="C2064" s="2">
        <v>45938</v>
      </c>
      <c r="D2064" s="2" t="str">
        <f>CHOOSE(MONTH(branches[[#This Row],[Дата]]),"Январь","Февраль","Март","Апрель","Май","Июнь","Июль","Август","Сентябрь","Октябрь","Ноябрь","Декабрь")&amp;" "&amp;YEAR(branches[[#This Row],[Дата]])</f>
        <v>Октябрь 2025</v>
      </c>
      <c r="E2064" t="s">
        <v>11</v>
      </c>
      <c r="F2064" t="s">
        <v>12</v>
      </c>
      <c r="G2064">
        <v>1</v>
      </c>
      <c r="H2064">
        <v>190</v>
      </c>
      <c r="I2064" t="s">
        <v>10</v>
      </c>
      <c r="J2064" t="str">
        <f>_xlfn.XLOOKUP(branches[[#This Row],[Филиал]], tbl_Filialy[Филиал], tbl_Filialy[Менеджер])</f>
        <v>Ирина Соколова</v>
      </c>
    </row>
    <row r="2065" spans="1:10" x14ac:dyDescent="0.3">
      <c r="A2065" t="str">
        <f>_xlfn.XLOOKUP(branches[[#This Row],[Филиал]], tbl_Filialy[Филиал], tbl_Filialy[Город])</f>
        <v>Москва</v>
      </c>
      <c r="B2065" s="1" t="s">
        <v>36</v>
      </c>
      <c r="C2065" s="2">
        <v>45796</v>
      </c>
      <c r="D2065" s="2" t="str">
        <f>CHOOSE(MONTH(branches[[#This Row],[Дата]]),"Январь","Февраль","Март","Апрель","Май","Июнь","Июль","Август","Сентябрь","Октябрь","Ноябрь","Декабрь")&amp;" "&amp;YEAR(branches[[#This Row],[Дата]])</f>
        <v>Май 2025</v>
      </c>
      <c r="E2065" t="s">
        <v>18</v>
      </c>
      <c r="F2065" t="s">
        <v>12</v>
      </c>
      <c r="G2065">
        <v>2</v>
      </c>
      <c r="H2065">
        <v>292</v>
      </c>
      <c r="I2065" t="s">
        <v>13</v>
      </c>
      <c r="J2065" t="str">
        <f>_xlfn.XLOOKUP(branches[[#This Row],[Филиал]], tbl_Filialy[Филиал], tbl_Filialy[Менеджер])</f>
        <v>Ирина Соколова</v>
      </c>
    </row>
    <row r="2066" spans="1:10" x14ac:dyDescent="0.3">
      <c r="A2066" t="str">
        <f>_xlfn.XLOOKUP(branches[[#This Row],[Филиал]], tbl_Filialy[Филиал], tbl_Filialy[Город])</f>
        <v>Москва</v>
      </c>
      <c r="B2066" s="1" t="s">
        <v>36</v>
      </c>
      <c r="C2066" s="2">
        <v>45708</v>
      </c>
      <c r="D2066" s="2" t="str">
        <f>CHOOSE(MONTH(branches[[#This Row],[Дата]]),"Январь","Февраль","Март","Апрель","Май","Июнь","Июль","Август","Сентябрь","Октябрь","Ноябрь","Декабрь")&amp;" "&amp;YEAR(branches[[#This Row],[Дата]])</f>
        <v>Февраль 2025</v>
      </c>
      <c r="E2066" t="s">
        <v>27</v>
      </c>
      <c r="F2066" t="s">
        <v>12</v>
      </c>
      <c r="G2066">
        <v>1</v>
      </c>
      <c r="H2066">
        <v>210</v>
      </c>
      <c r="I2066" t="s">
        <v>23</v>
      </c>
      <c r="J2066" t="str">
        <f>_xlfn.XLOOKUP(branches[[#This Row],[Филиал]], tbl_Filialy[Филиал], tbl_Filialy[Менеджер])</f>
        <v>Ирина Соколова</v>
      </c>
    </row>
    <row r="2067" spans="1:10" x14ac:dyDescent="0.3">
      <c r="A2067" t="str">
        <f>_xlfn.XLOOKUP(branches[[#This Row],[Филиал]], tbl_Filialy[Филиал], tbl_Filialy[Город])</f>
        <v>Москва</v>
      </c>
      <c r="B2067" s="1" t="s">
        <v>36</v>
      </c>
      <c r="C2067" s="2">
        <v>45993</v>
      </c>
      <c r="D2067" s="2" t="str">
        <f>CHOOSE(MONTH(branches[[#This Row],[Дата]]),"Январь","Февраль","Март","Апрель","Май","Июнь","Июль","Август","Сентябрь","Октябрь","Ноябрь","Декабрь")&amp;" "&amp;YEAR(branches[[#This Row],[Дата]])</f>
        <v>Декабрь 2025</v>
      </c>
      <c r="E2067" t="s">
        <v>20</v>
      </c>
      <c r="F2067" t="s">
        <v>12</v>
      </c>
      <c r="G2067">
        <v>1</v>
      </c>
      <c r="H2067">
        <v>297</v>
      </c>
      <c r="I2067" t="s">
        <v>19</v>
      </c>
      <c r="J2067" t="str">
        <f>_xlfn.XLOOKUP(branches[[#This Row],[Филиал]], tbl_Filialy[Филиал], tbl_Filialy[Менеджер])</f>
        <v>Ирина Соколова</v>
      </c>
    </row>
    <row r="2068" spans="1:10" x14ac:dyDescent="0.3">
      <c r="A2068" t="str">
        <f>_xlfn.XLOOKUP(branches[[#This Row],[Филиал]], tbl_Filialy[Филиал], tbl_Filialy[Город])</f>
        <v>Москва</v>
      </c>
      <c r="B2068" s="1" t="s">
        <v>36</v>
      </c>
      <c r="C2068" s="2">
        <v>45802</v>
      </c>
      <c r="D2068" s="2" t="str">
        <f>CHOOSE(MONTH(branches[[#This Row],[Дата]]),"Январь","Февраль","Март","Апрель","Май","Июнь","Июль","Август","Сентябрь","Октябрь","Ноябрь","Декабрь")&amp;" "&amp;YEAR(branches[[#This Row],[Дата]])</f>
        <v>Май 2025</v>
      </c>
      <c r="E2068" t="s">
        <v>26</v>
      </c>
      <c r="F2068" t="s">
        <v>9</v>
      </c>
      <c r="G2068">
        <v>1</v>
      </c>
      <c r="H2068">
        <v>228</v>
      </c>
      <c r="I2068" t="s">
        <v>13</v>
      </c>
      <c r="J2068" t="str">
        <f>_xlfn.XLOOKUP(branches[[#This Row],[Филиал]], tbl_Filialy[Филиал], tbl_Filialy[Менеджер])</f>
        <v>Ирина Соколова</v>
      </c>
    </row>
    <row r="2069" spans="1:10" x14ac:dyDescent="0.3">
      <c r="A2069" t="str">
        <f>_xlfn.XLOOKUP(branches[[#This Row],[Филиал]], tbl_Filialy[Филиал], tbl_Filialy[Город])</f>
        <v>Москва</v>
      </c>
      <c r="B2069" s="1" t="s">
        <v>36</v>
      </c>
      <c r="C2069" s="2">
        <v>45921</v>
      </c>
      <c r="D2069" s="2" t="str">
        <f>CHOOSE(MONTH(branches[[#This Row],[Дата]]),"Январь","Февраль","Март","Апрель","Май","Июнь","Июль","Август","Сентябрь","Октябрь","Ноябрь","Декабрь")&amp;" "&amp;YEAR(branches[[#This Row],[Дата]])</f>
        <v>Сентябрь 2025</v>
      </c>
      <c r="E2069" t="s">
        <v>16</v>
      </c>
      <c r="F2069" t="s">
        <v>17</v>
      </c>
      <c r="G2069">
        <v>2</v>
      </c>
      <c r="H2069">
        <v>682</v>
      </c>
      <c r="I2069" t="s">
        <v>21</v>
      </c>
      <c r="J2069" t="str">
        <f>_xlfn.XLOOKUP(branches[[#This Row],[Филиал]], tbl_Filialy[Филиал], tbl_Filialy[Менеджер])</f>
        <v>Ирина Соколова</v>
      </c>
    </row>
    <row r="2070" spans="1:10" x14ac:dyDescent="0.3">
      <c r="A2070" t="str">
        <f>_xlfn.XLOOKUP(branches[[#This Row],[Филиал]], tbl_Filialy[Филиал], tbl_Filialy[Город])</f>
        <v>Москва</v>
      </c>
      <c r="B2070" s="1" t="s">
        <v>36</v>
      </c>
      <c r="C2070" s="2">
        <v>45669</v>
      </c>
      <c r="D2070" s="2" t="str">
        <f>CHOOSE(MONTH(branches[[#This Row],[Дата]]),"Январь","Февраль","Март","Апрель","Май","Июнь","Июль","Август","Сентябрь","Октябрь","Ноябрь","Декабрь")&amp;" "&amp;YEAR(branches[[#This Row],[Дата]])</f>
        <v>Январь 2025</v>
      </c>
      <c r="E2070" t="s">
        <v>20</v>
      </c>
      <c r="F2070" t="s">
        <v>12</v>
      </c>
      <c r="G2070">
        <v>1</v>
      </c>
      <c r="H2070">
        <v>292</v>
      </c>
      <c r="I2070" t="s">
        <v>21</v>
      </c>
      <c r="J2070" t="str">
        <f>_xlfn.XLOOKUP(branches[[#This Row],[Филиал]], tbl_Filialy[Филиал], tbl_Filialy[Менеджер])</f>
        <v>Ирина Соколова</v>
      </c>
    </row>
    <row r="2071" spans="1:10" x14ac:dyDescent="0.3">
      <c r="A2071" t="str">
        <f>_xlfn.XLOOKUP(branches[[#This Row],[Филиал]], tbl_Filialy[Филиал], tbl_Filialy[Город])</f>
        <v>Москва</v>
      </c>
      <c r="B2071" s="1" t="s">
        <v>36</v>
      </c>
      <c r="C2071" s="2">
        <v>45820</v>
      </c>
      <c r="D2071" s="2" t="str">
        <f>CHOOSE(MONTH(branches[[#This Row],[Дата]]),"Январь","Февраль","Март","Апрель","Май","Июнь","Июль","Август","Сентябрь","Октябрь","Ноябрь","Декабрь")&amp;" "&amp;YEAR(branches[[#This Row],[Дата]])</f>
        <v>Июнь 2025</v>
      </c>
      <c r="E2071" t="s">
        <v>28</v>
      </c>
      <c r="F2071" t="s">
        <v>12</v>
      </c>
      <c r="G2071">
        <v>3</v>
      </c>
      <c r="H2071">
        <v>741</v>
      </c>
      <c r="I2071" t="s">
        <v>21</v>
      </c>
      <c r="J2071" t="str">
        <f>_xlfn.XLOOKUP(branches[[#This Row],[Филиал]], tbl_Filialy[Филиал], tbl_Filialy[Менеджер])</f>
        <v>Ирина Соколова</v>
      </c>
    </row>
    <row r="2072" spans="1:10" x14ac:dyDescent="0.3">
      <c r="A2072" t="str">
        <f>_xlfn.XLOOKUP(branches[[#This Row],[Филиал]], tbl_Filialy[Филиал], tbl_Filialy[Город])</f>
        <v>Москва</v>
      </c>
      <c r="B2072" s="1" t="s">
        <v>36</v>
      </c>
      <c r="C2072" s="2">
        <v>45925</v>
      </c>
      <c r="D2072" s="2" t="str">
        <f>CHOOSE(MONTH(branches[[#This Row],[Дата]]),"Январь","Февраль","Март","Апрель","Май","Июнь","Июль","Август","Сентябрь","Октябрь","Ноябрь","Декабрь")&amp;" "&amp;YEAR(branches[[#This Row],[Дата]])</f>
        <v>Сентябрь 2025</v>
      </c>
      <c r="E2072" t="s">
        <v>8</v>
      </c>
      <c r="F2072" t="s">
        <v>9</v>
      </c>
      <c r="G2072">
        <v>1</v>
      </c>
      <c r="H2072">
        <v>236</v>
      </c>
      <c r="I2072" t="s">
        <v>10</v>
      </c>
      <c r="J2072" t="str">
        <f>_xlfn.XLOOKUP(branches[[#This Row],[Филиал]], tbl_Filialy[Филиал], tbl_Filialy[Менеджер])</f>
        <v>Ирина Соколова</v>
      </c>
    </row>
    <row r="2073" spans="1:10" x14ac:dyDescent="0.3">
      <c r="A2073" t="str">
        <f>_xlfn.XLOOKUP(branches[[#This Row],[Филиал]], tbl_Filialy[Филиал], tbl_Filialy[Город])</f>
        <v>Москва</v>
      </c>
      <c r="B2073" s="1" t="s">
        <v>36</v>
      </c>
      <c r="C2073" s="2">
        <v>45871</v>
      </c>
      <c r="D2073" s="2" t="str">
        <f>CHOOSE(MONTH(branches[[#This Row],[Дата]]),"Январь","Февраль","Март","Апрель","Май","Июнь","Июль","Август","Сентябрь","Октябрь","Ноябрь","Декабрь")&amp;" "&amp;YEAR(branches[[#This Row],[Дата]])</f>
        <v>Август 2025</v>
      </c>
      <c r="E2073" t="s">
        <v>26</v>
      </c>
      <c r="F2073" t="s">
        <v>9</v>
      </c>
      <c r="G2073">
        <v>1</v>
      </c>
      <c r="H2073">
        <v>201</v>
      </c>
      <c r="I2073" t="s">
        <v>13</v>
      </c>
      <c r="J2073" t="str">
        <f>_xlfn.XLOOKUP(branches[[#This Row],[Филиал]], tbl_Filialy[Филиал], tbl_Filialy[Менеджер])</f>
        <v>Ирина Соколова</v>
      </c>
    </row>
    <row r="2074" spans="1:10" x14ac:dyDescent="0.3">
      <c r="A2074" t="str">
        <f>_xlfn.XLOOKUP(branches[[#This Row],[Филиал]], tbl_Filialy[Филиал], tbl_Filialy[Город])</f>
        <v>Москва</v>
      </c>
      <c r="B2074" s="1" t="s">
        <v>36</v>
      </c>
      <c r="C2074" s="2">
        <v>45701</v>
      </c>
      <c r="D2074" s="2" t="str">
        <f>CHOOSE(MONTH(branches[[#This Row],[Дата]]),"Январь","Февраль","Март","Апрель","Май","Июнь","Июль","Август","Сентябрь","Октябрь","Ноябрь","Декабрь")&amp;" "&amp;YEAR(branches[[#This Row],[Дата]])</f>
        <v>Февраль 2025</v>
      </c>
      <c r="E2074" t="s">
        <v>26</v>
      </c>
      <c r="F2074" t="s">
        <v>9</v>
      </c>
      <c r="G2074">
        <v>2</v>
      </c>
      <c r="H2074">
        <v>384</v>
      </c>
      <c r="I2074" t="s">
        <v>19</v>
      </c>
      <c r="J2074" t="str">
        <f>_xlfn.XLOOKUP(branches[[#This Row],[Филиал]], tbl_Filialy[Филиал], tbl_Filialy[Менеджер])</f>
        <v>Ирина Соколова</v>
      </c>
    </row>
    <row r="2075" spans="1:10" x14ac:dyDescent="0.3">
      <c r="A2075" t="str">
        <f>_xlfn.XLOOKUP(branches[[#This Row],[Филиал]], tbl_Filialy[Филиал], tbl_Filialy[Город])</f>
        <v>Москва</v>
      </c>
      <c r="B2075" s="1" t="s">
        <v>36</v>
      </c>
      <c r="C2075" s="2">
        <v>45813</v>
      </c>
      <c r="D2075" s="2" t="str">
        <f>CHOOSE(MONTH(branches[[#This Row],[Дата]]),"Январь","Февраль","Март","Апрель","Май","Июнь","Июль","Август","Сентябрь","Октябрь","Ноябрь","Декабрь")&amp;" "&amp;YEAR(branches[[#This Row],[Дата]])</f>
        <v>Июнь 2025</v>
      </c>
      <c r="E2075" t="s">
        <v>16</v>
      </c>
      <c r="F2075" t="s">
        <v>17</v>
      </c>
      <c r="G2075">
        <v>1</v>
      </c>
      <c r="H2075">
        <v>327</v>
      </c>
      <c r="I2075" t="s">
        <v>13</v>
      </c>
      <c r="J2075" t="str">
        <f>_xlfn.XLOOKUP(branches[[#This Row],[Филиал]], tbl_Filialy[Филиал], tbl_Filialy[Менеджер])</f>
        <v>Ирина Соколова</v>
      </c>
    </row>
    <row r="2076" spans="1:10" x14ac:dyDescent="0.3">
      <c r="A2076" t="str">
        <f>_xlfn.XLOOKUP(branches[[#This Row],[Филиал]], tbl_Filialy[Филиал], tbl_Filialy[Город])</f>
        <v>Москва</v>
      </c>
      <c r="B2076" s="1" t="s">
        <v>36</v>
      </c>
      <c r="C2076" s="2">
        <v>45844</v>
      </c>
      <c r="D2076" s="2" t="str">
        <f>CHOOSE(MONTH(branches[[#This Row],[Дата]]),"Январь","Февраль","Март","Апрель","Май","Июнь","Июль","Август","Сентябрь","Октябрь","Ноябрь","Декабрь")&amp;" "&amp;YEAR(branches[[#This Row],[Дата]])</f>
        <v>Июль 2025</v>
      </c>
      <c r="E2076" t="s">
        <v>22</v>
      </c>
      <c r="F2076" t="s">
        <v>9</v>
      </c>
      <c r="G2076">
        <v>3</v>
      </c>
      <c r="H2076">
        <v>561</v>
      </c>
      <c r="I2076" t="s">
        <v>21</v>
      </c>
      <c r="J2076" t="str">
        <f>_xlfn.XLOOKUP(branches[[#This Row],[Филиал]], tbl_Filialy[Филиал], tbl_Filialy[Менеджер])</f>
        <v>Ирина Соколова</v>
      </c>
    </row>
    <row r="2077" spans="1:10" x14ac:dyDescent="0.3">
      <c r="A2077" t="str">
        <f>_xlfn.XLOOKUP(branches[[#This Row],[Филиал]], tbl_Filialy[Филиал], tbl_Filialy[Город])</f>
        <v>Москва</v>
      </c>
      <c r="B2077" s="1" t="s">
        <v>36</v>
      </c>
      <c r="C2077" s="2">
        <v>45982</v>
      </c>
      <c r="D2077" s="2" t="str">
        <f>CHOOSE(MONTH(branches[[#This Row],[Дата]]),"Январь","Февраль","Март","Апрель","Май","Июнь","Июль","Август","Сентябрь","Октябрь","Ноябрь","Декабрь")&amp;" "&amp;YEAR(branches[[#This Row],[Дата]])</f>
        <v>Ноябрь 2025</v>
      </c>
      <c r="E2077" t="s">
        <v>16</v>
      </c>
      <c r="F2077" t="s">
        <v>17</v>
      </c>
      <c r="G2077">
        <v>2</v>
      </c>
      <c r="H2077">
        <v>682</v>
      </c>
      <c r="I2077" t="s">
        <v>21</v>
      </c>
      <c r="J2077" t="str">
        <f>_xlfn.XLOOKUP(branches[[#This Row],[Филиал]], tbl_Filialy[Филиал], tbl_Filialy[Менеджер])</f>
        <v>Ирина Соколова</v>
      </c>
    </row>
    <row r="2078" spans="1:10" x14ac:dyDescent="0.3">
      <c r="A2078" t="str">
        <f>_xlfn.XLOOKUP(branches[[#This Row],[Филиал]], tbl_Filialy[Филиал], tbl_Filialy[Город])</f>
        <v>Москва</v>
      </c>
      <c r="B2078" s="1" t="s">
        <v>36</v>
      </c>
      <c r="C2078" s="2">
        <v>45829</v>
      </c>
      <c r="D2078" s="2" t="str">
        <f>CHOOSE(MONTH(branches[[#This Row],[Дата]]),"Январь","Февраль","Март","Апрель","Май","Июнь","Июль","Август","Сентябрь","Октябрь","Ноябрь","Декабрь")&amp;" "&amp;YEAR(branches[[#This Row],[Дата]])</f>
        <v>Июнь 2025</v>
      </c>
      <c r="E2078" t="s">
        <v>26</v>
      </c>
      <c r="F2078" t="s">
        <v>9</v>
      </c>
      <c r="G2078">
        <v>2</v>
      </c>
      <c r="H2078">
        <v>456</v>
      </c>
      <c r="I2078" t="s">
        <v>19</v>
      </c>
      <c r="J2078" t="str">
        <f>_xlfn.XLOOKUP(branches[[#This Row],[Филиал]], tbl_Filialy[Филиал], tbl_Filialy[Менеджер])</f>
        <v>Ирина Соколова</v>
      </c>
    </row>
    <row r="2079" spans="1:10" x14ac:dyDescent="0.3">
      <c r="A2079" t="str">
        <f>_xlfn.XLOOKUP(branches[[#This Row],[Филиал]], tbl_Filialy[Филиал], tbl_Filialy[Город])</f>
        <v>Москва</v>
      </c>
      <c r="B2079" s="1" t="s">
        <v>36</v>
      </c>
      <c r="C2079" s="2">
        <v>45659</v>
      </c>
      <c r="D2079" s="2" t="str">
        <f>CHOOSE(MONTH(branches[[#This Row],[Дата]]),"Январь","Февраль","Март","Апрель","Май","Июнь","Июль","Август","Сентябрь","Октябрь","Ноябрь","Декабрь")&amp;" "&amp;YEAR(branches[[#This Row],[Дата]])</f>
        <v>Январь 2025</v>
      </c>
      <c r="E2079" t="s">
        <v>27</v>
      </c>
      <c r="F2079" t="s">
        <v>12</v>
      </c>
      <c r="G2079">
        <v>3</v>
      </c>
      <c r="H2079">
        <v>600</v>
      </c>
      <c r="I2079" t="s">
        <v>23</v>
      </c>
      <c r="J2079" t="str">
        <f>_xlfn.XLOOKUP(branches[[#This Row],[Филиал]], tbl_Filialy[Филиал], tbl_Filialy[Менеджер])</f>
        <v>Ирина Соколова</v>
      </c>
    </row>
    <row r="2080" spans="1:10" x14ac:dyDescent="0.3">
      <c r="A2080" t="str">
        <f>_xlfn.XLOOKUP(branches[[#This Row],[Филиал]], tbl_Filialy[Филиал], tbl_Filialy[Город])</f>
        <v>Москва</v>
      </c>
      <c r="B2080" s="1" t="s">
        <v>36</v>
      </c>
      <c r="C2080" s="2">
        <v>45756</v>
      </c>
      <c r="D2080" s="2" t="str">
        <f>CHOOSE(MONTH(branches[[#This Row],[Дата]]),"Январь","Февраль","Март","Апрель","Май","Июнь","Июль","Август","Сентябрь","Октябрь","Ноябрь","Декабрь")&amp;" "&amp;YEAR(branches[[#This Row],[Дата]])</f>
        <v>Апрель 2025</v>
      </c>
      <c r="E2080" t="s">
        <v>24</v>
      </c>
      <c r="F2080" t="s">
        <v>17</v>
      </c>
      <c r="G2080">
        <v>1</v>
      </c>
      <c r="H2080">
        <v>412</v>
      </c>
      <c r="I2080" t="s">
        <v>23</v>
      </c>
      <c r="J2080" t="str">
        <f>_xlfn.XLOOKUP(branches[[#This Row],[Филиал]], tbl_Filialy[Филиал], tbl_Filialy[Менеджер])</f>
        <v>Ирина Соколова</v>
      </c>
    </row>
    <row r="2081" spans="1:10" x14ac:dyDescent="0.3">
      <c r="A2081" t="str">
        <f>_xlfn.XLOOKUP(branches[[#This Row],[Филиал]], tbl_Filialy[Филиал], tbl_Filialy[Город])</f>
        <v>Москва</v>
      </c>
      <c r="B2081" s="1" t="s">
        <v>36</v>
      </c>
      <c r="C2081" s="2">
        <v>45751</v>
      </c>
      <c r="D2081" s="2" t="str">
        <f>CHOOSE(MONTH(branches[[#This Row],[Дата]]),"Январь","Февраль","Март","Апрель","Май","Июнь","Июль","Август","Сентябрь","Октябрь","Ноябрь","Декабрь")&amp;" "&amp;YEAR(branches[[#This Row],[Дата]])</f>
        <v>Апрель 2025</v>
      </c>
      <c r="E2081" t="s">
        <v>28</v>
      </c>
      <c r="F2081" t="s">
        <v>12</v>
      </c>
      <c r="G2081">
        <v>1</v>
      </c>
      <c r="H2081">
        <v>253</v>
      </c>
      <c r="I2081" t="s">
        <v>15</v>
      </c>
      <c r="J2081" t="str">
        <f>_xlfn.XLOOKUP(branches[[#This Row],[Филиал]], tbl_Filialy[Филиал], tbl_Filialy[Менеджер])</f>
        <v>Ирина Соколова</v>
      </c>
    </row>
    <row r="2082" spans="1:10" x14ac:dyDescent="0.3">
      <c r="A2082" t="str">
        <f>_xlfn.XLOOKUP(branches[[#This Row],[Филиал]], tbl_Filialy[Филиал], tbl_Filialy[Город])</f>
        <v>Москва</v>
      </c>
      <c r="B2082" s="1" t="s">
        <v>36</v>
      </c>
      <c r="C2082" s="2">
        <v>45910</v>
      </c>
      <c r="D2082" s="2" t="str">
        <f>CHOOSE(MONTH(branches[[#This Row],[Дата]]),"Январь","Февраль","Март","Апрель","Май","Июнь","Июль","Август","Сентябрь","Октябрь","Ноябрь","Декабрь")&amp;" "&amp;YEAR(branches[[#This Row],[Дата]])</f>
        <v>Сентябрь 2025</v>
      </c>
      <c r="E2082" t="s">
        <v>26</v>
      </c>
      <c r="F2082" t="s">
        <v>9</v>
      </c>
      <c r="G2082">
        <v>1</v>
      </c>
      <c r="H2082">
        <v>189</v>
      </c>
      <c r="I2082" t="s">
        <v>15</v>
      </c>
      <c r="J2082" t="str">
        <f>_xlfn.XLOOKUP(branches[[#This Row],[Филиал]], tbl_Filialy[Филиал], tbl_Filialy[Менеджер])</f>
        <v>Ирина Соколова</v>
      </c>
    </row>
    <row r="2083" spans="1:10" x14ac:dyDescent="0.3">
      <c r="A2083" t="str">
        <f>_xlfn.XLOOKUP(branches[[#This Row],[Филиал]], tbl_Filialy[Филиал], tbl_Filialy[Город])</f>
        <v>Москва</v>
      </c>
      <c r="B2083" s="1" t="s">
        <v>36</v>
      </c>
      <c r="C2083" s="2">
        <v>45945</v>
      </c>
      <c r="D2083" s="2" t="str">
        <f>CHOOSE(MONTH(branches[[#This Row],[Дата]]),"Январь","Февраль","Март","Апрель","Май","Июнь","Июль","Август","Сентябрь","Октябрь","Ноябрь","Декабрь")&amp;" "&amp;YEAR(branches[[#This Row],[Дата]])</f>
        <v>Октябрь 2025</v>
      </c>
      <c r="E2083" t="s">
        <v>24</v>
      </c>
      <c r="F2083" t="s">
        <v>17</v>
      </c>
      <c r="G2083">
        <v>1</v>
      </c>
      <c r="H2083">
        <v>355</v>
      </c>
      <c r="I2083" t="s">
        <v>15</v>
      </c>
      <c r="J2083" t="str">
        <f>_xlfn.XLOOKUP(branches[[#This Row],[Филиал]], tbl_Filialy[Филиал], tbl_Filialy[Менеджер])</f>
        <v>Ирина Соколова</v>
      </c>
    </row>
    <row r="2084" spans="1:10" x14ac:dyDescent="0.3">
      <c r="A2084" t="str">
        <f>_xlfn.XLOOKUP(branches[[#This Row],[Филиал]], tbl_Filialy[Филиал], tbl_Filialy[Город])</f>
        <v>Москва</v>
      </c>
      <c r="B2084" s="1" t="s">
        <v>36</v>
      </c>
      <c r="C2084" s="2">
        <v>45757</v>
      </c>
      <c r="D2084" s="2" t="str">
        <f>CHOOSE(MONTH(branches[[#This Row],[Дата]]),"Январь","Февраль","Март","Апрель","Май","Июнь","Июль","Август","Сентябрь","Октябрь","Ноябрь","Декабрь")&amp;" "&amp;YEAR(branches[[#This Row],[Дата]])</f>
        <v>Апрель 2025</v>
      </c>
      <c r="E2084" t="s">
        <v>20</v>
      </c>
      <c r="F2084" t="s">
        <v>12</v>
      </c>
      <c r="G2084">
        <v>2</v>
      </c>
      <c r="H2084">
        <v>616</v>
      </c>
      <c r="I2084" t="s">
        <v>13</v>
      </c>
      <c r="J2084" t="str">
        <f>_xlfn.XLOOKUP(branches[[#This Row],[Филиал]], tbl_Filialy[Филиал], tbl_Filialy[Менеджер])</f>
        <v>Ирина Соколова</v>
      </c>
    </row>
    <row r="2085" spans="1:10" x14ac:dyDescent="0.3">
      <c r="A2085" t="str">
        <f>_xlfn.XLOOKUP(branches[[#This Row],[Филиал]], tbl_Filialy[Филиал], tbl_Filialy[Город])</f>
        <v>Москва</v>
      </c>
      <c r="B2085" s="1" t="s">
        <v>36</v>
      </c>
      <c r="C2085" s="2">
        <v>45766</v>
      </c>
      <c r="D2085" s="2" t="str">
        <f>CHOOSE(MONTH(branches[[#This Row],[Дата]]),"Январь","Февраль","Март","Апрель","Май","Июнь","Июль","Август","Сентябрь","Октябрь","Ноябрь","Декабрь")&amp;" "&amp;YEAR(branches[[#This Row],[Дата]])</f>
        <v>Апрель 2025</v>
      </c>
      <c r="E2085" t="s">
        <v>22</v>
      </c>
      <c r="F2085" t="s">
        <v>9</v>
      </c>
      <c r="G2085">
        <v>1</v>
      </c>
      <c r="H2085">
        <v>160</v>
      </c>
      <c r="I2085" t="s">
        <v>10</v>
      </c>
      <c r="J2085" t="str">
        <f>_xlfn.XLOOKUP(branches[[#This Row],[Филиал]], tbl_Filialy[Филиал], tbl_Filialy[Менеджер])</f>
        <v>Ирина Соколова</v>
      </c>
    </row>
    <row r="2086" spans="1:10" x14ac:dyDescent="0.3">
      <c r="A2086" t="str">
        <f>_xlfn.XLOOKUP(branches[[#This Row],[Филиал]], tbl_Filialy[Филиал], tbl_Filialy[Город])</f>
        <v>Москва</v>
      </c>
      <c r="B2086" s="1" t="s">
        <v>36</v>
      </c>
      <c r="C2086" s="2">
        <v>45734</v>
      </c>
      <c r="D2086" s="2" t="str">
        <f>CHOOSE(MONTH(branches[[#This Row],[Дата]]),"Январь","Февраль","Март","Апрель","Май","Июнь","Июль","Август","Сентябрь","Октябрь","Ноябрь","Декабрь")&amp;" "&amp;YEAR(branches[[#This Row],[Дата]])</f>
        <v>Март 2025</v>
      </c>
      <c r="E2086" t="s">
        <v>8</v>
      </c>
      <c r="F2086" t="s">
        <v>9</v>
      </c>
      <c r="G2086">
        <v>3</v>
      </c>
      <c r="H2086">
        <v>801</v>
      </c>
      <c r="I2086" t="s">
        <v>19</v>
      </c>
      <c r="J2086" t="str">
        <f>_xlfn.XLOOKUP(branches[[#This Row],[Филиал]], tbl_Filialy[Филиал], tbl_Filialy[Менеджер])</f>
        <v>Ирина Соколова</v>
      </c>
    </row>
    <row r="2087" spans="1:10" x14ac:dyDescent="0.3">
      <c r="A2087" t="str">
        <f>_xlfn.XLOOKUP(branches[[#This Row],[Филиал]], tbl_Filialy[Филиал], tbl_Filialy[Город])</f>
        <v>Москва</v>
      </c>
      <c r="B2087" s="1" t="s">
        <v>36</v>
      </c>
      <c r="C2087" s="2">
        <v>45998</v>
      </c>
      <c r="D2087" s="2" t="str">
        <f>CHOOSE(MONTH(branches[[#This Row],[Дата]]),"Январь","Февраль","Март","Апрель","Май","Июнь","Июль","Август","Сентябрь","Октябрь","Ноябрь","Декабрь")&amp;" "&amp;YEAR(branches[[#This Row],[Дата]])</f>
        <v>Декабрь 2025</v>
      </c>
      <c r="E2087" t="s">
        <v>20</v>
      </c>
      <c r="F2087" t="s">
        <v>12</v>
      </c>
      <c r="G2087">
        <v>1</v>
      </c>
      <c r="H2087">
        <v>280</v>
      </c>
      <c r="I2087" t="s">
        <v>13</v>
      </c>
      <c r="J2087" t="str">
        <f>_xlfn.XLOOKUP(branches[[#This Row],[Филиал]], tbl_Filialy[Филиал], tbl_Filialy[Менеджер])</f>
        <v>Ирина Соколова</v>
      </c>
    </row>
    <row r="2088" spans="1:10" x14ac:dyDescent="0.3">
      <c r="A2088" t="str">
        <f>_xlfn.XLOOKUP(branches[[#This Row],[Филиал]], tbl_Filialy[Филиал], tbl_Filialy[Город])</f>
        <v>Москва</v>
      </c>
      <c r="B2088" s="1" t="s">
        <v>36</v>
      </c>
      <c r="C2088" s="2">
        <v>45848</v>
      </c>
      <c r="D2088" s="2" t="str">
        <f>CHOOSE(MONTH(branches[[#This Row],[Дата]]),"Январь","Февраль","Март","Апрель","Май","Июнь","Июль","Август","Сентябрь","Октябрь","Ноябрь","Декабрь")&amp;" "&amp;YEAR(branches[[#This Row],[Дата]])</f>
        <v>Июль 2025</v>
      </c>
      <c r="E2088" t="s">
        <v>20</v>
      </c>
      <c r="F2088" t="s">
        <v>12</v>
      </c>
      <c r="G2088">
        <v>1</v>
      </c>
      <c r="H2088">
        <v>292</v>
      </c>
      <c r="I2088" t="s">
        <v>13</v>
      </c>
      <c r="J2088" t="str">
        <f>_xlfn.XLOOKUP(branches[[#This Row],[Филиал]], tbl_Filialy[Филиал], tbl_Filialy[Менеджер])</f>
        <v>Ирина Соколова</v>
      </c>
    </row>
    <row r="2089" spans="1:10" x14ac:dyDescent="0.3">
      <c r="A2089" t="str">
        <f>_xlfn.XLOOKUP(branches[[#This Row],[Филиал]], tbl_Filialy[Филиал], tbl_Filialy[Город])</f>
        <v>Москва</v>
      </c>
      <c r="B2089" s="1" t="s">
        <v>36</v>
      </c>
      <c r="C2089" s="2">
        <v>45781</v>
      </c>
      <c r="D2089" s="2" t="str">
        <f>CHOOSE(MONTH(branches[[#This Row],[Дата]]),"Январь","Февраль","Март","Апрель","Май","Июнь","Июль","Август","Сентябрь","Октябрь","Ноябрь","Декабрь")&amp;" "&amp;YEAR(branches[[#This Row],[Дата]])</f>
        <v>Май 2025</v>
      </c>
      <c r="E2089" t="s">
        <v>14</v>
      </c>
      <c r="F2089" t="s">
        <v>12</v>
      </c>
      <c r="G2089">
        <v>2</v>
      </c>
      <c r="H2089">
        <v>474</v>
      </c>
      <c r="I2089" t="s">
        <v>21</v>
      </c>
      <c r="J2089" t="str">
        <f>_xlfn.XLOOKUP(branches[[#This Row],[Филиал]], tbl_Filialy[Филиал], tbl_Filialy[Менеджер])</f>
        <v>Ирина Соколова</v>
      </c>
    </row>
    <row r="2090" spans="1:10" x14ac:dyDescent="0.3">
      <c r="A2090" t="str">
        <f>_xlfn.XLOOKUP(branches[[#This Row],[Филиал]], tbl_Filialy[Филиал], tbl_Filialy[Город])</f>
        <v>Москва</v>
      </c>
      <c r="B2090" s="1" t="s">
        <v>36</v>
      </c>
      <c r="C2090" s="2">
        <v>46009</v>
      </c>
      <c r="D2090" s="2" t="str">
        <f>CHOOSE(MONTH(branches[[#This Row],[Дата]]),"Январь","Февраль","Март","Апрель","Май","Июнь","Июль","Август","Сентябрь","Октябрь","Ноябрь","Декабрь")&amp;" "&amp;YEAR(branches[[#This Row],[Дата]])</f>
        <v>Декабрь 2025</v>
      </c>
      <c r="E2090" t="s">
        <v>25</v>
      </c>
      <c r="F2090" t="s">
        <v>12</v>
      </c>
      <c r="G2090">
        <v>2</v>
      </c>
      <c r="H2090">
        <v>438</v>
      </c>
      <c r="I2090" t="s">
        <v>15</v>
      </c>
      <c r="J2090" t="str">
        <f>_xlfn.XLOOKUP(branches[[#This Row],[Филиал]], tbl_Filialy[Филиал], tbl_Filialy[Менеджер])</f>
        <v>Ирина Соколова</v>
      </c>
    </row>
    <row r="2091" spans="1:10" x14ac:dyDescent="0.3">
      <c r="A2091" t="str">
        <f>_xlfn.XLOOKUP(branches[[#This Row],[Филиал]], tbl_Filialy[Филиал], tbl_Filialy[Город])</f>
        <v>Москва</v>
      </c>
      <c r="B2091" s="1" t="s">
        <v>36</v>
      </c>
      <c r="C2091" s="2">
        <v>45986</v>
      </c>
      <c r="D2091" s="2" t="str">
        <f>CHOOSE(MONTH(branches[[#This Row],[Дата]]),"Январь","Февраль","Март","Апрель","Май","Июнь","Июль","Август","Сентябрь","Октябрь","Ноябрь","Декабрь")&amp;" "&amp;YEAR(branches[[#This Row],[Дата]])</f>
        <v>Ноябрь 2025</v>
      </c>
      <c r="E2091" t="s">
        <v>20</v>
      </c>
      <c r="F2091" t="s">
        <v>12</v>
      </c>
      <c r="G2091">
        <v>1</v>
      </c>
      <c r="H2091">
        <v>252</v>
      </c>
      <c r="I2091" t="s">
        <v>23</v>
      </c>
      <c r="J2091" t="str">
        <f>_xlfn.XLOOKUP(branches[[#This Row],[Филиал]], tbl_Filialy[Филиал], tbl_Filialy[Менеджер])</f>
        <v>Ирина Соколова</v>
      </c>
    </row>
    <row r="2092" spans="1:10" x14ac:dyDescent="0.3">
      <c r="A2092" t="str">
        <f>_xlfn.XLOOKUP(branches[[#This Row],[Филиал]], tbl_Filialy[Филиал], tbl_Filialy[Город])</f>
        <v>Москва</v>
      </c>
      <c r="B2092" s="1" t="s">
        <v>36</v>
      </c>
      <c r="C2092" s="2">
        <v>45910</v>
      </c>
      <c r="D2092" s="2" t="str">
        <f>CHOOSE(MONTH(branches[[#This Row],[Дата]]),"Январь","Февраль","Март","Апрель","Май","Июнь","Июль","Август","Сентябрь","Октябрь","Ноябрь","Декабрь")&amp;" "&amp;YEAR(branches[[#This Row],[Дата]])</f>
        <v>Сентябрь 2025</v>
      </c>
      <c r="E2092" t="s">
        <v>27</v>
      </c>
      <c r="F2092" t="s">
        <v>12</v>
      </c>
      <c r="G2092">
        <v>3</v>
      </c>
      <c r="H2092">
        <v>576</v>
      </c>
      <c r="I2092" t="s">
        <v>10</v>
      </c>
      <c r="J2092" t="str">
        <f>_xlfn.XLOOKUP(branches[[#This Row],[Филиал]], tbl_Filialy[Филиал], tbl_Filialy[Менеджер])</f>
        <v>Ирина Соколова</v>
      </c>
    </row>
    <row r="2093" spans="1:10" x14ac:dyDescent="0.3">
      <c r="A2093" t="str">
        <f>_xlfn.XLOOKUP(branches[[#This Row],[Филиал]], tbl_Filialy[Филиал], tbl_Filialy[Город])</f>
        <v>Москва</v>
      </c>
      <c r="B2093" s="1" t="s">
        <v>36</v>
      </c>
      <c r="C2093" s="2">
        <v>46000</v>
      </c>
      <c r="D2093" s="2" t="str">
        <f>CHOOSE(MONTH(branches[[#This Row],[Дата]]),"Январь","Февраль","Март","Апрель","Май","Июнь","Июль","Август","Сентябрь","Октябрь","Ноябрь","Декабрь")&amp;" "&amp;YEAR(branches[[#This Row],[Дата]])</f>
        <v>Декабрь 2025</v>
      </c>
      <c r="E2093" t="s">
        <v>18</v>
      </c>
      <c r="F2093" t="s">
        <v>12</v>
      </c>
      <c r="G2093">
        <v>2</v>
      </c>
      <c r="H2093">
        <v>278</v>
      </c>
      <c r="I2093" t="s">
        <v>23</v>
      </c>
      <c r="J2093" t="str">
        <f>_xlfn.XLOOKUP(branches[[#This Row],[Филиал]], tbl_Filialy[Филиал], tbl_Filialy[Менеджер])</f>
        <v>Ирина Соколова</v>
      </c>
    </row>
    <row r="2094" spans="1:10" x14ac:dyDescent="0.3">
      <c r="A2094" t="str">
        <f>_xlfn.XLOOKUP(branches[[#This Row],[Филиал]], tbl_Filialy[Филиал], tbl_Filialy[Город])</f>
        <v>Москва</v>
      </c>
      <c r="B2094" s="1" t="s">
        <v>36</v>
      </c>
      <c r="C2094" s="2">
        <v>45759</v>
      </c>
      <c r="D2094" s="2" t="str">
        <f>CHOOSE(MONTH(branches[[#This Row],[Дата]]),"Январь","Февраль","Март","Апрель","Май","Июнь","Июль","Август","Сентябрь","Октябрь","Ноябрь","Декабрь")&amp;" "&amp;YEAR(branches[[#This Row],[Дата]])</f>
        <v>Апрель 2025</v>
      </c>
      <c r="E2094" t="s">
        <v>18</v>
      </c>
      <c r="F2094" t="s">
        <v>12</v>
      </c>
      <c r="G2094">
        <v>1</v>
      </c>
      <c r="H2094">
        <v>134</v>
      </c>
      <c r="I2094" t="s">
        <v>21</v>
      </c>
      <c r="J2094" t="str">
        <f>_xlfn.XLOOKUP(branches[[#This Row],[Филиал]], tbl_Filialy[Филиал], tbl_Filialy[Менеджер])</f>
        <v>Ирина Соколова</v>
      </c>
    </row>
    <row r="2095" spans="1:10" x14ac:dyDescent="0.3">
      <c r="A2095" t="str">
        <f>_xlfn.XLOOKUP(branches[[#This Row],[Филиал]], tbl_Filialy[Филиал], tbl_Filialy[Город])</f>
        <v>Москва</v>
      </c>
      <c r="B2095" s="1" t="s">
        <v>36</v>
      </c>
      <c r="C2095" s="2">
        <v>45774</v>
      </c>
      <c r="D2095" s="2" t="str">
        <f>CHOOSE(MONTH(branches[[#This Row],[Дата]]),"Январь","Февраль","Март","Апрель","Май","Июнь","Июль","Август","Сентябрь","Октябрь","Ноябрь","Декабрь")&amp;" "&amp;YEAR(branches[[#This Row],[Дата]])</f>
        <v>Апрель 2025</v>
      </c>
      <c r="E2095" t="s">
        <v>24</v>
      </c>
      <c r="F2095" t="s">
        <v>17</v>
      </c>
      <c r="G2095">
        <v>1</v>
      </c>
      <c r="H2095">
        <v>388</v>
      </c>
      <c r="I2095" t="s">
        <v>15</v>
      </c>
      <c r="J2095" t="str">
        <f>_xlfn.XLOOKUP(branches[[#This Row],[Филиал]], tbl_Filialy[Филиал], tbl_Filialy[Менеджер])</f>
        <v>Ирина Соколова</v>
      </c>
    </row>
    <row r="2096" spans="1:10" x14ac:dyDescent="0.3">
      <c r="A2096" t="str">
        <f>_xlfn.XLOOKUP(branches[[#This Row],[Филиал]], tbl_Filialy[Филиал], tbl_Filialy[Город])</f>
        <v>Москва</v>
      </c>
      <c r="B2096" s="1" t="s">
        <v>36</v>
      </c>
      <c r="C2096" s="2">
        <v>45690</v>
      </c>
      <c r="D2096" s="2" t="str">
        <f>CHOOSE(MONTH(branches[[#This Row],[Дата]]),"Январь","Февраль","Март","Апрель","Май","Июнь","Июль","Август","Сентябрь","Октябрь","Ноябрь","Декабрь")&amp;" "&amp;YEAR(branches[[#This Row],[Дата]])</f>
        <v>Февраль 2025</v>
      </c>
      <c r="E2096" t="s">
        <v>11</v>
      </c>
      <c r="F2096" t="s">
        <v>12</v>
      </c>
      <c r="G2096">
        <v>2</v>
      </c>
      <c r="H2096">
        <v>322</v>
      </c>
      <c r="I2096" t="s">
        <v>23</v>
      </c>
      <c r="J2096" t="str">
        <f>_xlfn.XLOOKUP(branches[[#This Row],[Филиал]], tbl_Filialy[Филиал], tbl_Filialy[Менеджер])</f>
        <v>Ирина Соколова</v>
      </c>
    </row>
    <row r="2097" spans="1:10" x14ac:dyDescent="0.3">
      <c r="A2097" t="str">
        <f>_xlfn.XLOOKUP(branches[[#This Row],[Филиал]], tbl_Filialy[Филиал], tbl_Filialy[Город])</f>
        <v>Москва</v>
      </c>
      <c r="B2097" s="1" t="s">
        <v>36</v>
      </c>
      <c r="C2097" s="2">
        <v>45771</v>
      </c>
      <c r="D2097" s="2" t="str">
        <f>CHOOSE(MONTH(branches[[#This Row],[Дата]]),"Январь","Февраль","Март","Апрель","Май","Июнь","Июль","Август","Сентябрь","Октябрь","Ноябрь","Декабрь")&amp;" "&amp;YEAR(branches[[#This Row],[Дата]])</f>
        <v>Апрель 2025</v>
      </c>
      <c r="E2097" t="s">
        <v>18</v>
      </c>
      <c r="F2097" t="s">
        <v>12</v>
      </c>
      <c r="G2097">
        <v>1</v>
      </c>
      <c r="H2097">
        <v>127</v>
      </c>
      <c r="I2097" t="s">
        <v>19</v>
      </c>
      <c r="J2097" t="str">
        <f>_xlfn.XLOOKUP(branches[[#This Row],[Филиал]], tbl_Filialy[Филиал], tbl_Filialy[Менеджер])</f>
        <v>Ирина Соколова</v>
      </c>
    </row>
    <row r="2098" spans="1:10" x14ac:dyDescent="0.3">
      <c r="A2098" t="str">
        <f>_xlfn.XLOOKUP(branches[[#This Row],[Филиал]], tbl_Filialy[Филиал], tbl_Filialy[Город])</f>
        <v>Москва</v>
      </c>
      <c r="B2098" s="1" t="s">
        <v>36</v>
      </c>
      <c r="C2098" s="2">
        <v>45781</v>
      </c>
      <c r="D2098" s="2" t="str">
        <f>CHOOSE(MONTH(branches[[#This Row],[Дата]]),"Январь","Февраль","Март","Апрель","Май","Июнь","Июль","Август","Сентябрь","Октябрь","Ноябрь","Декабрь")&amp;" "&amp;YEAR(branches[[#This Row],[Дата]])</f>
        <v>Май 2025</v>
      </c>
      <c r="E2098" t="s">
        <v>27</v>
      </c>
      <c r="F2098" t="s">
        <v>12</v>
      </c>
      <c r="G2098">
        <v>1</v>
      </c>
      <c r="H2098">
        <v>214</v>
      </c>
      <c r="I2098" t="s">
        <v>15</v>
      </c>
      <c r="J2098" t="str">
        <f>_xlfn.XLOOKUP(branches[[#This Row],[Филиал]], tbl_Filialy[Филиал], tbl_Filialy[Менеджер])</f>
        <v>Ирина Соколова</v>
      </c>
    </row>
    <row r="2099" spans="1:10" x14ac:dyDescent="0.3">
      <c r="A2099" t="str">
        <f>_xlfn.XLOOKUP(branches[[#This Row],[Филиал]], tbl_Filialy[Филиал], tbl_Filialy[Город])</f>
        <v>Москва</v>
      </c>
      <c r="B2099" s="1" t="s">
        <v>36</v>
      </c>
      <c r="C2099" s="2">
        <v>45703</v>
      </c>
      <c r="D2099" s="2" t="str">
        <f>CHOOSE(MONTH(branches[[#This Row],[Дата]]),"Январь","Февраль","Март","Апрель","Май","Июнь","Июль","Август","Сентябрь","Октябрь","Ноябрь","Декабрь")&amp;" "&amp;YEAR(branches[[#This Row],[Дата]])</f>
        <v>Февраль 2025</v>
      </c>
      <c r="E2099" t="s">
        <v>16</v>
      </c>
      <c r="F2099" t="s">
        <v>17</v>
      </c>
      <c r="G2099">
        <v>1</v>
      </c>
      <c r="H2099">
        <v>339</v>
      </c>
      <c r="I2099" t="s">
        <v>15</v>
      </c>
      <c r="J2099" t="str">
        <f>_xlfn.XLOOKUP(branches[[#This Row],[Филиал]], tbl_Filialy[Филиал], tbl_Filialy[Менеджер])</f>
        <v>Ирина Соколова</v>
      </c>
    </row>
    <row r="2100" spans="1:10" x14ac:dyDescent="0.3">
      <c r="A2100" t="str">
        <f>_xlfn.XLOOKUP(branches[[#This Row],[Филиал]], tbl_Filialy[Филиал], tbl_Filialy[Город])</f>
        <v>Москва</v>
      </c>
      <c r="B2100" s="1" t="s">
        <v>36</v>
      </c>
      <c r="C2100" s="2">
        <v>45873</v>
      </c>
      <c r="D2100" s="2" t="str">
        <f>CHOOSE(MONTH(branches[[#This Row],[Дата]]),"Январь","Февраль","Март","Апрель","Май","Июнь","Июль","Август","Сентябрь","Октябрь","Ноябрь","Декабрь")&amp;" "&amp;YEAR(branches[[#This Row],[Дата]])</f>
        <v>Август 2025</v>
      </c>
      <c r="E2100" t="s">
        <v>18</v>
      </c>
      <c r="F2100" t="s">
        <v>12</v>
      </c>
      <c r="G2100">
        <v>1</v>
      </c>
      <c r="H2100">
        <v>140</v>
      </c>
      <c r="I2100" t="s">
        <v>13</v>
      </c>
      <c r="J2100" t="str">
        <f>_xlfn.XLOOKUP(branches[[#This Row],[Филиал]], tbl_Filialy[Филиал], tbl_Filialy[Менеджер])</f>
        <v>Ирина Соколова</v>
      </c>
    </row>
    <row r="2101" spans="1:10" x14ac:dyDescent="0.3">
      <c r="A2101" t="str">
        <f>_xlfn.XLOOKUP(branches[[#This Row],[Филиал]], tbl_Filialy[Филиал], tbl_Filialy[Город])</f>
        <v>Москва</v>
      </c>
      <c r="B2101" s="1" t="s">
        <v>36</v>
      </c>
      <c r="C2101" s="2">
        <v>46014</v>
      </c>
      <c r="D2101" s="2" t="str">
        <f>CHOOSE(MONTH(branches[[#This Row],[Дата]]),"Январь","Февраль","Март","Апрель","Май","Июнь","Июль","Август","Сентябрь","Октябрь","Ноябрь","Декабрь")&amp;" "&amp;YEAR(branches[[#This Row],[Дата]])</f>
        <v>Декабрь 2025</v>
      </c>
      <c r="E2101" t="s">
        <v>25</v>
      </c>
      <c r="F2101" t="s">
        <v>12</v>
      </c>
      <c r="G2101">
        <v>2</v>
      </c>
      <c r="H2101">
        <v>430</v>
      </c>
      <c r="I2101" t="s">
        <v>15</v>
      </c>
      <c r="J2101" t="str">
        <f>_xlfn.XLOOKUP(branches[[#This Row],[Филиал]], tbl_Filialy[Филиал], tbl_Filialy[Менеджер])</f>
        <v>Ирина Соколова</v>
      </c>
    </row>
    <row r="2102" spans="1:10" x14ac:dyDescent="0.3">
      <c r="A2102" t="str">
        <f>_xlfn.XLOOKUP(branches[[#This Row],[Филиал]], tbl_Filialy[Филиал], tbl_Filialy[Город])</f>
        <v>Москва</v>
      </c>
      <c r="B2102" s="1" t="s">
        <v>36</v>
      </c>
      <c r="C2102" s="2">
        <v>45752</v>
      </c>
      <c r="D2102" s="2" t="str">
        <f>CHOOSE(MONTH(branches[[#This Row],[Дата]]),"Январь","Февраль","Март","Апрель","Май","Июнь","Июль","Август","Сентябрь","Октябрь","Ноябрь","Декабрь")&amp;" "&amp;YEAR(branches[[#This Row],[Дата]])</f>
        <v>Апрель 2025</v>
      </c>
      <c r="E2102" t="s">
        <v>27</v>
      </c>
      <c r="F2102" t="s">
        <v>12</v>
      </c>
      <c r="G2102">
        <v>3</v>
      </c>
      <c r="H2102">
        <v>642</v>
      </c>
      <c r="I2102" t="s">
        <v>10</v>
      </c>
      <c r="J2102" t="str">
        <f>_xlfn.XLOOKUP(branches[[#This Row],[Филиал]], tbl_Filialy[Филиал], tbl_Filialy[Менеджер])</f>
        <v>Ирина Соколова</v>
      </c>
    </row>
    <row r="2103" spans="1:10" x14ac:dyDescent="0.3">
      <c r="A2103" t="str">
        <f>_xlfn.XLOOKUP(branches[[#This Row],[Филиал]], tbl_Filialy[Филиал], tbl_Filialy[Город])</f>
        <v>Москва</v>
      </c>
      <c r="B2103" s="1" t="s">
        <v>36</v>
      </c>
      <c r="C2103" s="2">
        <v>46011</v>
      </c>
      <c r="D2103" s="2" t="str">
        <f>CHOOSE(MONTH(branches[[#This Row],[Дата]]),"Январь","Февраль","Март","Апрель","Май","Июнь","Июль","Август","Сентябрь","Октябрь","Ноябрь","Декабрь")&amp;" "&amp;YEAR(branches[[#This Row],[Дата]])</f>
        <v>Декабрь 2025</v>
      </c>
      <c r="E2103" t="s">
        <v>18</v>
      </c>
      <c r="F2103" t="s">
        <v>12</v>
      </c>
      <c r="G2103">
        <v>1</v>
      </c>
      <c r="H2103">
        <v>126</v>
      </c>
      <c r="I2103" t="s">
        <v>23</v>
      </c>
      <c r="J2103" t="str">
        <f>_xlfn.XLOOKUP(branches[[#This Row],[Филиал]], tbl_Filialy[Филиал], tbl_Filialy[Менеджер])</f>
        <v>Ирина Соколова</v>
      </c>
    </row>
    <row r="2104" spans="1:10" x14ac:dyDescent="0.3">
      <c r="A2104" t="str">
        <f>_xlfn.XLOOKUP(branches[[#This Row],[Филиал]], tbl_Filialy[Филиал], tbl_Filialy[Город])</f>
        <v>Москва</v>
      </c>
      <c r="B2104" s="1" t="s">
        <v>36</v>
      </c>
      <c r="C2104" s="2">
        <v>45984</v>
      </c>
      <c r="D2104" s="2" t="str">
        <f>CHOOSE(MONTH(branches[[#This Row],[Дата]]),"Январь","Февраль","Март","Апрель","Май","Июнь","Июль","Август","Сентябрь","Октябрь","Ноябрь","Декабрь")&amp;" "&amp;YEAR(branches[[#This Row],[Дата]])</f>
        <v>Ноябрь 2025</v>
      </c>
      <c r="E2104" t="s">
        <v>28</v>
      </c>
      <c r="F2104" t="s">
        <v>12</v>
      </c>
      <c r="G2104">
        <v>3</v>
      </c>
      <c r="H2104">
        <v>639</v>
      </c>
      <c r="I2104" t="s">
        <v>19</v>
      </c>
      <c r="J2104" t="str">
        <f>_xlfn.XLOOKUP(branches[[#This Row],[Филиал]], tbl_Filialy[Филиал], tbl_Filialy[Менеджер])</f>
        <v>Ирина Соколова</v>
      </c>
    </row>
    <row r="2105" spans="1:10" x14ac:dyDescent="0.3">
      <c r="A2105" t="str">
        <f>_xlfn.XLOOKUP(branches[[#This Row],[Филиал]], tbl_Filialy[Филиал], tbl_Filialy[Город])</f>
        <v>Москва</v>
      </c>
      <c r="B2105" s="1" t="s">
        <v>36</v>
      </c>
      <c r="C2105" s="2">
        <v>45963</v>
      </c>
      <c r="D2105" s="2" t="str">
        <f>CHOOSE(MONTH(branches[[#This Row],[Дата]]),"Январь","Февраль","Март","Апрель","Май","Июнь","Июль","Август","Сентябрь","Октябрь","Ноябрь","Декабрь")&amp;" "&amp;YEAR(branches[[#This Row],[Дата]])</f>
        <v>Ноябрь 2025</v>
      </c>
      <c r="E2105" t="s">
        <v>18</v>
      </c>
      <c r="F2105" t="s">
        <v>12</v>
      </c>
      <c r="G2105">
        <v>2</v>
      </c>
      <c r="H2105">
        <v>248</v>
      </c>
      <c r="I2105" t="s">
        <v>15</v>
      </c>
      <c r="J2105" t="str">
        <f>_xlfn.XLOOKUP(branches[[#This Row],[Филиал]], tbl_Filialy[Филиал], tbl_Filialy[Менеджер])</f>
        <v>Ирина Соколова</v>
      </c>
    </row>
    <row r="2106" spans="1:10" x14ac:dyDescent="0.3">
      <c r="A2106" t="str">
        <f>_xlfn.XLOOKUP(branches[[#This Row],[Филиал]], tbl_Filialy[Филиал], tbl_Filialy[Город])</f>
        <v>Москва</v>
      </c>
      <c r="B2106" s="1" t="s">
        <v>36</v>
      </c>
      <c r="C2106" s="2">
        <v>45888</v>
      </c>
      <c r="D2106" s="2" t="str">
        <f>CHOOSE(MONTH(branches[[#This Row],[Дата]]),"Январь","Февраль","Март","Апрель","Май","Июнь","Июль","Август","Сентябрь","Октябрь","Ноябрь","Декабрь")&amp;" "&amp;YEAR(branches[[#This Row],[Дата]])</f>
        <v>Август 2025</v>
      </c>
      <c r="E2106" t="s">
        <v>11</v>
      </c>
      <c r="F2106" t="s">
        <v>12</v>
      </c>
      <c r="G2106">
        <v>1</v>
      </c>
      <c r="H2106">
        <v>150</v>
      </c>
      <c r="I2106" t="s">
        <v>13</v>
      </c>
      <c r="J2106" t="str">
        <f>_xlfn.XLOOKUP(branches[[#This Row],[Филиал]], tbl_Filialy[Филиал], tbl_Filialy[Менеджер])</f>
        <v>Ирина Соколова</v>
      </c>
    </row>
    <row r="2107" spans="1:10" x14ac:dyDescent="0.3">
      <c r="A2107" t="str">
        <f>_xlfn.XLOOKUP(branches[[#This Row],[Филиал]], tbl_Filialy[Филиал], tbl_Filialy[Город])</f>
        <v>Москва</v>
      </c>
      <c r="B2107" s="1" t="s">
        <v>36</v>
      </c>
      <c r="C2107" s="2">
        <v>45947</v>
      </c>
      <c r="D2107" s="2" t="str">
        <f>CHOOSE(MONTH(branches[[#This Row],[Дата]]),"Январь","Февраль","Март","Апрель","Май","Июнь","Июль","Август","Сентябрь","Октябрь","Ноябрь","Декабрь")&amp;" "&amp;YEAR(branches[[#This Row],[Дата]])</f>
        <v>Октябрь 2025</v>
      </c>
      <c r="E2107" t="s">
        <v>14</v>
      </c>
      <c r="F2107" t="s">
        <v>12</v>
      </c>
      <c r="G2107">
        <v>2</v>
      </c>
      <c r="H2107">
        <v>502</v>
      </c>
      <c r="I2107" t="s">
        <v>19</v>
      </c>
      <c r="J2107" t="str">
        <f>_xlfn.XLOOKUP(branches[[#This Row],[Филиал]], tbl_Filialy[Филиал], tbl_Filialy[Менеджер])</f>
        <v>Ирина Соколова</v>
      </c>
    </row>
    <row r="2108" spans="1:10" x14ac:dyDescent="0.3">
      <c r="A2108" t="str">
        <f>_xlfn.XLOOKUP(branches[[#This Row],[Филиал]], tbl_Filialy[Филиал], tbl_Filialy[Город])</f>
        <v>Москва</v>
      </c>
      <c r="B2108" s="1" t="s">
        <v>36</v>
      </c>
      <c r="C2108" s="2">
        <v>45941</v>
      </c>
      <c r="D2108" s="2" t="str">
        <f>CHOOSE(MONTH(branches[[#This Row],[Дата]]),"Январь","Февраль","Март","Апрель","Май","Июнь","Июль","Август","Сентябрь","Октябрь","Ноябрь","Декабрь")&amp;" "&amp;YEAR(branches[[#This Row],[Дата]])</f>
        <v>Октябрь 2025</v>
      </c>
      <c r="E2108" t="s">
        <v>8</v>
      </c>
      <c r="F2108" t="s">
        <v>9</v>
      </c>
      <c r="G2108">
        <v>2</v>
      </c>
      <c r="H2108">
        <v>452</v>
      </c>
      <c r="I2108" t="s">
        <v>21</v>
      </c>
      <c r="J2108" t="str">
        <f>_xlfn.XLOOKUP(branches[[#This Row],[Филиал]], tbl_Filialy[Филиал], tbl_Filialy[Менеджер])</f>
        <v>Ирина Соколова</v>
      </c>
    </row>
    <row r="2109" spans="1:10" x14ac:dyDescent="0.3">
      <c r="A2109" t="str">
        <f>_xlfn.XLOOKUP(branches[[#This Row],[Филиал]], tbl_Filialy[Филиал], tbl_Filialy[Город])</f>
        <v>Москва</v>
      </c>
      <c r="B2109" s="1" t="s">
        <v>36</v>
      </c>
      <c r="C2109" s="2">
        <v>46013</v>
      </c>
      <c r="D2109" s="2" t="str">
        <f>CHOOSE(MONTH(branches[[#This Row],[Дата]]),"Январь","Февраль","Март","Апрель","Май","Июнь","Июль","Август","Сентябрь","Октябрь","Ноябрь","Декабрь")&amp;" "&amp;YEAR(branches[[#This Row],[Дата]])</f>
        <v>Декабрь 2025</v>
      </c>
      <c r="E2109" t="s">
        <v>8</v>
      </c>
      <c r="F2109" t="s">
        <v>9</v>
      </c>
      <c r="G2109">
        <v>3</v>
      </c>
      <c r="H2109">
        <v>840</v>
      </c>
      <c r="I2109" t="s">
        <v>10</v>
      </c>
      <c r="J2109" t="str">
        <f>_xlfn.XLOOKUP(branches[[#This Row],[Филиал]], tbl_Filialy[Филиал], tbl_Filialy[Менеджер])</f>
        <v>Ирина Соколова</v>
      </c>
    </row>
    <row r="2110" spans="1:10" x14ac:dyDescent="0.3">
      <c r="A2110" t="str">
        <f>_xlfn.XLOOKUP(branches[[#This Row],[Филиал]], tbl_Filialy[Филиал], tbl_Filialy[Город])</f>
        <v>Москва</v>
      </c>
      <c r="B2110" s="1" t="s">
        <v>36</v>
      </c>
      <c r="C2110" s="2">
        <v>45801</v>
      </c>
      <c r="D2110" s="2" t="str">
        <f>CHOOSE(MONTH(branches[[#This Row],[Дата]]),"Январь","Февраль","Март","Апрель","Май","Июнь","Июль","Август","Сентябрь","Октябрь","Ноябрь","Декабрь")&amp;" "&amp;YEAR(branches[[#This Row],[Дата]])</f>
        <v>Май 2025</v>
      </c>
      <c r="E2110" t="s">
        <v>16</v>
      </c>
      <c r="F2110" t="s">
        <v>17</v>
      </c>
      <c r="G2110">
        <v>1</v>
      </c>
      <c r="H2110">
        <v>309</v>
      </c>
      <c r="I2110" t="s">
        <v>23</v>
      </c>
      <c r="J2110" t="str">
        <f>_xlfn.XLOOKUP(branches[[#This Row],[Филиал]], tbl_Filialy[Филиал], tbl_Filialy[Менеджер])</f>
        <v>Ирина Соколова</v>
      </c>
    </row>
    <row r="2111" spans="1:10" x14ac:dyDescent="0.3">
      <c r="A2111" t="str">
        <f>_xlfn.XLOOKUP(branches[[#This Row],[Филиал]], tbl_Filialy[Филиал], tbl_Filialy[Город])</f>
        <v>Москва</v>
      </c>
      <c r="B2111" s="1" t="s">
        <v>36</v>
      </c>
      <c r="C2111" s="2">
        <v>46010</v>
      </c>
      <c r="D2111" s="2" t="str">
        <f>CHOOSE(MONTH(branches[[#This Row],[Дата]]),"Январь","Февраль","Март","Апрель","Май","Июнь","Июль","Август","Сентябрь","Октябрь","Ноябрь","Декабрь")&amp;" "&amp;YEAR(branches[[#This Row],[Дата]])</f>
        <v>Декабрь 2025</v>
      </c>
      <c r="E2111" t="s">
        <v>24</v>
      </c>
      <c r="F2111" t="s">
        <v>17</v>
      </c>
      <c r="G2111">
        <v>2</v>
      </c>
      <c r="H2111">
        <v>750</v>
      </c>
      <c r="I2111" t="s">
        <v>19</v>
      </c>
      <c r="J2111" t="str">
        <f>_xlfn.XLOOKUP(branches[[#This Row],[Филиал]], tbl_Filialy[Филиал], tbl_Filialy[Менеджер])</f>
        <v>Ирина Соколова</v>
      </c>
    </row>
    <row r="2112" spans="1:10" x14ac:dyDescent="0.3">
      <c r="A2112" t="str">
        <f>_xlfn.XLOOKUP(branches[[#This Row],[Филиал]], tbl_Filialy[Филиал], tbl_Filialy[Город])</f>
        <v>Москва</v>
      </c>
      <c r="B2112" s="1" t="s">
        <v>36</v>
      </c>
      <c r="C2112" s="2">
        <v>45797</v>
      </c>
      <c r="D2112" s="2" t="str">
        <f>CHOOSE(MONTH(branches[[#This Row],[Дата]]),"Январь","Февраль","Март","Апрель","Май","Июнь","Июль","Август","Сентябрь","Октябрь","Ноябрь","Декабрь")&amp;" "&amp;YEAR(branches[[#This Row],[Дата]])</f>
        <v>Май 2025</v>
      </c>
      <c r="E2112" t="s">
        <v>11</v>
      </c>
      <c r="F2112" t="s">
        <v>12</v>
      </c>
      <c r="G2112">
        <v>1</v>
      </c>
      <c r="H2112">
        <v>150</v>
      </c>
      <c r="I2112" t="s">
        <v>15</v>
      </c>
      <c r="J2112" t="str">
        <f>_xlfn.XLOOKUP(branches[[#This Row],[Филиал]], tbl_Filialy[Филиал], tbl_Filialy[Менеджер])</f>
        <v>Ирина Соколова</v>
      </c>
    </row>
    <row r="2113" spans="1:10" x14ac:dyDescent="0.3">
      <c r="A2113" t="str">
        <f>_xlfn.XLOOKUP(branches[[#This Row],[Филиал]], tbl_Filialy[Филиал], tbl_Filialy[Город])</f>
        <v>Москва</v>
      </c>
      <c r="B2113" s="1" t="s">
        <v>36</v>
      </c>
      <c r="C2113" s="2">
        <v>45760</v>
      </c>
      <c r="D2113" s="2" t="str">
        <f>CHOOSE(MONTH(branches[[#This Row],[Дата]]),"Январь","Февраль","Март","Апрель","Май","Июнь","Июль","Август","Сентябрь","Октябрь","Ноябрь","Декабрь")&amp;" "&amp;YEAR(branches[[#This Row],[Дата]])</f>
        <v>Апрель 2025</v>
      </c>
      <c r="E2113" t="s">
        <v>22</v>
      </c>
      <c r="F2113" t="s">
        <v>9</v>
      </c>
      <c r="G2113">
        <v>1</v>
      </c>
      <c r="H2113">
        <v>164</v>
      </c>
      <c r="I2113" t="s">
        <v>15</v>
      </c>
      <c r="J2113" t="str">
        <f>_xlfn.XLOOKUP(branches[[#This Row],[Филиал]], tbl_Filialy[Филиал], tbl_Filialy[Менеджер])</f>
        <v>Ирина Соколова</v>
      </c>
    </row>
    <row r="2114" spans="1:10" x14ac:dyDescent="0.3">
      <c r="A2114" t="str">
        <f>_xlfn.XLOOKUP(branches[[#This Row],[Филиал]], tbl_Filialy[Филиал], tbl_Filialy[Город])</f>
        <v>Москва</v>
      </c>
      <c r="B2114" s="1" t="s">
        <v>36</v>
      </c>
      <c r="C2114" s="2">
        <v>45993</v>
      </c>
      <c r="D2114" s="2" t="str">
        <f>CHOOSE(MONTH(branches[[#This Row],[Дата]]),"Январь","Февраль","Март","Апрель","Май","Июнь","Июль","Август","Сентябрь","Октябрь","Ноябрь","Декабрь")&amp;" "&amp;YEAR(branches[[#This Row],[Дата]])</f>
        <v>Декабрь 2025</v>
      </c>
      <c r="E2114" t="s">
        <v>11</v>
      </c>
      <c r="F2114" t="s">
        <v>12</v>
      </c>
      <c r="G2114">
        <v>2</v>
      </c>
      <c r="H2114">
        <v>372</v>
      </c>
      <c r="I2114" t="s">
        <v>19</v>
      </c>
      <c r="J2114" t="str">
        <f>_xlfn.XLOOKUP(branches[[#This Row],[Филиал]], tbl_Filialy[Филиал], tbl_Filialy[Менеджер])</f>
        <v>Ирина Соколова</v>
      </c>
    </row>
    <row r="2115" spans="1:10" x14ac:dyDescent="0.3">
      <c r="A2115" t="str">
        <f>_xlfn.XLOOKUP(branches[[#This Row],[Филиал]], tbl_Filialy[Филиал], tbl_Filialy[Город])</f>
        <v>Москва</v>
      </c>
      <c r="B2115" s="1" t="s">
        <v>36</v>
      </c>
      <c r="C2115" s="2">
        <v>45936</v>
      </c>
      <c r="D2115" s="2" t="str">
        <f>CHOOSE(MONTH(branches[[#This Row],[Дата]]),"Январь","Февраль","Март","Апрель","Май","Июнь","Июль","Август","Сентябрь","Октябрь","Ноябрь","Декабрь")&amp;" "&amp;YEAR(branches[[#This Row],[Дата]])</f>
        <v>Октябрь 2025</v>
      </c>
      <c r="E2115" t="s">
        <v>28</v>
      </c>
      <c r="F2115" t="s">
        <v>12</v>
      </c>
      <c r="G2115">
        <v>2</v>
      </c>
      <c r="H2115">
        <v>482</v>
      </c>
      <c r="I2115" t="s">
        <v>19</v>
      </c>
      <c r="J2115" t="str">
        <f>_xlfn.XLOOKUP(branches[[#This Row],[Филиал]], tbl_Filialy[Филиал], tbl_Filialy[Менеджер])</f>
        <v>Ирина Соколова</v>
      </c>
    </row>
    <row r="2116" spans="1:10" x14ac:dyDescent="0.3">
      <c r="A2116" t="str">
        <f>_xlfn.XLOOKUP(branches[[#This Row],[Филиал]], tbl_Filialy[Филиал], tbl_Filialy[Город])</f>
        <v>Москва</v>
      </c>
      <c r="B2116" s="1" t="s">
        <v>36</v>
      </c>
      <c r="C2116" s="2">
        <v>45775</v>
      </c>
      <c r="D2116" s="2" t="str">
        <f>CHOOSE(MONTH(branches[[#This Row],[Дата]]),"Январь","Февраль","Март","Апрель","Май","Июнь","Июль","Август","Сентябрь","Октябрь","Ноябрь","Декабрь")&amp;" "&amp;YEAR(branches[[#This Row],[Дата]])</f>
        <v>Апрель 2025</v>
      </c>
      <c r="E2116" t="s">
        <v>20</v>
      </c>
      <c r="F2116" t="s">
        <v>12</v>
      </c>
      <c r="G2116">
        <v>1</v>
      </c>
      <c r="H2116">
        <v>296</v>
      </c>
      <c r="I2116" t="s">
        <v>19</v>
      </c>
      <c r="J2116" t="str">
        <f>_xlfn.XLOOKUP(branches[[#This Row],[Филиал]], tbl_Filialy[Филиал], tbl_Filialy[Менеджер])</f>
        <v>Ирина Соколова</v>
      </c>
    </row>
    <row r="2117" spans="1:10" x14ac:dyDescent="0.3">
      <c r="A2117" t="str">
        <f>_xlfn.XLOOKUP(branches[[#This Row],[Филиал]], tbl_Filialy[Филиал], tbl_Filialy[Город])</f>
        <v>Москва</v>
      </c>
      <c r="B2117" s="1" t="s">
        <v>36</v>
      </c>
      <c r="C2117" s="2">
        <v>45853</v>
      </c>
      <c r="D2117" s="2" t="str">
        <f>CHOOSE(MONTH(branches[[#This Row],[Дата]]),"Январь","Февраль","Март","Апрель","Май","Июнь","Июль","Август","Сентябрь","Октябрь","Ноябрь","Декабрь")&amp;" "&amp;YEAR(branches[[#This Row],[Дата]])</f>
        <v>Июль 2025</v>
      </c>
      <c r="E2117" t="s">
        <v>22</v>
      </c>
      <c r="F2117" t="s">
        <v>9</v>
      </c>
      <c r="G2117">
        <v>2</v>
      </c>
      <c r="H2117">
        <v>394</v>
      </c>
      <c r="I2117" t="s">
        <v>13</v>
      </c>
      <c r="J2117" t="str">
        <f>_xlfn.XLOOKUP(branches[[#This Row],[Филиал]], tbl_Filialy[Филиал], tbl_Filialy[Менеджер])</f>
        <v>Ирина Соколова</v>
      </c>
    </row>
    <row r="2118" spans="1:10" x14ac:dyDescent="0.3">
      <c r="A2118" t="str">
        <f>_xlfn.XLOOKUP(branches[[#This Row],[Филиал]], tbl_Filialy[Филиал], tbl_Filialy[Город])</f>
        <v>Москва</v>
      </c>
      <c r="B2118" s="1" t="s">
        <v>36</v>
      </c>
      <c r="C2118" s="2">
        <v>45942</v>
      </c>
      <c r="D2118" s="2" t="str">
        <f>CHOOSE(MONTH(branches[[#This Row],[Дата]]),"Январь","Февраль","Март","Апрель","Май","Июнь","Июль","Август","Сентябрь","Октябрь","Ноябрь","Декабрь")&amp;" "&amp;YEAR(branches[[#This Row],[Дата]])</f>
        <v>Октябрь 2025</v>
      </c>
      <c r="E2118" t="s">
        <v>11</v>
      </c>
      <c r="F2118" t="s">
        <v>12</v>
      </c>
      <c r="G2118">
        <v>1</v>
      </c>
      <c r="H2118">
        <v>191</v>
      </c>
      <c r="I2118" t="s">
        <v>15</v>
      </c>
      <c r="J2118" t="str">
        <f>_xlfn.XLOOKUP(branches[[#This Row],[Филиал]], tbl_Filialy[Филиал], tbl_Filialy[Менеджер])</f>
        <v>Ирина Соколова</v>
      </c>
    </row>
    <row r="2119" spans="1:10" x14ac:dyDescent="0.3">
      <c r="A2119" t="str">
        <f>_xlfn.XLOOKUP(branches[[#This Row],[Филиал]], tbl_Filialy[Филиал], tbl_Filialy[Город])</f>
        <v>Москва</v>
      </c>
      <c r="B2119" s="1" t="s">
        <v>36</v>
      </c>
      <c r="C2119" s="2">
        <v>45755</v>
      </c>
      <c r="D2119" s="2" t="str">
        <f>CHOOSE(MONTH(branches[[#This Row],[Дата]]),"Январь","Февраль","Март","Апрель","Май","Июнь","Июль","Август","Сентябрь","Октябрь","Ноябрь","Декабрь")&amp;" "&amp;YEAR(branches[[#This Row],[Дата]])</f>
        <v>Апрель 2025</v>
      </c>
      <c r="E2119" t="s">
        <v>26</v>
      </c>
      <c r="F2119" t="s">
        <v>9</v>
      </c>
      <c r="G2119">
        <v>1</v>
      </c>
      <c r="H2119">
        <v>190</v>
      </c>
      <c r="I2119" t="s">
        <v>23</v>
      </c>
      <c r="J2119" t="str">
        <f>_xlfn.XLOOKUP(branches[[#This Row],[Филиал]], tbl_Filialy[Филиал], tbl_Filialy[Менеджер])</f>
        <v>Ирина Соколова</v>
      </c>
    </row>
    <row r="2120" spans="1:10" x14ac:dyDescent="0.3">
      <c r="A2120" t="str">
        <f>_xlfn.XLOOKUP(branches[[#This Row],[Филиал]], tbl_Filialy[Филиал], tbl_Filialy[Город])</f>
        <v>Москва</v>
      </c>
      <c r="B2120" s="1" t="s">
        <v>36</v>
      </c>
      <c r="C2120" s="2">
        <v>45770</v>
      </c>
      <c r="D2120" s="2" t="str">
        <f>CHOOSE(MONTH(branches[[#This Row],[Дата]]),"Январь","Февраль","Март","Апрель","Май","Июнь","Июль","Август","Сентябрь","Октябрь","Ноябрь","Декабрь")&amp;" "&amp;YEAR(branches[[#This Row],[Дата]])</f>
        <v>Апрель 2025</v>
      </c>
      <c r="E2120" t="s">
        <v>16</v>
      </c>
      <c r="F2120" t="s">
        <v>17</v>
      </c>
      <c r="G2120">
        <v>1</v>
      </c>
      <c r="H2120">
        <v>343</v>
      </c>
      <c r="I2120" t="s">
        <v>10</v>
      </c>
      <c r="J2120" t="str">
        <f>_xlfn.XLOOKUP(branches[[#This Row],[Филиал]], tbl_Filialy[Филиал], tbl_Filialy[Менеджер])</f>
        <v>Ирина Соколова</v>
      </c>
    </row>
    <row r="2121" spans="1:10" x14ac:dyDescent="0.3">
      <c r="A2121" t="str">
        <f>_xlfn.XLOOKUP(branches[[#This Row],[Филиал]], tbl_Filialy[Филиал], tbl_Filialy[Город])</f>
        <v>Москва</v>
      </c>
      <c r="B2121" s="1" t="s">
        <v>36</v>
      </c>
      <c r="C2121" s="2">
        <v>45966</v>
      </c>
      <c r="D2121" s="2" t="str">
        <f>CHOOSE(MONTH(branches[[#This Row],[Дата]]),"Январь","Февраль","Март","Апрель","Май","Июнь","Июль","Август","Сентябрь","Октябрь","Ноябрь","Декабрь")&amp;" "&amp;YEAR(branches[[#This Row],[Дата]])</f>
        <v>Ноябрь 2025</v>
      </c>
      <c r="E2121" t="s">
        <v>26</v>
      </c>
      <c r="F2121" t="s">
        <v>9</v>
      </c>
      <c r="G2121">
        <v>1</v>
      </c>
      <c r="H2121">
        <v>199</v>
      </c>
      <c r="I2121" t="s">
        <v>15</v>
      </c>
      <c r="J2121" t="str">
        <f>_xlfn.XLOOKUP(branches[[#This Row],[Филиал]], tbl_Filialy[Филиал], tbl_Filialy[Менеджер])</f>
        <v>Ирина Соколова</v>
      </c>
    </row>
    <row r="2122" spans="1:10" x14ac:dyDescent="0.3">
      <c r="A2122" t="str">
        <f>_xlfn.XLOOKUP(branches[[#This Row],[Филиал]], tbl_Filialy[Филиал], tbl_Filialy[Город])</f>
        <v>Москва</v>
      </c>
      <c r="B2122" s="1" t="s">
        <v>36</v>
      </c>
      <c r="C2122" s="2">
        <v>45677</v>
      </c>
      <c r="D2122" s="2" t="str">
        <f>CHOOSE(MONTH(branches[[#This Row],[Дата]]),"Январь","Февраль","Март","Апрель","Май","Июнь","Июль","Август","Сентябрь","Октябрь","Ноябрь","Декабрь")&amp;" "&amp;YEAR(branches[[#This Row],[Дата]])</f>
        <v>Январь 2025</v>
      </c>
      <c r="E2122" t="s">
        <v>18</v>
      </c>
      <c r="F2122" t="s">
        <v>12</v>
      </c>
      <c r="G2122">
        <v>1</v>
      </c>
      <c r="H2122">
        <v>152</v>
      </c>
      <c r="I2122" t="s">
        <v>23</v>
      </c>
      <c r="J2122" t="str">
        <f>_xlfn.XLOOKUP(branches[[#This Row],[Филиал]], tbl_Filialy[Филиал], tbl_Filialy[Менеджер])</f>
        <v>Ирина Соколова</v>
      </c>
    </row>
    <row r="2123" spans="1:10" x14ac:dyDescent="0.3">
      <c r="A2123" t="str">
        <f>_xlfn.XLOOKUP(branches[[#This Row],[Филиал]], tbl_Filialy[Филиал], tbl_Filialy[Город])</f>
        <v>Москва</v>
      </c>
      <c r="B2123" s="1" t="s">
        <v>36</v>
      </c>
      <c r="C2123" s="2">
        <v>45731</v>
      </c>
      <c r="D2123" s="2" t="str">
        <f>CHOOSE(MONTH(branches[[#This Row],[Дата]]),"Январь","Февраль","Март","Апрель","Май","Июнь","Июль","Август","Сентябрь","Октябрь","Ноябрь","Декабрь")&amp;" "&amp;YEAR(branches[[#This Row],[Дата]])</f>
        <v>Март 2025</v>
      </c>
      <c r="E2123" t="s">
        <v>22</v>
      </c>
      <c r="F2123" t="s">
        <v>9</v>
      </c>
      <c r="G2123">
        <v>3</v>
      </c>
      <c r="H2123">
        <v>573</v>
      </c>
      <c r="I2123" t="s">
        <v>23</v>
      </c>
      <c r="J2123" t="str">
        <f>_xlfn.XLOOKUP(branches[[#This Row],[Филиал]], tbl_Filialy[Филиал], tbl_Filialy[Менеджер])</f>
        <v>Ирина Соколова</v>
      </c>
    </row>
    <row r="2124" spans="1:10" x14ac:dyDescent="0.3">
      <c r="A2124" t="str">
        <f>_xlfn.XLOOKUP(branches[[#This Row],[Филиал]], tbl_Filialy[Филиал], tbl_Filialy[Город])</f>
        <v>Москва</v>
      </c>
      <c r="B2124" s="1" t="s">
        <v>36</v>
      </c>
      <c r="C2124" s="2">
        <v>45708</v>
      </c>
      <c r="D2124" s="2" t="str">
        <f>CHOOSE(MONTH(branches[[#This Row],[Дата]]),"Январь","Февраль","Март","Апрель","Май","Июнь","Июль","Август","Сентябрь","Октябрь","Ноябрь","Декабрь")&amp;" "&amp;YEAR(branches[[#This Row],[Дата]])</f>
        <v>Февраль 2025</v>
      </c>
      <c r="E2124" t="s">
        <v>8</v>
      </c>
      <c r="F2124" t="s">
        <v>9</v>
      </c>
      <c r="G2124">
        <v>3</v>
      </c>
      <c r="H2124">
        <v>717</v>
      </c>
      <c r="I2124" t="s">
        <v>13</v>
      </c>
      <c r="J2124" t="str">
        <f>_xlfn.XLOOKUP(branches[[#This Row],[Филиал]], tbl_Filialy[Филиал], tbl_Filialy[Менеджер])</f>
        <v>Ирина Соколова</v>
      </c>
    </row>
    <row r="2125" spans="1:10" x14ac:dyDescent="0.3">
      <c r="A2125" t="str">
        <f>_xlfn.XLOOKUP(branches[[#This Row],[Филиал]], tbl_Filialy[Филиал], tbl_Filialy[Город])</f>
        <v>Москва</v>
      </c>
      <c r="B2125" s="1" t="s">
        <v>36</v>
      </c>
      <c r="C2125" s="2">
        <v>45801</v>
      </c>
      <c r="D2125" s="2" t="str">
        <f>CHOOSE(MONTH(branches[[#This Row],[Дата]]),"Январь","Февраль","Март","Апрель","Май","Июнь","Июль","Август","Сентябрь","Октябрь","Ноябрь","Декабрь")&amp;" "&amp;YEAR(branches[[#This Row],[Дата]])</f>
        <v>Май 2025</v>
      </c>
      <c r="E2125" t="s">
        <v>24</v>
      </c>
      <c r="F2125" t="s">
        <v>17</v>
      </c>
      <c r="G2125">
        <v>1</v>
      </c>
      <c r="H2125">
        <v>412</v>
      </c>
      <c r="I2125" t="s">
        <v>15</v>
      </c>
      <c r="J2125" t="str">
        <f>_xlfn.XLOOKUP(branches[[#This Row],[Филиал]], tbl_Filialy[Филиал], tbl_Filialy[Менеджер])</f>
        <v>Ирина Соколова</v>
      </c>
    </row>
    <row r="2126" spans="1:10" x14ac:dyDescent="0.3">
      <c r="A2126" t="str">
        <f>_xlfn.XLOOKUP(branches[[#This Row],[Филиал]], tbl_Filialy[Филиал], tbl_Filialy[Город])</f>
        <v>Москва</v>
      </c>
      <c r="B2126" s="1" t="s">
        <v>36</v>
      </c>
      <c r="C2126" s="2">
        <v>45701</v>
      </c>
      <c r="D2126" s="2" t="str">
        <f>CHOOSE(MONTH(branches[[#This Row],[Дата]]),"Январь","Февраль","Март","Апрель","Май","Июнь","Июль","Август","Сентябрь","Октябрь","Ноябрь","Декабрь")&amp;" "&amp;YEAR(branches[[#This Row],[Дата]])</f>
        <v>Февраль 2025</v>
      </c>
      <c r="E2126" t="s">
        <v>26</v>
      </c>
      <c r="F2126" t="s">
        <v>9</v>
      </c>
      <c r="G2126">
        <v>2</v>
      </c>
      <c r="H2126">
        <v>408</v>
      </c>
      <c r="I2126" t="s">
        <v>19</v>
      </c>
      <c r="J2126" t="str">
        <f>_xlfn.XLOOKUP(branches[[#This Row],[Филиал]], tbl_Filialy[Филиал], tbl_Filialy[Менеджер])</f>
        <v>Ирина Соколова</v>
      </c>
    </row>
    <row r="2127" spans="1:10" x14ac:dyDescent="0.3">
      <c r="A2127" t="str">
        <f>_xlfn.XLOOKUP(branches[[#This Row],[Филиал]], tbl_Filialy[Филиал], tbl_Filialy[Город])</f>
        <v>Москва</v>
      </c>
      <c r="B2127" s="1" t="s">
        <v>36</v>
      </c>
      <c r="C2127" s="2">
        <v>45995</v>
      </c>
      <c r="D2127" s="2" t="str">
        <f>CHOOSE(MONTH(branches[[#This Row],[Дата]]),"Январь","Февраль","Март","Апрель","Май","Июнь","Июль","Август","Сентябрь","Октябрь","Ноябрь","Декабрь")&amp;" "&amp;YEAR(branches[[#This Row],[Дата]])</f>
        <v>Декабрь 2025</v>
      </c>
      <c r="E2127" t="s">
        <v>25</v>
      </c>
      <c r="F2127" t="s">
        <v>12</v>
      </c>
      <c r="G2127">
        <v>1</v>
      </c>
      <c r="H2127">
        <v>201</v>
      </c>
      <c r="I2127" t="s">
        <v>19</v>
      </c>
      <c r="J2127" t="str">
        <f>_xlfn.XLOOKUP(branches[[#This Row],[Филиал]], tbl_Filialy[Филиал], tbl_Filialy[Менеджер])</f>
        <v>Ирина Соколова</v>
      </c>
    </row>
    <row r="2128" spans="1:10" x14ac:dyDescent="0.3">
      <c r="A2128" t="str">
        <f>_xlfn.XLOOKUP(branches[[#This Row],[Филиал]], tbl_Filialy[Филиал], tbl_Filialy[Город])</f>
        <v>Москва</v>
      </c>
      <c r="B2128" s="1" t="s">
        <v>36</v>
      </c>
      <c r="C2128" s="2">
        <v>45855</v>
      </c>
      <c r="D2128" s="2" t="str">
        <f>CHOOSE(MONTH(branches[[#This Row],[Дата]]),"Январь","Февраль","Март","Апрель","Май","Июнь","Июль","Август","Сентябрь","Октябрь","Ноябрь","Декабрь")&amp;" "&amp;YEAR(branches[[#This Row],[Дата]])</f>
        <v>Июль 2025</v>
      </c>
      <c r="E2128" t="s">
        <v>8</v>
      </c>
      <c r="F2128" t="s">
        <v>9</v>
      </c>
      <c r="G2128">
        <v>3</v>
      </c>
      <c r="H2128">
        <v>702</v>
      </c>
      <c r="I2128" t="s">
        <v>19</v>
      </c>
      <c r="J2128" t="str">
        <f>_xlfn.XLOOKUP(branches[[#This Row],[Филиал]], tbl_Filialy[Филиал], tbl_Filialy[Менеджер])</f>
        <v>Ирина Соколова</v>
      </c>
    </row>
    <row r="2129" spans="1:10" x14ac:dyDescent="0.3">
      <c r="A2129" t="str">
        <f>_xlfn.XLOOKUP(branches[[#This Row],[Филиал]], tbl_Filialy[Филиал], tbl_Filialy[Город])</f>
        <v>Москва</v>
      </c>
      <c r="B2129" s="1" t="s">
        <v>36</v>
      </c>
      <c r="C2129" s="2">
        <v>45796</v>
      </c>
      <c r="D2129" s="2" t="str">
        <f>CHOOSE(MONTH(branches[[#This Row],[Дата]]),"Январь","Февраль","Март","Апрель","Май","Июнь","Июль","Август","Сентябрь","Октябрь","Ноябрь","Декабрь")&amp;" "&amp;YEAR(branches[[#This Row],[Дата]])</f>
        <v>Май 2025</v>
      </c>
      <c r="E2129" t="s">
        <v>24</v>
      </c>
      <c r="F2129" t="s">
        <v>17</v>
      </c>
      <c r="G2129">
        <v>2</v>
      </c>
      <c r="H2129">
        <v>776</v>
      </c>
      <c r="I2129" t="s">
        <v>13</v>
      </c>
      <c r="J2129" t="str">
        <f>_xlfn.XLOOKUP(branches[[#This Row],[Филиал]], tbl_Filialy[Филиал], tbl_Filialy[Менеджер])</f>
        <v>Ирина Соколова</v>
      </c>
    </row>
    <row r="2130" spans="1:10" x14ac:dyDescent="0.3">
      <c r="A2130" t="str">
        <f>_xlfn.XLOOKUP(branches[[#This Row],[Филиал]], tbl_Filialy[Филиал], tbl_Filialy[Город])</f>
        <v>Москва</v>
      </c>
      <c r="B2130" s="1" t="s">
        <v>36</v>
      </c>
      <c r="C2130" s="2">
        <v>45840</v>
      </c>
      <c r="D2130" s="2" t="str">
        <f>CHOOSE(MONTH(branches[[#This Row],[Дата]]),"Январь","Февраль","Март","Апрель","Май","Июнь","Июль","Август","Сентябрь","Октябрь","Ноябрь","Декабрь")&amp;" "&amp;YEAR(branches[[#This Row],[Дата]])</f>
        <v>Июль 2025</v>
      </c>
      <c r="E2130" t="s">
        <v>14</v>
      </c>
      <c r="F2130" t="s">
        <v>12</v>
      </c>
      <c r="G2130">
        <v>1</v>
      </c>
      <c r="H2130">
        <v>267</v>
      </c>
      <c r="I2130" t="s">
        <v>10</v>
      </c>
      <c r="J2130" t="str">
        <f>_xlfn.XLOOKUP(branches[[#This Row],[Филиал]], tbl_Filialy[Филиал], tbl_Filialy[Менеджер])</f>
        <v>Ирина Соколова</v>
      </c>
    </row>
    <row r="2131" spans="1:10" x14ac:dyDescent="0.3">
      <c r="A2131" t="str">
        <f>_xlfn.XLOOKUP(branches[[#This Row],[Филиал]], tbl_Filialy[Филиал], tbl_Filialy[Город])</f>
        <v>Москва</v>
      </c>
      <c r="B2131" s="1" t="s">
        <v>36</v>
      </c>
      <c r="C2131" s="2">
        <v>46012</v>
      </c>
      <c r="D2131" s="2" t="str">
        <f>CHOOSE(MONTH(branches[[#This Row],[Дата]]),"Январь","Февраль","Март","Апрель","Май","Июнь","Июль","Август","Сентябрь","Октябрь","Ноябрь","Декабрь")&amp;" "&amp;YEAR(branches[[#This Row],[Дата]])</f>
        <v>Декабрь 2025</v>
      </c>
      <c r="E2131" t="s">
        <v>28</v>
      </c>
      <c r="F2131" t="s">
        <v>12</v>
      </c>
      <c r="G2131">
        <v>3</v>
      </c>
      <c r="H2131">
        <v>762</v>
      </c>
      <c r="I2131" t="s">
        <v>23</v>
      </c>
      <c r="J2131" t="str">
        <f>_xlfn.XLOOKUP(branches[[#This Row],[Филиал]], tbl_Filialy[Филиал], tbl_Filialy[Менеджер])</f>
        <v>Ирина Соколова</v>
      </c>
    </row>
    <row r="2132" spans="1:10" x14ac:dyDescent="0.3">
      <c r="A2132" t="str">
        <f>_xlfn.XLOOKUP(branches[[#This Row],[Филиал]], tbl_Filialy[Филиал], tbl_Filialy[Город])</f>
        <v>Москва</v>
      </c>
      <c r="B2132" s="1" t="s">
        <v>36</v>
      </c>
      <c r="C2132" s="2">
        <v>45738</v>
      </c>
      <c r="D2132" s="2" t="str">
        <f>CHOOSE(MONTH(branches[[#This Row],[Дата]]),"Январь","Февраль","Март","Апрель","Май","Июнь","Июль","Август","Сентябрь","Октябрь","Ноябрь","Декабрь")&amp;" "&amp;YEAR(branches[[#This Row],[Дата]])</f>
        <v>Март 2025</v>
      </c>
      <c r="E2132" t="s">
        <v>25</v>
      </c>
      <c r="F2132" t="s">
        <v>12</v>
      </c>
      <c r="G2132">
        <v>1</v>
      </c>
      <c r="H2132">
        <v>237</v>
      </c>
      <c r="I2132" t="s">
        <v>15</v>
      </c>
      <c r="J2132" t="str">
        <f>_xlfn.XLOOKUP(branches[[#This Row],[Филиал]], tbl_Filialy[Филиал], tbl_Filialy[Менеджер])</f>
        <v>Ирина Соколова</v>
      </c>
    </row>
    <row r="2133" spans="1:10" x14ac:dyDescent="0.3">
      <c r="A2133" t="str">
        <f>_xlfn.XLOOKUP(branches[[#This Row],[Филиал]], tbl_Filialy[Филиал], tbl_Filialy[Город])</f>
        <v>Москва</v>
      </c>
      <c r="B2133" s="1" t="s">
        <v>36</v>
      </c>
      <c r="C2133" s="2">
        <v>45983</v>
      </c>
      <c r="D2133" s="2" t="str">
        <f>CHOOSE(MONTH(branches[[#This Row],[Дата]]),"Январь","Февраль","Март","Апрель","Май","Июнь","Июль","Август","Сентябрь","Октябрь","Ноябрь","Декабрь")&amp;" "&amp;YEAR(branches[[#This Row],[Дата]])</f>
        <v>Ноябрь 2025</v>
      </c>
      <c r="E2133" t="s">
        <v>14</v>
      </c>
      <c r="F2133" t="s">
        <v>12</v>
      </c>
      <c r="G2133">
        <v>1</v>
      </c>
      <c r="H2133">
        <v>255</v>
      </c>
      <c r="I2133" t="s">
        <v>19</v>
      </c>
      <c r="J2133" t="str">
        <f>_xlfn.XLOOKUP(branches[[#This Row],[Филиал]], tbl_Filialy[Филиал], tbl_Filialy[Менеджер])</f>
        <v>Ирина Соколова</v>
      </c>
    </row>
    <row r="2134" spans="1:10" x14ac:dyDescent="0.3">
      <c r="A2134" t="str">
        <f>_xlfn.XLOOKUP(branches[[#This Row],[Филиал]], tbl_Filialy[Филиал], tbl_Filialy[Город])</f>
        <v>Москва</v>
      </c>
      <c r="B2134" s="1" t="s">
        <v>36</v>
      </c>
      <c r="C2134" s="2">
        <v>45738</v>
      </c>
      <c r="D2134" s="2" t="str">
        <f>CHOOSE(MONTH(branches[[#This Row],[Дата]]),"Январь","Февраль","Март","Апрель","Май","Июнь","Июль","Август","Сентябрь","Октябрь","Ноябрь","Декабрь")&amp;" "&amp;YEAR(branches[[#This Row],[Дата]])</f>
        <v>Март 2025</v>
      </c>
      <c r="E2134" t="s">
        <v>25</v>
      </c>
      <c r="F2134" t="s">
        <v>12</v>
      </c>
      <c r="G2134">
        <v>2</v>
      </c>
      <c r="H2134">
        <v>462</v>
      </c>
      <c r="I2134" t="s">
        <v>23</v>
      </c>
      <c r="J2134" t="str">
        <f>_xlfn.XLOOKUP(branches[[#This Row],[Филиал]], tbl_Filialy[Филиал], tbl_Filialy[Менеджер])</f>
        <v>Ирина Соколова</v>
      </c>
    </row>
    <row r="2135" spans="1:10" x14ac:dyDescent="0.3">
      <c r="A2135" t="str">
        <f>_xlfn.XLOOKUP(branches[[#This Row],[Филиал]], tbl_Filialy[Филиал], tbl_Filialy[Город])</f>
        <v>Москва</v>
      </c>
      <c r="B2135" s="1" t="s">
        <v>36</v>
      </c>
      <c r="C2135" s="2">
        <v>45756</v>
      </c>
      <c r="D2135" s="2" t="str">
        <f>CHOOSE(MONTH(branches[[#This Row],[Дата]]),"Январь","Февраль","Март","Апрель","Май","Июнь","Июль","Август","Сентябрь","Октябрь","Ноябрь","Декабрь")&amp;" "&amp;YEAR(branches[[#This Row],[Дата]])</f>
        <v>Апрель 2025</v>
      </c>
      <c r="E2135" t="s">
        <v>14</v>
      </c>
      <c r="F2135" t="s">
        <v>12</v>
      </c>
      <c r="G2135">
        <v>3</v>
      </c>
      <c r="H2135">
        <v>765</v>
      </c>
      <c r="I2135" t="s">
        <v>19</v>
      </c>
      <c r="J2135" t="str">
        <f>_xlfn.XLOOKUP(branches[[#This Row],[Филиал]], tbl_Filialy[Филиал], tbl_Filialy[Менеджер])</f>
        <v>Ирина Соколова</v>
      </c>
    </row>
    <row r="2136" spans="1:10" x14ac:dyDescent="0.3">
      <c r="A2136" t="str">
        <f>_xlfn.XLOOKUP(branches[[#This Row],[Филиал]], tbl_Filialy[Филиал], tbl_Filialy[Город])</f>
        <v>Москва</v>
      </c>
      <c r="B2136" s="1" t="s">
        <v>36</v>
      </c>
      <c r="C2136" s="2">
        <v>45672</v>
      </c>
      <c r="D2136" s="2" t="str">
        <f>CHOOSE(MONTH(branches[[#This Row],[Дата]]),"Январь","Февраль","Март","Апрель","Май","Июнь","Июль","Август","Сентябрь","Октябрь","Ноябрь","Декабрь")&amp;" "&amp;YEAR(branches[[#This Row],[Дата]])</f>
        <v>Январь 2025</v>
      </c>
      <c r="E2136" t="s">
        <v>20</v>
      </c>
      <c r="F2136" t="s">
        <v>12</v>
      </c>
      <c r="G2136">
        <v>2</v>
      </c>
      <c r="H2136">
        <v>622</v>
      </c>
      <c r="I2136" t="s">
        <v>23</v>
      </c>
      <c r="J2136" t="str">
        <f>_xlfn.XLOOKUP(branches[[#This Row],[Филиал]], tbl_Filialy[Филиал], tbl_Filialy[Менеджер])</f>
        <v>Ирина Соколова</v>
      </c>
    </row>
    <row r="2137" spans="1:10" x14ac:dyDescent="0.3">
      <c r="A2137" t="str">
        <f>_xlfn.XLOOKUP(branches[[#This Row],[Филиал]], tbl_Filialy[Филиал], tbl_Filialy[Город])</f>
        <v>Москва</v>
      </c>
      <c r="B2137" s="1" t="s">
        <v>36</v>
      </c>
      <c r="C2137" s="2">
        <v>45916</v>
      </c>
      <c r="D2137" s="2" t="str">
        <f>CHOOSE(MONTH(branches[[#This Row],[Дата]]),"Январь","Февраль","Март","Апрель","Май","Июнь","Июль","Август","Сентябрь","Октябрь","Ноябрь","Декабрь")&amp;" "&amp;YEAR(branches[[#This Row],[Дата]])</f>
        <v>Сентябрь 2025</v>
      </c>
      <c r="E2137" t="s">
        <v>11</v>
      </c>
      <c r="F2137" t="s">
        <v>12</v>
      </c>
      <c r="G2137">
        <v>1</v>
      </c>
      <c r="H2137">
        <v>195</v>
      </c>
      <c r="I2137" t="s">
        <v>23</v>
      </c>
      <c r="J2137" t="str">
        <f>_xlfn.XLOOKUP(branches[[#This Row],[Филиал]], tbl_Filialy[Филиал], tbl_Filialy[Менеджер])</f>
        <v>Ирина Соколова</v>
      </c>
    </row>
    <row r="2138" spans="1:10" x14ac:dyDescent="0.3">
      <c r="A2138" t="str">
        <f>_xlfn.XLOOKUP(branches[[#This Row],[Филиал]], tbl_Filialy[Филиал], tbl_Filialy[Город])</f>
        <v>Москва</v>
      </c>
      <c r="B2138" s="1" t="s">
        <v>36</v>
      </c>
      <c r="C2138" s="2">
        <v>45793</v>
      </c>
      <c r="D2138" s="2" t="str">
        <f>CHOOSE(MONTH(branches[[#This Row],[Дата]]),"Январь","Февраль","Март","Апрель","Май","Июнь","Июль","Август","Сентябрь","Октябрь","Ноябрь","Декабрь")&amp;" "&amp;YEAR(branches[[#This Row],[Дата]])</f>
        <v>Май 2025</v>
      </c>
      <c r="E2138" t="s">
        <v>20</v>
      </c>
      <c r="F2138" t="s">
        <v>12</v>
      </c>
      <c r="G2138">
        <v>1</v>
      </c>
      <c r="H2138">
        <v>274</v>
      </c>
      <c r="I2138" t="s">
        <v>23</v>
      </c>
      <c r="J2138" t="str">
        <f>_xlfn.XLOOKUP(branches[[#This Row],[Филиал]], tbl_Filialy[Филиал], tbl_Filialy[Менеджер])</f>
        <v>Ирина Соколова</v>
      </c>
    </row>
    <row r="2139" spans="1:10" x14ac:dyDescent="0.3">
      <c r="A2139" t="str">
        <f>_xlfn.XLOOKUP(branches[[#This Row],[Филиал]], tbl_Filialy[Филиал], tbl_Filialy[Город])</f>
        <v>Москва</v>
      </c>
      <c r="B2139" s="1" t="s">
        <v>36</v>
      </c>
      <c r="C2139" s="2">
        <v>45723</v>
      </c>
      <c r="D2139" s="2" t="str">
        <f>CHOOSE(MONTH(branches[[#This Row],[Дата]]),"Январь","Февраль","Март","Апрель","Май","Июнь","Июль","Август","Сентябрь","Октябрь","Ноябрь","Декабрь")&amp;" "&amp;YEAR(branches[[#This Row],[Дата]])</f>
        <v>Март 2025</v>
      </c>
      <c r="E2139" t="s">
        <v>8</v>
      </c>
      <c r="F2139" t="s">
        <v>9</v>
      </c>
      <c r="G2139">
        <v>1</v>
      </c>
      <c r="H2139">
        <v>253</v>
      </c>
      <c r="I2139" t="s">
        <v>23</v>
      </c>
      <c r="J2139" t="str">
        <f>_xlfn.XLOOKUP(branches[[#This Row],[Филиал]], tbl_Filialy[Филиал], tbl_Filialy[Менеджер])</f>
        <v>Ирина Соколова</v>
      </c>
    </row>
    <row r="2140" spans="1:10" x14ac:dyDescent="0.3">
      <c r="A2140" t="str">
        <f>_xlfn.XLOOKUP(branches[[#This Row],[Филиал]], tbl_Filialy[Филиал], tbl_Filialy[Город])</f>
        <v>Москва</v>
      </c>
      <c r="B2140" s="1" t="s">
        <v>36</v>
      </c>
      <c r="C2140" s="2">
        <v>45805</v>
      </c>
      <c r="D2140" s="2" t="str">
        <f>CHOOSE(MONTH(branches[[#This Row],[Дата]]),"Январь","Февраль","Март","Апрель","Май","Июнь","Июль","Август","Сентябрь","Октябрь","Ноябрь","Декабрь")&amp;" "&amp;YEAR(branches[[#This Row],[Дата]])</f>
        <v>Май 2025</v>
      </c>
      <c r="E2140" t="s">
        <v>24</v>
      </c>
      <c r="F2140" t="s">
        <v>17</v>
      </c>
      <c r="G2140">
        <v>1</v>
      </c>
      <c r="H2140">
        <v>387</v>
      </c>
      <c r="I2140" t="s">
        <v>13</v>
      </c>
      <c r="J2140" t="str">
        <f>_xlfn.XLOOKUP(branches[[#This Row],[Филиал]], tbl_Filialy[Филиал], tbl_Filialy[Менеджер])</f>
        <v>Ирина Соколова</v>
      </c>
    </row>
    <row r="2141" spans="1:10" x14ac:dyDescent="0.3">
      <c r="A2141" t="str">
        <f>_xlfn.XLOOKUP(branches[[#This Row],[Филиал]], tbl_Filialy[Филиал], tbl_Filialy[Город])</f>
        <v>Москва</v>
      </c>
      <c r="B2141" s="1" t="s">
        <v>36</v>
      </c>
      <c r="C2141" s="2">
        <v>45726</v>
      </c>
      <c r="D2141" s="2" t="str">
        <f>CHOOSE(MONTH(branches[[#This Row],[Дата]]),"Январь","Февраль","Март","Апрель","Май","Июнь","Июль","Август","Сентябрь","Октябрь","Ноябрь","Декабрь")&amp;" "&amp;YEAR(branches[[#This Row],[Дата]])</f>
        <v>Март 2025</v>
      </c>
      <c r="E2141" t="s">
        <v>28</v>
      </c>
      <c r="F2141" t="s">
        <v>12</v>
      </c>
      <c r="G2141">
        <v>3</v>
      </c>
      <c r="H2141">
        <v>747</v>
      </c>
      <c r="I2141" t="s">
        <v>13</v>
      </c>
      <c r="J2141" t="str">
        <f>_xlfn.XLOOKUP(branches[[#This Row],[Филиал]], tbl_Filialy[Филиал], tbl_Filialy[Менеджер])</f>
        <v>Ирина Соколова</v>
      </c>
    </row>
    <row r="2142" spans="1:10" x14ac:dyDescent="0.3">
      <c r="A2142" t="str">
        <f>_xlfn.XLOOKUP(branches[[#This Row],[Филиал]], tbl_Filialy[Филиал], tbl_Filialy[Город])</f>
        <v>Москва</v>
      </c>
      <c r="B2142" s="1" t="s">
        <v>36</v>
      </c>
      <c r="C2142" s="2">
        <v>45949</v>
      </c>
      <c r="D2142" s="2" t="str">
        <f>CHOOSE(MONTH(branches[[#This Row],[Дата]]),"Январь","Февраль","Март","Апрель","Май","Июнь","Июль","Август","Сентябрь","Октябрь","Ноябрь","Декабрь")&amp;" "&amp;YEAR(branches[[#This Row],[Дата]])</f>
        <v>Октябрь 2025</v>
      </c>
      <c r="E2142" t="s">
        <v>18</v>
      </c>
      <c r="F2142" t="s">
        <v>12</v>
      </c>
      <c r="G2142">
        <v>3</v>
      </c>
      <c r="H2142">
        <v>369</v>
      </c>
      <c r="I2142" t="s">
        <v>15</v>
      </c>
      <c r="J2142" t="str">
        <f>_xlfn.XLOOKUP(branches[[#This Row],[Филиал]], tbl_Filialy[Филиал], tbl_Filialy[Менеджер])</f>
        <v>Ирина Соколова</v>
      </c>
    </row>
    <row r="2143" spans="1:10" x14ac:dyDescent="0.3">
      <c r="A2143" t="str">
        <f>_xlfn.XLOOKUP(branches[[#This Row],[Филиал]], tbl_Filialy[Филиал], tbl_Filialy[Город])</f>
        <v>Москва</v>
      </c>
      <c r="B2143" s="1" t="s">
        <v>36</v>
      </c>
      <c r="C2143" s="2">
        <v>45773</v>
      </c>
      <c r="D2143" s="2" t="str">
        <f>CHOOSE(MONTH(branches[[#This Row],[Дата]]),"Январь","Февраль","Март","Апрель","Май","Июнь","Июль","Август","Сентябрь","Октябрь","Ноябрь","Декабрь")&amp;" "&amp;YEAR(branches[[#This Row],[Дата]])</f>
        <v>Апрель 2025</v>
      </c>
      <c r="E2143" t="s">
        <v>25</v>
      </c>
      <c r="F2143" t="s">
        <v>12</v>
      </c>
      <c r="G2143">
        <v>2</v>
      </c>
      <c r="H2143">
        <v>466</v>
      </c>
      <c r="I2143" t="s">
        <v>19</v>
      </c>
      <c r="J2143" t="str">
        <f>_xlfn.XLOOKUP(branches[[#This Row],[Филиал]], tbl_Filialy[Филиал], tbl_Filialy[Менеджер])</f>
        <v>Ирина Соколова</v>
      </c>
    </row>
    <row r="2144" spans="1:10" x14ac:dyDescent="0.3">
      <c r="A2144" t="str">
        <f>_xlfn.XLOOKUP(branches[[#This Row],[Филиал]], tbl_Filialy[Филиал], tbl_Filialy[Город])</f>
        <v>Москва</v>
      </c>
      <c r="B2144" s="1" t="s">
        <v>36</v>
      </c>
      <c r="C2144" s="2">
        <v>45697</v>
      </c>
      <c r="D2144" s="2" t="str">
        <f>CHOOSE(MONTH(branches[[#This Row],[Дата]]),"Январь","Февраль","Март","Апрель","Май","Июнь","Июль","Август","Сентябрь","Октябрь","Ноябрь","Декабрь")&amp;" "&amp;YEAR(branches[[#This Row],[Дата]])</f>
        <v>Февраль 2025</v>
      </c>
      <c r="E2144" t="s">
        <v>24</v>
      </c>
      <c r="F2144" t="s">
        <v>17</v>
      </c>
      <c r="G2144">
        <v>1</v>
      </c>
      <c r="H2144">
        <v>365</v>
      </c>
      <c r="I2144" t="s">
        <v>15</v>
      </c>
      <c r="J2144" t="str">
        <f>_xlfn.XLOOKUP(branches[[#This Row],[Филиал]], tbl_Filialy[Филиал], tbl_Filialy[Менеджер])</f>
        <v>Ирина Соколова</v>
      </c>
    </row>
    <row r="2145" spans="1:10" x14ac:dyDescent="0.3">
      <c r="A2145" t="str">
        <f>_xlfn.XLOOKUP(branches[[#This Row],[Филиал]], tbl_Filialy[Филиал], tbl_Filialy[Город])</f>
        <v>Москва</v>
      </c>
      <c r="B2145" s="1" t="s">
        <v>36</v>
      </c>
      <c r="C2145" s="2">
        <v>45731</v>
      </c>
      <c r="D2145" s="2" t="str">
        <f>CHOOSE(MONTH(branches[[#This Row],[Дата]]),"Январь","Февраль","Март","Апрель","Май","Июнь","Июль","Август","Сентябрь","Октябрь","Ноябрь","Декабрь")&amp;" "&amp;YEAR(branches[[#This Row],[Дата]])</f>
        <v>Март 2025</v>
      </c>
      <c r="E2145" t="s">
        <v>28</v>
      </c>
      <c r="F2145" t="s">
        <v>12</v>
      </c>
      <c r="G2145">
        <v>1</v>
      </c>
      <c r="H2145">
        <v>256</v>
      </c>
      <c r="I2145" t="s">
        <v>21</v>
      </c>
      <c r="J2145" t="str">
        <f>_xlfn.XLOOKUP(branches[[#This Row],[Филиал]], tbl_Filialy[Филиал], tbl_Filialy[Менеджер])</f>
        <v>Ирина Соколова</v>
      </c>
    </row>
    <row r="2146" spans="1:10" x14ac:dyDescent="0.3">
      <c r="A2146" t="str">
        <f>_xlfn.XLOOKUP(branches[[#This Row],[Филиал]], tbl_Filialy[Филиал], tbl_Filialy[Город])</f>
        <v>Москва</v>
      </c>
      <c r="B2146" s="1" t="s">
        <v>36</v>
      </c>
      <c r="C2146" s="2">
        <v>46015</v>
      </c>
      <c r="D2146" s="2" t="str">
        <f>CHOOSE(MONTH(branches[[#This Row],[Дата]]),"Январь","Февраль","Март","Апрель","Май","Июнь","Июль","Август","Сентябрь","Октябрь","Ноябрь","Декабрь")&amp;" "&amp;YEAR(branches[[#This Row],[Дата]])</f>
        <v>Декабрь 2025</v>
      </c>
      <c r="E2146" t="s">
        <v>14</v>
      </c>
      <c r="F2146" t="s">
        <v>12</v>
      </c>
      <c r="G2146">
        <v>2</v>
      </c>
      <c r="H2146">
        <v>546</v>
      </c>
      <c r="I2146" t="s">
        <v>19</v>
      </c>
      <c r="J2146" t="str">
        <f>_xlfn.XLOOKUP(branches[[#This Row],[Филиал]], tbl_Filialy[Филиал], tbl_Filialy[Менеджер])</f>
        <v>Ирина Соколова</v>
      </c>
    </row>
    <row r="2147" spans="1:10" x14ac:dyDescent="0.3">
      <c r="A2147" t="str">
        <f>_xlfn.XLOOKUP(branches[[#This Row],[Филиал]], tbl_Filialy[Филиал], tbl_Filialy[Город])</f>
        <v>Москва</v>
      </c>
      <c r="B2147" s="1" t="s">
        <v>36</v>
      </c>
      <c r="C2147" s="2">
        <v>45993</v>
      </c>
      <c r="D2147" s="2" t="str">
        <f>CHOOSE(MONTH(branches[[#This Row],[Дата]]),"Январь","Февраль","Март","Апрель","Май","Июнь","Июль","Август","Сентябрь","Октябрь","Ноябрь","Декабрь")&amp;" "&amp;YEAR(branches[[#This Row],[Дата]])</f>
        <v>Декабрь 2025</v>
      </c>
      <c r="E2147" t="s">
        <v>8</v>
      </c>
      <c r="F2147" t="s">
        <v>9</v>
      </c>
      <c r="G2147">
        <v>2</v>
      </c>
      <c r="H2147">
        <v>524</v>
      </c>
      <c r="I2147" t="s">
        <v>21</v>
      </c>
      <c r="J2147" t="str">
        <f>_xlfn.XLOOKUP(branches[[#This Row],[Филиал]], tbl_Filialy[Филиал], tbl_Filialy[Менеджер])</f>
        <v>Ирина Соколова</v>
      </c>
    </row>
    <row r="2148" spans="1:10" x14ac:dyDescent="0.3">
      <c r="A2148" t="str">
        <f>_xlfn.XLOOKUP(branches[[#This Row],[Филиал]], tbl_Filialy[Филиал], tbl_Filialy[Город])</f>
        <v>Москва</v>
      </c>
      <c r="B2148" s="1" t="s">
        <v>36</v>
      </c>
      <c r="C2148" s="2">
        <v>45839</v>
      </c>
      <c r="D2148" s="2" t="str">
        <f>CHOOSE(MONTH(branches[[#This Row],[Дата]]),"Январь","Февраль","Март","Апрель","Май","Июнь","Июль","Август","Сентябрь","Октябрь","Ноябрь","Декабрь")&amp;" "&amp;YEAR(branches[[#This Row],[Дата]])</f>
        <v>Июль 2025</v>
      </c>
      <c r="E2148" t="s">
        <v>14</v>
      </c>
      <c r="F2148" t="s">
        <v>12</v>
      </c>
      <c r="G2148">
        <v>1</v>
      </c>
      <c r="H2148">
        <v>255</v>
      </c>
      <c r="I2148" t="s">
        <v>10</v>
      </c>
      <c r="J2148" t="str">
        <f>_xlfn.XLOOKUP(branches[[#This Row],[Филиал]], tbl_Filialy[Филиал], tbl_Filialy[Менеджер])</f>
        <v>Ирина Соколова</v>
      </c>
    </row>
    <row r="2149" spans="1:10" x14ac:dyDescent="0.3">
      <c r="A2149" t="str">
        <f>_xlfn.XLOOKUP(branches[[#This Row],[Филиал]], tbl_Filialy[Филиал], tbl_Filialy[Город])</f>
        <v>Москва</v>
      </c>
      <c r="B2149" s="1" t="s">
        <v>36</v>
      </c>
      <c r="C2149" s="2">
        <v>45834</v>
      </c>
      <c r="D2149" s="2" t="str">
        <f>CHOOSE(MONTH(branches[[#This Row],[Дата]]),"Январь","Февраль","Март","Апрель","Май","Июнь","Июль","Август","Сентябрь","Октябрь","Ноябрь","Декабрь")&amp;" "&amp;YEAR(branches[[#This Row],[Дата]])</f>
        <v>Июнь 2025</v>
      </c>
      <c r="E2149" t="s">
        <v>26</v>
      </c>
      <c r="F2149" t="s">
        <v>9</v>
      </c>
      <c r="G2149">
        <v>2</v>
      </c>
      <c r="H2149">
        <v>382</v>
      </c>
      <c r="I2149" t="s">
        <v>13</v>
      </c>
      <c r="J2149" t="str">
        <f>_xlfn.XLOOKUP(branches[[#This Row],[Филиал]], tbl_Filialy[Филиал], tbl_Filialy[Менеджер])</f>
        <v>Ирина Соколова</v>
      </c>
    </row>
    <row r="2150" spans="1:10" x14ac:dyDescent="0.3">
      <c r="A2150" t="str">
        <f>_xlfn.XLOOKUP(branches[[#This Row],[Филиал]], tbl_Filialy[Филиал], tbl_Filialy[Город])</f>
        <v>Москва</v>
      </c>
      <c r="B2150" s="1" t="s">
        <v>36</v>
      </c>
      <c r="C2150" s="2">
        <v>45718</v>
      </c>
      <c r="D2150" s="2" t="str">
        <f>CHOOSE(MONTH(branches[[#This Row],[Дата]]),"Январь","Февраль","Март","Апрель","Май","Июнь","Июль","Август","Сентябрь","Октябрь","Ноябрь","Декабрь")&amp;" "&amp;YEAR(branches[[#This Row],[Дата]])</f>
        <v>Март 2025</v>
      </c>
      <c r="E2150" t="s">
        <v>28</v>
      </c>
      <c r="F2150" t="s">
        <v>12</v>
      </c>
      <c r="G2150">
        <v>2</v>
      </c>
      <c r="H2150">
        <v>500</v>
      </c>
      <c r="I2150" t="s">
        <v>10</v>
      </c>
      <c r="J2150" t="str">
        <f>_xlfn.XLOOKUP(branches[[#This Row],[Филиал]], tbl_Filialy[Филиал], tbl_Filialy[Менеджер])</f>
        <v>Ирина Соколова</v>
      </c>
    </row>
    <row r="2151" spans="1:10" x14ac:dyDescent="0.3">
      <c r="A2151" t="str">
        <f>_xlfn.XLOOKUP(branches[[#This Row],[Филиал]], tbl_Filialy[Филиал], tbl_Filialy[Город])</f>
        <v>Москва</v>
      </c>
      <c r="B2151" s="1" t="s">
        <v>36</v>
      </c>
      <c r="C2151" s="2">
        <v>46006</v>
      </c>
      <c r="D2151" s="2" t="str">
        <f>CHOOSE(MONTH(branches[[#This Row],[Дата]]),"Январь","Февраль","Март","Апрель","Май","Июнь","Июль","Август","Сентябрь","Октябрь","Ноябрь","Декабрь")&amp;" "&amp;YEAR(branches[[#This Row],[Дата]])</f>
        <v>Декабрь 2025</v>
      </c>
      <c r="E2151" t="s">
        <v>20</v>
      </c>
      <c r="F2151" t="s">
        <v>12</v>
      </c>
      <c r="G2151">
        <v>3</v>
      </c>
      <c r="H2151">
        <v>765</v>
      </c>
      <c r="I2151" t="s">
        <v>10</v>
      </c>
      <c r="J2151" t="str">
        <f>_xlfn.XLOOKUP(branches[[#This Row],[Филиал]], tbl_Filialy[Филиал], tbl_Filialy[Менеджер])</f>
        <v>Ирина Соколова</v>
      </c>
    </row>
    <row r="2152" spans="1:10" x14ac:dyDescent="0.3">
      <c r="A2152" t="str">
        <f>_xlfn.XLOOKUP(branches[[#This Row],[Филиал]], tbl_Filialy[Филиал], tbl_Filialy[Город])</f>
        <v>Москва</v>
      </c>
      <c r="B2152" s="1" t="s">
        <v>36</v>
      </c>
      <c r="C2152" s="2">
        <v>46019</v>
      </c>
      <c r="D2152" s="2" t="str">
        <f>CHOOSE(MONTH(branches[[#This Row],[Дата]]),"Январь","Февраль","Март","Апрель","Май","Июнь","Июль","Август","Сентябрь","Октябрь","Ноябрь","Декабрь")&amp;" "&amp;YEAR(branches[[#This Row],[Дата]])</f>
        <v>Декабрь 2025</v>
      </c>
      <c r="E2152" t="s">
        <v>27</v>
      </c>
      <c r="F2152" t="s">
        <v>12</v>
      </c>
      <c r="G2152">
        <v>1</v>
      </c>
      <c r="H2152">
        <v>193</v>
      </c>
      <c r="I2152" t="s">
        <v>13</v>
      </c>
      <c r="J2152" t="str">
        <f>_xlfn.XLOOKUP(branches[[#This Row],[Филиал]], tbl_Filialy[Филиал], tbl_Filialy[Менеджер])</f>
        <v>Ирина Соколова</v>
      </c>
    </row>
    <row r="2153" spans="1:10" x14ac:dyDescent="0.3">
      <c r="A2153" t="str">
        <f>_xlfn.XLOOKUP(branches[[#This Row],[Филиал]], tbl_Filialy[Филиал], tbl_Filialy[Город])</f>
        <v>Москва</v>
      </c>
      <c r="B2153" s="1" t="s">
        <v>36</v>
      </c>
      <c r="C2153" s="2">
        <v>45767</v>
      </c>
      <c r="D2153" s="2" t="str">
        <f>CHOOSE(MONTH(branches[[#This Row],[Дата]]),"Январь","Февраль","Март","Апрель","Май","Июнь","Июль","Август","Сентябрь","Октябрь","Ноябрь","Декабрь")&amp;" "&amp;YEAR(branches[[#This Row],[Дата]])</f>
        <v>Апрель 2025</v>
      </c>
      <c r="E2153" t="s">
        <v>25</v>
      </c>
      <c r="F2153" t="s">
        <v>12</v>
      </c>
      <c r="G2153">
        <v>1</v>
      </c>
      <c r="H2153">
        <v>231</v>
      </c>
      <c r="I2153" t="s">
        <v>23</v>
      </c>
      <c r="J2153" t="str">
        <f>_xlfn.XLOOKUP(branches[[#This Row],[Филиал]], tbl_Filialy[Филиал], tbl_Filialy[Менеджер])</f>
        <v>Ирина Соколова</v>
      </c>
    </row>
    <row r="2154" spans="1:10" x14ac:dyDescent="0.3">
      <c r="A2154" t="str">
        <f>_xlfn.XLOOKUP(branches[[#This Row],[Филиал]], tbl_Filialy[Филиал], tbl_Filialy[Город])</f>
        <v>Москва</v>
      </c>
      <c r="B2154" s="1" t="s">
        <v>36</v>
      </c>
      <c r="C2154" s="2">
        <v>45797</v>
      </c>
      <c r="D2154" s="2" t="str">
        <f>CHOOSE(MONTH(branches[[#This Row],[Дата]]),"Январь","Февраль","Март","Апрель","Май","Июнь","Июль","Август","Сентябрь","Октябрь","Ноябрь","Декабрь")&amp;" "&amp;YEAR(branches[[#This Row],[Дата]])</f>
        <v>Май 2025</v>
      </c>
      <c r="E2154" t="s">
        <v>8</v>
      </c>
      <c r="F2154" t="s">
        <v>9</v>
      </c>
      <c r="G2154">
        <v>1</v>
      </c>
      <c r="H2154">
        <v>278</v>
      </c>
      <c r="I2154" t="s">
        <v>21</v>
      </c>
      <c r="J2154" t="str">
        <f>_xlfn.XLOOKUP(branches[[#This Row],[Филиал]], tbl_Filialy[Филиал], tbl_Filialy[Менеджер])</f>
        <v>Ирина Соколова</v>
      </c>
    </row>
    <row r="2155" spans="1:10" x14ac:dyDescent="0.3">
      <c r="A2155" t="str">
        <f>_xlfn.XLOOKUP(branches[[#This Row],[Филиал]], tbl_Filialy[Филиал], tbl_Filialy[Город])</f>
        <v>Москва</v>
      </c>
      <c r="B2155" s="1" t="s">
        <v>36</v>
      </c>
      <c r="C2155" s="2">
        <v>45698</v>
      </c>
      <c r="D2155" s="2" t="str">
        <f>CHOOSE(MONTH(branches[[#This Row],[Дата]]),"Январь","Февраль","Март","Апрель","Май","Июнь","Июль","Август","Сентябрь","Октябрь","Ноябрь","Декабрь")&amp;" "&amp;YEAR(branches[[#This Row],[Дата]])</f>
        <v>Февраль 2025</v>
      </c>
      <c r="E2155" t="s">
        <v>18</v>
      </c>
      <c r="F2155" t="s">
        <v>12</v>
      </c>
      <c r="G2155">
        <v>2</v>
      </c>
      <c r="H2155">
        <v>284</v>
      </c>
      <c r="I2155" t="s">
        <v>21</v>
      </c>
      <c r="J2155" t="str">
        <f>_xlfn.XLOOKUP(branches[[#This Row],[Филиал]], tbl_Filialy[Филиал], tbl_Filialy[Менеджер])</f>
        <v>Ирина Соколова</v>
      </c>
    </row>
    <row r="2156" spans="1:10" x14ac:dyDescent="0.3">
      <c r="A2156" t="str">
        <f>_xlfn.XLOOKUP(branches[[#This Row],[Филиал]], tbl_Filialy[Филиал], tbl_Filialy[Город])</f>
        <v>Москва</v>
      </c>
      <c r="B2156" s="1" t="s">
        <v>36</v>
      </c>
      <c r="C2156" s="2">
        <v>45918</v>
      </c>
      <c r="D2156" s="2" t="str">
        <f>CHOOSE(MONTH(branches[[#This Row],[Дата]]),"Январь","Февраль","Март","Апрель","Май","Июнь","Июль","Август","Сентябрь","Октябрь","Ноябрь","Декабрь")&amp;" "&amp;YEAR(branches[[#This Row],[Дата]])</f>
        <v>Сентябрь 2025</v>
      </c>
      <c r="E2156" t="s">
        <v>16</v>
      </c>
      <c r="F2156" t="s">
        <v>17</v>
      </c>
      <c r="G2156">
        <v>1</v>
      </c>
      <c r="H2156">
        <v>288</v>
      </c>
      <c r="I2156" t="s">
        <v>19</v>
      </c>
      <c r="J2156" t="str">
        <f>_xlfn.XLOOKUP(branches[[#This Row],[Филиал]], tbl_Filialy[Филиал], tbl_Filialy[Менеджер])</f>
        <v>Ирина Соколова</v>
      </c>
    </row>
    <row r="2157" spans="1:10" x14ac:dyDescent="0.3">
      <c r="A2157" t="str">
        <f>_xlfn.XLOOKUP(branches[[#This Row],[Филиал]], tbl_Filialy[Филиал], tbl_Filialy[Город])</f>
        <v>Москва</v>
      </c>
      <c r="B2157" s="1" t="s">
        <v>36</v>
      </c>
      <c r="C2157" s="2">
        <v>45943</v>
      </c>
      <c r="D2157" s="2" t="str">
        <f>CHOOSE(MONTH(branches[[#This Row],[Дата]]),"Январь","Февраль","Март","Апрель","Май","Июнь","Июль","Август","Сентябрь","Октябрь","Ноябрь","Декабрь")&amp;" "&amp;YEAR(branches[[#This Row],[Дата]])</f>
        <v>Октябрь 2025</v>
      </c>
      <c r="E2157" t="s">
        <v>27</v>
      </c>
      <c r="F2157" t="s">
        <v>12</v>
      </c>
      <c r="G2157">
        <v>1</v>
      </c>
      <c r="H2157">
        <v>240</v>
      </c>
      <c r="I2157" t="s">
        <v>19</v>
      </c>
      <c r="J2157" t="str">
        <f>_xlfn.XLOOKUP(branches[[#This Row],[Филиал]], tbl_Filialy[Филиал], tbl_Filialy[Менеджер])</f>
        <v>Ирина Соколова</v>
      </c>
    </row>
    <row r="2158" spans="1:10" x14ac:dyDescent="0.3">
      <c r="A2158" t="str">
        <f>_xlfn.XLOOKUP(branches[[#This Row],[Филиал]], tbl_Filialy[Филиал], tbl_Filialy[Город])</f>
        <v>Москва</v>
      </c>
      <c r="B2158" s="1" t="s">
        <v>36</v>
      </c>
      <c r="C2158" s="2">
        <v>45855</v>
      </c>
      <c r="D2158" s="2" t="str">
        <f>CHOOSE(MONTH(branches[[#This Row],[Дата]]),"Январь","Февраль","Март","Апрель","Май","Июнь","Июль","Август","Сентябрь","Октябрь","Ноябрь","Декабрь")&amp;" "&amp;YEAR(branches[[#This Row],[Дата]])</f>
        <v>Июль 2025</v>
      </c>
      <c r="E2158" t="s">
        <v>14</v>
      </c>
      <c r="F2158" t="s">
        <v>12</v>
      </c>
      <c r="G2158">
        <v>1</v>
      </c>
      <c r="H2158">
        <v>278</v>
      </c>
      <c r="I2158" t="s">
        <v>23</v>
      </c>
      <c r="J2158" t="str">
        <f>_xlfn.XLOOKUP(branches[[#This Row],[Филиал]], tbl_Filialy[Филиал], tbl_Filialy[Менеджер])</f>
        <v>Ирина Соколова</v>
      </c>
    </row>
    <row r="2159" spans="1:10" x14ac:dyDescent="0.3">
      <c r="A2159" t="str">
        <f>_xlfn.XLOOKUP(branches[[#This Row],[Филиал]], tbl_Filialy[Филиал], tbl_Filialy[Город])</f>
        <v>Москва</v>
      </c>
      <c r="B2159" s="1" t="s">
        <v>36</v>
      </c>
      <c r="C2159" s="2">
        <v>45666</v>
      </c>
      <c r="D2159" s="2" t="str">
        <f>CHOOSE(MONTH(branches[[#This Row],[Дата]]),"Январь","Февраль","Март","Апрель","Май","Июнь","Июль","Август","Сентябрь","Октябрь","Ноябрь","Декабрь")&amp;" "&amp;YEAR(branches[[#This Row],[Дата]])</f>
        <v>Январь 2025</v>
      </c>
      <c r="E2159" t="s">
        <v>18</v>
      </c>
      <c r="F2159" t="s">
        <v>12</v>
      </c>
      <c r="G2159">
        <v>1</v>
      </c>
      <c r="H2159">
        <v>144</v>
      </c>
      <c r="I2159" t="s">
        <v>15</v>
      </c>
      <c r="J2159" t="str">
        <f>_xlfn.XLOOKUP(branches[[#This Row],[Филиал]], tbl_Filialy[Филиал], tbl_Filialy[Менеджер])</f>
        <v>Ирина Соколова</v>
      </c>
    </row>
    <row r="2160" spans="1:10" x14ac:dyDescent="0.3">
      <c r="A2160" t="str">
        <f>_xlfn.XLOOKUP(branches[[#This Row],[Филиал]], tbl_Filialy[Филиал], tbl_Filialy[Город])</f>
        <v>Москва</v>
      </c>
      <c r="B2160" s="1" t="s">
        <v>36</v>
      </c>
      <c r="C2160" s="2">
        <v>45910</v>
      </c>
      <c r="D2160" s="2" t="str">
        <f>CHOOSE(MONTH(branches[[#This Row],[Дата]]),"Январь","Февраль","Март","Апрель","Май","Июнь","Июль","Август","Сентябрь","Октябрь","Ноябрь","Декабрь")&amp;" "&amp;YEAR(branches[[#This Row],[Дата]])</f>
        <v>Сентябрь 2025</v>
      </c>
      <c r="E2160" t="s">
        <v>22</v>
      </c>
      <c r="F2160" t="s">
        <v>9</v>
      </c>
      <c r="G2160">
        <v>1</v>
      </c>
      <c r="H2160">
        <v>199</v>
      </c>
      <c r="I2160" t="s">
        <v>13</v>
      </c>
      <c r="J2160" t="str">
        <f>_xlfn.XLOOKUP(branches[[#This Row],[Филиал]], tbl_Filialy[Филиал], tbl_Filialy[Менеджер])</f>
        <v>Ирина Соколова</v>
      </c>
    </row>
    <row r="2161" spans="1:10" x14ac:dyDescent="0.3">
      <c r="A2161" t="str">
        <f>_xlfn.XLOOKUP(branches[[#This Row],[Филиал]], tbl_Filialy[Филиал], tbl_Filialy[Город])</f>
        <v>Москва</v>
      </c>
      <c r="B2161" s="1" t="s">
        <v>36</v>
      </c>
      <c r="C2161" s="2">
        <v>45893</v>
      </c>
      <c r="D2161" s="2" t="str">
        <f>CHOOSE(MONTH(branches[[#This Row],[Дата]]),"Январь","Февраль","Март","Апрель","Май","Июнь","Июль","Август","Сентябрь","Октябрь","Ноябрь","Декабрь")&amp;" "&amp;YEAR(branches[[#This Row],[Дата]])</f>
        <v>Август 2025</v>
      </c>
      <c r="E2161" t="s">
        <v>25</v>
      </c>
      <c r="F2161" t="s">
        <v>12</v>
      </c>
      <c r="G2161">
        <v>1</v>
      </c>
      <c r="H2161">
        <v>211</v>
      </c>
      <c r="I2161" t="s">
        <v>13</v>
      </c>
      <c r="J2161" t="str">
        <f>_xlfn.XLOOKUP(branches[[#This Row],[Филиал]], tbl_Filialy[Филиал], tbl_Filialy[Менеджер])</f>
        <v>Ирина Соколова</v>
      </c>
    </row>
    <row r="2162" spans="1:10" x14ac:dyDescent="0.3">
      <c r="A2162" t="str">
        <f>_xlfn.XLOOKUP(branches[[#This Row],[Филиал]], tbl_Filialy[Филиал], tbl_Filialy[Город])</f>
        <v>Москва</v>
      </c>
      <c r="B2162" s="1" t="s">
        <v>36</v>
      </c>
      <c r="C2162" s="2">
        <v>45691</v>
      </c>
      <c r="D2162" s="2" t="str">
        <f>CHOOSE(MONTH(branches[[#This Row],[Дата]]),"Январь","Февраль","Март","Апрель","Май","Июнь","Июль","Август","Сентябрь","Октябрь","Ноябрь","Декабрь")&amp;" "&amp;YEAR(branches[[#This Row],[Дата]])</f>
        <v>Февраль 2025</v>
      </c>
      <c r="E2162" t="s">
        <v>18</v>
      </c>
      <c r="F2162" t="s">
        <v>12</v>
      </c>
      <c r="G2162">
        <v>1</v>
      </c>
      <c r="H2162">
        <v>147</v>
      </c>
      <c r="I2162" t="s">
        <v>13</v>
      </c>
      <c r="J2162" t="str">
        <f>_xlfn.XLOOKUP(branches[[#This Row],[Филиал]], tbl_Filialy[Филиал], tbl_Filialy[Менеджер])</f>
        <v>Ирина Соколова</v>
      </c>
    </row>
    <row r="2163" spans="1:10" x14ac:dyDescent="0.3">
      <c r="A2163" t="str">
        <f>_xlfn.XLOOKUP(branches[[#This Row],[Филиал]], tbl_Filialy[Филиал], tbl_Filialy[Город])</f>
        <v>Москва</v>
      </c>
      <c r="B2163" s="1" t="s">
        <v>36</v>
      </c>
      <c r="C2163" s="2">
        <v>45921</v>
      </c>
      <c r="D2163" s="2" t="str">
        <f>CHOOSE(MONTH(branches[[#This Row],[Дата]]),"Январь","Февраль","Март","Апрель","Май","Июнь","Июль","Август","Сентябрь","Октябрь","Ноябрь","Декабрь")&amp;" "&amp;YEAR(branches[[#This Row],[Дата]])</f>
        <v>Сентябрь 2025</v>
      </c>
      <c r="E2163" t="s">
        <v>26</v>
      </c>
      <c r="F2163" t="s">
        <v>9</v>
      </c>
      <c r="G2163">
        <v>2</v>
      </c>
      <c r="H2163">
        <v>372</v>
      </c>
      <c r="I2163" t="s">
        <v>19</v>
      </c>
      <c r="J2163" t="str">
        <f>_xlfn.XLOOKUP(branches[[#This Row],[Филиал]], tbl_Filialy[Филиал], tbl_Filialy[Менеджер])</f>
        <v>Ирина Соколова</v>
      </c>
    </row>
    <row r="2164" spans="1:10" x14ac:dyDescent="0.3">
      <c r="A2164" t="str">
        <f>_xlfn.XLOOKUP(branches[[#This Row],[Филиал]], tbl_Filialy[Филиал], tbl_Filialy[Город])</f>
        <v>Москва</v>
      </c>
      <c r="B2164" s="1" t="s">
        <v>36</v>
      </c>
      <c r="C2164" s="2">
        <v>45714</v>
      </c>
      <c r="D2164" s="2" t="str">
        <f>CHOOSE(MONTH(branches[[#This Row],[Дата]]),"Январь","Февраль","Март","Апрель","Май","Июнь","Июль","Август","Сентябрь","Октябрь","Ноябрь","Декабрь")&amp;" "&amp;YEAR(branches[[#This Row],[Дата]])</f>
        <v>Февраль 2025</v>
      </c>
      <c r="E2164" t="s">
        <v>25</v>
      </c>
      <c r="F2164" t="s">
        <v>12</v>
      </c>
      <c r="G2164">
        <v>1</v>
      </c>
      <c r="H2164">
        <v>241</v>
      </c>
      <c r="I2164" t="s">
        <v>10</v>
      </c>
      <c r="J2164" t="str">
        <f>_xlfn.XLOOKUP(branches[[#This Row],[Филиал]], tbl_Filialy[Филиал], tbl_Filialy[Менеджер])</f>
        <v>Ирина Соколова</v>
      </c>
    </row>
    <row r="2165" spans="1:10" x14ac:dyDescent="0.3">
      <c r="A2165" t="str">
        <f>_xlfn.XLOOKUP(branches[[#This Row],[Филиал]], tbl_Filialy[Филиал], tbl_Filialy[Город])</f>
        <v>Москва</v>
      </c>
      <c r="B2165" s="1" t="s">
        <v>36</v>
      </c>
      <c r="C2165" s="2">
        <v>45685</v>
      </c>
      <c r="D2165" s="2" t="str">
        <f>CHOOSE(MONTH(branches[[#This Row],[Дата]]),"Январь","Февраль","Март","Апрель","Май","Июнь","Июль","Август","Сентябрь","Октябрь","Ноябрь","Декабрь")&amp;" "&amp;YEAR(branches[[#This Row],[Дата]])</f>
        <v>Январь 2025</v>
      </c>
      <c r="E2165" t="s">
        <v>8</v>
      </c>
      <c r="F2165" t="s">
        <v>9</v>
      </c>
      <c r="G2165">
        <v>1</v>
      </c>
      <c r="H2165">
        <v>255</v>
      </c>
      <c r="I2165" t="s">
        <v>23</v>
      </c>
      <c r="J2165" t="str">
        <f>_xlfn.XLOOKUP(branches[[#This Row],[Филиал]], tbl_Filialy[Филиал], tbl_Filialy[Менеджер])</f>
        <v>Ирина Соколова</v>
      </c>
    </row>
    <row r="2166" spans="1:10" x14ac:dyDescent="0.3">
      <c r="A2166" t="str">
        <f>_xlfn.XLOOKUP(branches[[#This Row],[Филиал]], tbl_Filialy[Филиал], tbl_Filialy[Город])</f>
        <v>Москва</v>
      </c>
      <c r="B2166" s="1" t="s">
        <v>36</v>
      </c>
      <c r="C2166" s="2">
        <v>45715</v>
      </c>
      <c r="D2166" s="2" t="str">
        <f>CHOOSE(MONTH(branches[[#This Row],[Дата]]),"Январь","Февраль","Март","Апрель","Май","Июнь","Июль","Август","Сентябрь","Октябрь","Ноябрь","Декабрь")&amp;" "&amp;YEAR(branches[[#This Row],[Дата]])</f>
        <v>Февраль 2025</v>
      </c>
      <c r="E2166" t="s">
        <v>26</v>
      </c>
      <c r="F2166" t="s">
        <v>9</v>
      </c>
      <c r="G2166">
        <v>1</v>
      </c>
      <c r="H2166">
        <v>190</v>
      </c>
      <c r="I2166" t="s">
        <v>21</v>
      </c>
      <c r="J2166" t="str">
        <f>_xlfn.XLOOKUP(branches[[#This Row],[Филиал]], tbl_Filialy[Филиал], tbl_Filialy[Менеджер])</f>
        <v>Ирина Соколова</v>
      </c>
    </row>
    <row r="2167" spans="1:10" x14ac:dyDescent="0.3">
      <c r="A2167" t="str">
        <f>_xlfn.XLOOKUP(branches[[#This Row],[Филиал]], tbl_Filialy[Филиал], tbl_Filialy[Город])</f>
        <v>Москва</v>
      </c>
      <c r="B2167" s="1" t="s">
        <v>36</v>
      </c>
      <c r="C2167" s="2">
        <v>45940</v>
      </c>
      <c r="D2167" s="2" t="str">
        <f>CHOOSE(MONTH(branches[[#This Row],[Дата]]),"Январь","Февраль","Март","Апрель","Май","Июнь","Июль","Август","Сентябрь","Октябрь","Ноябрь","Декабрь")&amp;" "&amp;YEAR(branches[[#This Row],[Дата]])</f>
        <v>Октябрь 2025</v>
      </c>
      <c r="E2167" t="s">
        <v>22</v>
      </c>
      <c r="F2167" t="s">
        <v>9</v>
      </c>
      <c r="G2167">
        <v>1</v>
      </c>
      <c r="H2167">
        <v>185</v>
      </c>
      <c r="I2167" t="s">
        <v>15</v>
      </c>
      <c r="J2167" t="str">
        <f>_xlfn.XLOOKUP(branches[[#This Row],[Филиал]], tbl_Filialy[Филиал], tbl_Filialy[Менеджер])</f>
        <v>Ирина Соколова</v>
      </c>
    </row>
    <row r="2168" spans="1:10" x14ac:dyDescent="0.3">
      <c r="A2168" t="str">
        <f>_xlfn.XLOOKUP(branches[[#This Row],[Филиал]], tbl_Filialy[Филиал], tbl_Filialy[Город])</f>
        <v>Москва</v>
      </c>
      <c r="B2168" s="1" t="s">
        <v>36</v>
      </c>
      <c r="C2168" s="2">
        <v>46011</v>
      </c>
      <c r="D2168" s="2" t="str">
        <f>CHOOSE(MONTH(branches[[#This Row],[Дата]]),"Январь","Февраль","Март","Апрель","Май","Июнь","Июль","Август","Сентябрь","Октябрь","Ноябрь","Декабрь")&amp;" "&amp;YEAR(branches[[#This Row],[Дата]])</f>
        <v>Декабрь 2025</v>
      </c>
      <c r="E2168" t="s">
        <v>25</v>
      </c>
      <c r="F2168" t="s">
        <v>12</v>
      </c>
      <c r="G2168">
        <v>3</v>
      </c>
      <c r="H2168">
        <v>699</v>
      </c>
      <c r="I2168" t="s">
        <v>23</v>
      </c>
      <c r="J2168" t="str">
        <f>_xlfn.XLOOKUP(branches[[#This Row],[Филиал]], tbl_Filialy[Филиал], tbl_Filialy[Менеджер])</f>
        <v>Ирина Соколова</v>
      </c>
    </row>
    <row r="2169" spans="1:10" x14ac:dyDescent="0.3">
      <c r="A2169" t="str">
        <f>_xlfn.XLOOKUP(branches[[#This Row],[Филиал]], tbl_Filialy[Филиал], tbl_Filialy[Город])</f>
        <v>Москва</v>
      </c>
      <c r="B2169" s="1" t="s">
        <v>36</v>
      </c>
      <c r="C2169" s="2">
        <v>45987</v>
      </c>
      <c r="D2169" s="2" t="str">
        <f>CHOOSE(MONTH(branches[[#This Row],[Дата]]),"Январь","Февраль","Март","Апрель","Май","Июнь","Июль","Август","Сентябрь","Октябрь","Ноябрь","Декабрь")&amp;" "&amp;YEAR(branches[[#This Row],[Дата]])</f>
        <v>Ноябрь 2025</v>
      </c>
      <c r="E2169" t="s">
        <v>25</v>
      </c>
      <c r="F2169" t="s">
        <v>12</v>
      </c>
      <c r="G2169">
        <v>1</v>
      </c>
      <c r="H2169">
        <v>244</v>
      </c>
      <c r="I2169" t="s">
        <v>21</v>
      </c>
      <c r="J2169" t="str">
        <f>_xlfn.XLOOKUP(branches[[#This Row],[Филиал]], tbl_Filialy[Филиал], tbl_Filialy[Менеджер])</f>
        <v>Ирина Соколова</v>
      </c>
    </row>
    <row r="2170" spans="1:10" x14ac:dyDescent="0.3">
      <c r="A2170" t="str">
        <f>_xlfn.XLOOKUP(branches[[#This Row],[Филиал]], tbl_Filialy[Филиал], tbl_Filialy[Город])</f>
        <v>Москва</v>
      </c>
      <c r="B2170" s="1" t="s">
        <v>36</v>
      </c>
      <c r="C2170" s="2">
        <v>45940</v>
      </c>
      <c r="D2170" s="2" t="str">
        <f>CHOOSE(MONTH(branches[[#This Row],[Дата]]),"Январь","Февраль","Март","Апрель","Май","Июнь","Июль","Август","Сентябрь","Октябрь","Ноябрь","Декабрь")&amp;" "&amp;YEAR(branches[[#This Row],[Дата]])</f>
        <v>Октябрь 2025</v>
      </c>
      <c r="E2170" t="s">
        <v>22</v>
      </c>
      <c r="F2170" t="s">
        <v>9</v>
      </c>
      <c r="G2170">
        <v>3</v>
      </c>
      <c r="H2170">
        <v>588</v>
      </c>
      <c r="I2170" t="s">
        <v>15</v>
      </c>
      <c r="J2170" t="str">
        <f>_xlfn.XLOOKUP(branches[[#This Row],[Филиал]], tbl_Filialy[Филиал], tbl_Filialy[Менеджер])</f>
        <v>Ирина Соколова</v>
      </c>
    </row>
    <row r="2171" spans="1:10" x14ac:dyDescent="0.3">
      <c r="A2171" t="str">
        <f>_xlfn.XLOOKUP(branches[[#This Row],[Филиал]], tbl_Filialy[Филиал], tbl_Filialy[Город])</f>
        <v>Москва</v>
      </c>
      <c r="B2171" s="1" t="s">
        <v>36</v>
      </c>
      <c r="C2171" s="2">
        <v>45769</v>
      </c>
      <c r="D2171" s="2" t="str">
        <f>CHOOSE(MONTH(branches[[#This Row],[Дата]]),"Январь","Февраль","Март","Апрель","Май","Июнь","Июль","Август","Сентябрь","Октябрь","Ноябрь","Декабрь")&amp;" "&amp;YEAR(branches[[#This Row],[Дата]])</f>
        <v>Апрель 2025</v>
      </c>
      <c r="E2171" t="s">
        <v>25</v>
      </c>
      <c r="F2171" t="s">
        <v>12</v>
      </c>
      <c r="G2171">
        <v>1</v>
      </c>
      <c r="H2171">
        <v>215</v>
      </c>
      <c r="I2171" t="s">
        <v>23</v>
      </c>
      <c r="J2171" t="str">
        <f>_xlfn.XLOOKUP(branches[[#This Row],[Филиал]], tbl_Filialy[Филиал], tbl_Filialy[Менеджер])</f>
        <v>Ирина Соколова</v>
      </c>
    </row>
    <row r="2172" spans="1:10" x14ac:dyDescent="0.3">
      <c r="A2172" t="str">
        <f>_xlfn.XLOOKUP(branches[[#This Row],[Филиал]], tbl_Filialy[Филиал], tbl_Filialy[Город])</f>
        <v>Москва</v>
      </c>
      <c r="B2172" s="1" t="s">
        <v>36</v>
      </c>
      <c r="C2172" s="2">
        <v>45689</v>
      </c>
      <c r="D2172" s="2" t="str">
        <f>CHOOSE(MONTH(branches[[#This Row],[Дата]]),"Январь","Февраль","Март","Апрель","Май","Июнь","Июль","Август","Сентябрь","Октябрь","Ноябрь","Декабрь")&amp;" "&amp;YEAR(branches[[#This Row],[Дата]])</f>
        <v>Февраль 2025</v>
      </c>
      <c r="E2172" t="s">
        <v>16</v>
      </c>
      <c r="F2172" t="s">
        <v>17</v>
      </c>
      <c r="G2172">
        <v>2</v>
      </c>
      <c r="H2172">
        <v>644</v>
      </c>
      <c r="I2172" t="s">
        <v>23</v>
      </c>
      <c r="J2172" t="str">
        <f>_xlfn.XLOOKUP(branches[[#This Row],[Филиал]], tbl_Filialy[Филиал], tbl_Filialy[Менеджер])</f>
        <v>Ирина Соколова</v>
      </c>
    </row>
    <row r="2173" spans="1:10" x14ac:dyDescent="0.3">
      <c r="A2173" t="str">
        <f>_xlfn.XLOOKUP(branches[[#This Row],[Филиал]], tbl_Filialy[Филиал], tbl_Filialy[Город])</f>
        <v>Москва</v>
      </c>
      <c r="B2173" s="1" t="s">
        <v>36</v>
      </c>
      <c r="C2173" s="2">
        <v>45732</v>
      </c>
      <c r="D2173" s="2" t="str">
        <f>CHOOSE(MONTH(branches[[#This Row],[Дата]]),"Январь","Февраль","Март","Апрель","Май","Июнь","Июль","Август","Сентябрь","Октябрь","Ноябрь","Декабрь")&amp;" "&amp;YEAR(branches[[#This Row],[Дата]])</f>
        <v>Март 2025</v>
      </c>
      <c r="E2173" t="s">
        <v>11</v>
      </c>
      <c r="F2173" t="s">
        <v>12</v>
      </c>
      <c r="G2173">
        <v>1</v>
      </c>
      <c r="H2173">
        <v>153</v>
      </c>
      <c r="I2173" t="s">
        <v>13</v>
      </c>
      <c r="J2173" t="str">
        <f>_xlfn.XLOOKUP(branches[[#This Row],[Филиал]], tbl_Filialy[Филиал], tbl_Filialy[Менеджер])</f>
        <v>Ирина Соколова</v>
      </c>
    </row>
    <row r="2174" spans="1:10" x14ac:dyDescent="0.3">
      <c r="A2174" t="str">
        <f>_xlfn.XLOOKUP(branches[[#This Row],[Филиал]], tbl_Filialy[Филиал], tbl_Filialy[Город])</f>
        <v>Москва</v>
      </c>
      <c r="B2174" s="1" t="s">
        <v>36</v>
      </c>
      <c r="C2174" s="2">
        <v>45705</v>
      </c>
      <c r="D2174" s="2" t="str">
        <f>CHOOSE(MONTH(branches[[#This Row],[Дата]]),"Январь","Февраль","Март","Апрель","Май","Июнь","Июль","Август","Сентябрь","Октябрь","Ноябрь","Декабрь")&amp;" "&amp;YEAR(branches[[#This Row],[Дата]])</f>
        <v>Февраль 2025</v>
      </c>
      <c r="E2174" t="s">
        <v>16</v>
      </c>
      <c r="F2174" t="s">
        <v>17</v>
      </c>
      <c r="G2174">
        <v>1</v>
      </c>
      <c r="H2174">
        <v>316</v>
      </c>
      <c r="I2174" t="s">
        <v>13</v>
      </c>
      <c r="J2174" t="str">
        <f>_xlfn.XLOOKUP(branches[[#This Row],[Филиал]], tbl_Filialy[Филиал], tbl_Filialy[Менеджер])</f>
        <v>Ирина Соколова</v>
      </c>
    </row>
    <row r="2175" spans="1:10" x14ac:dyDescent="0.3">
      <c r="A2175" t="str">
        <f>_xlfn.XLOOKUP(branches[[#This Row],[Филиал]], tbl_Filialy[Филиал], tbl_Filialy[Город])</f>
        <v>Москва</v>
      </c>
      <c r="B2175" s="1" t="s">
        <v>36</v>
      </c>
      <c r="C2175" s="2">
        <v>45832</v>
      </c>
      <c r="D2175" s="2" t="str">
        <f>CHOOSE(MONTH(branches[[#This Row],[Дата]]),"Январь","Февраль","Март","Апрель","Май","Июнь","Июль","Август","Сентябрь","Октябрь","Ноябрь","Декабрь")&amp;" "&amp;YEAR(branches[[#This Row],[Дата]])</f>
        <v>Июнь 2025</v>
      </c>
      <c r="E2175" t="s">
        <v>16</v>
      </c>
      <c r="F2175" t="s">
        <v>17</v>
      </c>
      <c r="G2175">
        <v>3</v>
      </c>
      <c r="H2175">
        <v>1050</v>
      </c>
      <c r="I2175" t="s">
        <v>21</v>
      </c>
      <c r="J2175" t="str">
        <f>_xlfn.XLOOKUP(branches[[#This Row],[Филиал]], tbl_Filialy[Филиал], tbl_Filialy[Менеджер])</f>
        <v>Ирина Соколова</v>
      </c>
    </row>
    <row r="2176" spans="1:10" x14ac:dyDescent="0.3">
      <c r="A2176" t="str">
        <f>_xlfn.XLOOKUP(branches[[#This Row],[Филиал]], tbl_Filialy[Филиал], tbl_Filialy[Город])</f>
        <v>Москва</v>
      </c>
      <c r="B2176" s="1" t="s">
        <v>36</v>
      </c>
      <c r="C2176" s="2">
        <v>45924</v>
      </c>
      <c r="D2176" s="2" t="str">
        <f>CHOOSE(MONTH(branches[[#This Row],[Дата]]),"Январь","Февраль","Март","Апрель","Май","Июнь","Июль","Август","Сентябрь","Октябрь","Ноябрь","Декабрь")&amp;" "&amp;YEAR(branches[[#This Row],[Дата]])</f>
        <v>Сентябрь 2025</v>
      </c>
      <c r="E2176" t="s">
        <v>25</v>
      </c>
      <c r="F2176" t="s">
        <v>12</v>
      </c>
      <c r="G2176">
        <v>1</v>
      </c>
      <c r="H2176">
        <v>211</v>
      </c>
      <c r="I2176" t="s">
        <v>23</v>
      </c>
      <c r="J2176" t="str">
        <f>_xlfn.XLOOKUP(branches[[#This Row],[Филиал]], tbl_Filialy[Филиал], tbl_Filialy[Менеджер])</f>
        <v>Ирина Соколова</v>
      </c>
    </row>
    <row r="2177" spans="1:10" x14ac:dyDescent="0.3">
      <c r="A2177" t="str">
        <f>_xlfn.XLOOKUP(branches[[#This Row],[Филиал]], tbl_Filialy[Филиал], tbl_Filialy[Город])</f>
        <v>Москва</v>
      </c>
      <c r="B2177" s="1" t="s">
        <v>36</v>
      </c>
      <c r="C2177" s="2">
        <v>45969</v>
      </c>
      <c r="D2177" s="2" t="str">
        <f>CHOOSE(MONTH(branches[[#This Row],[Дата]]),"Январь","Февраль","Март","Апрель","Май","Июнь","Июль","Август","Сентябрь","Октябрь","Ноябрь","Декабрь")&amp;" "&amp;YEAR(branches[[#This Row],[Дата]])</f>
        <v>Ноябрь 2025</v>
      </c>
      <c r="E2177" t="s">
        <v>14</v>
      </c>
      <c r="F2177" t="s">
        <v>12</v>
      </c>
      <c r="G2177">
        <v>2</v>
      </c>
      <c r="H2177">
        <v>498</v>
      </c>
      <c r="I2177" t="s">
        <v>10</v>
      </c>
      <c r="J2177" t="str">
        <f>_xlfn.XLOOKUP(branches[[#This Row],[Филиал]], tbl_Filialy[Филиал], tbl_Filialy[Менеджер])</f>
        <v>Ирина Соколова</v>
      </c>
    </row>
    <row r="2178" spans="1:10" x14ac:dyDescent="0.3">
      <c r="A2178" t="str">
        <f>_xlfn.XLOOKUP(branches[[#This Row],[Филиал]], tbl_Filialy[Филиал], tbl_Filialy[Город])</f>
        <v>Москва</v>
      </c>
      <c r="B2178" s="1" t="s">
        <v>36</v>
      </c>
      <c r="C2178" s="2">
        <v>45858</v>
      </c>
      <c r="D2178" s="2" t="str">
        <f>CHOOSE(MONTH(branches[[#This Row],[Дата]]),"Январь","Февраль","Март","Апрель","Май","Июнь","Июль","Август","Сентябрь","Октябрь","Ноябрь","Декабрь")&amp;" "&amp;YEAR(branches[[#This Row],[Дата]])</f>
        <v>Июль 2025</v>
      </c>
      <c r="E2178" t="s">
        <v>14</v>
      </c>
      <c r="F2178" t="s">
        <v>12</v>
      </c>
      <c r="G2178">
        <v>1</v>
      </c>
      <c r="H2178">
        <v>241</v>
      </c>
      <c r="I2178" t="s">
        <v>21</v>
      </c>
      <c r="J2178" t="str">
        <f>_xlfn.XLOOKUP(branches[[#This Row],[Филиал]], tbl_Filialy[Филиал], tbl_Filialy[Менеджер])</f>
        <v>Ирина Соколова</v>
      </c>
    </row>
    <row r="2179" spans="1:10" x14ac:dyDescent="0.3">
      <c r="A2179" t="str">
        <f>_xlfn.XLOOKUP(branches[[#This Row],[Филиал]], tbl_Filialy[Филиал], tbl_Filialy[Город])</f>
        <v>Москва</v>
      </c>
      <c r="B2179" s="1" t="s">
        <v>36</v>
      </c>
      <c r="C2179" s="2">
        <v>45682</v>
      </c>
      <c r="D2179" s="2" t="str">
        <f>CHOOSE(MONTH(branches[[#This Row],[Дата]]),"Январь","Февраль","Март","Апрель","Май","Июнь","Июль","Август","Сентябрь","Октябрь","Ноябрь","Декабрь")&amp;" "&amp;YEAR(branches[[#This Row],[Дата]])</f>
        <v>Январь 2025</v>
      </c>
      <c r="E2179" t="s">
        <v>26</v>
      </c>
      <c r="F2179" t="s">
        <v>9</v>
      </c>
      <c r="G2179">
        <v>1</v>
      </c>
      <c r="H2179">
        <v>185</v>
      </c>
      <c r="I2179" t="s">
        <v>21</v>
      </c>
      <c r="J2179" t="str">
        <f>_xlfn.XLOOKUP(branches[[#This Row],[Филиал]], tbl_Filialy[Филиал], tbl_Filialy[Менеджер])</f>
        <v>Ирина Соколова</v>
      </c>
    </row>
    <row r="2180" spans="1:10" x14ac:dyDescent="0.3">
      <c r="A2180" t="str">
        <f>_xlfn.XLOOKUP(branches[[#This Row],[Филиал]], tbl_Filialy[Филиал], tbl_Filialy[Город])</f>
        <v>Москва</v>
      </c>
      <c r="B2180" s="1" t="s">
        <v>36</v>
      </c>
      <c r="C2180" s="2">
        <v>45702</v>
      </c>
      <c r="D2180" s="2" t="str">
        <f>CHOOSE(MONTH(branches[[#This Row],[Дата]]),"Январь","Февраль","Март","Апрель","Май","Июнь","Июль","Август","Сентябрь","Октябрь","Ноябрь","Декабрь")&amp;" "&amp;YEAR(branches[[#This Row],[Дата]])</f>
        <v>Февраль 2025</v>
      </c>
      <c r="E2180" t="s">
        <v>14</v>
      </c>
      <c r="F2180" t="s">
        <v>12</v>
      </c>
      <c r="G2180">
        <v>1</v>
      </c>
      <c r="H2180">
        <v>275</v>
      </c>
      <c r="I2180" t="s">
        <v>23</v>
      </c>
      <c r="J2180" t="str">
        <f>_xlfn.XLOOKUP(branches[[#This Row],[Филиал]], tbl_Filialy[Филиал], tbl_Filialy[Менеджер])</f>
        <v>Ирина Соколова</v>
      </c>
    </row>
    <row r="2181" spans="1:10" x14ac:dyDescent="0.3">
      <c r="A2181" t="str">
        <f>_xlfn.XLOOKUP(branches[[#This Row],[Филиал]], tbl_Filialy[Филиал], tbl_Filialy[Город])</f>
        <v>Москва</v>
      </c>
      <c r="B2181" s="1" t="s">
        <v>36</v>
      </c>
      <c r="C2181" s="2">
        <v>45696</v>
      </c>
      <c r="D2181" s="2" t="str">
        <f>CHOOSE(MONTH(branches[[#This Row],[Дата]]),"Январь","Февраль","Март","Апрель","Май","Июнь","Июль","Август","Сентябрь","Октябрь","Ноябрь","Декабрь")&amp;" "&amp;YEAR(branches[[#This Row],[Дата]])</f>
        <v>Февраль 2025</v>
      </c>
      <c r="E2181" t="s">
        <v>25</v>
      </c>
      <c r="F2181" t="s">
        <v>12</v>
      </c>
      <c r="G2181">
        <v>2</v>
      </c>
      <c r="H2181">
        <v>440</v>
      </c>
      <c r="I2181" t="s">
        <v>21</v>
      </c>
      <c r="J2181" t="str">
        <f>_xlfn.XLOOKUP(branches[[#This Row],[Филиал]], tbl_Filialy[Филиал], tbl_Filialy[Менеджер])</f>
        <v>Ирина Соколова</v>
      </c>
    </row>
    <row r="2182" spans="1:10" x14ac:dyDescent="0.3">
      <c r="A2182" t="str">
        <f>_xlfn.XLOOKUP(branches[[#This Row],[Филиал]], tbl_Filialy[Филиал], tbl_Filialy[Город])</f>
        <v>Москва</v>
      </c>
      <c r="B2182" s="1" t="s">
        <v>36</v>
      </c>
      <c r="C2182" s="2">
        <v>45924</v>
      </c>
      <c r="D2182" s="2" t="str">
        <f>CHOOSE(MONTH(branches[[#This Row],[Дата]]),"Январь","Февраль","Март","Апрель","Май","Июнь","Июль","Август","Сентябрь","Октябрь","Ноябрь","Декабрь")&amp;" "&amp;YEAR(branches[[#This Row],[Дата]])</f>
        <v>Сентябрь 2025</v>
      </c>
      <c r="E2182" t="s">
        <v>28</v>
      </c>
      <c r="F2182" t="s">
        <v>12</v>
      </c>
      <c r="G2182">
        <v>1</v>
      </c>
      <c r="H2182">
        <v>215</v>
      </c>
      <c r="I2182" t="s">
        <v>13</v>
      </c>
      <c r="J2182" t="str">
        <f>_xlfn.XLOOKUP(branches[[#This Row],[Филиал]], tbl_Filialy[Филиал], tbl_Filialy[Менеджер])</f>
        <v>Ирина Соколова</v>
      </c>
    </row>
    <row r="2183" spans="1:10" x14ac:dyDescent="0.3">
      <c r="A2183" t="str">
        <f>_xlfn.XLOOKUP(branches[[#This Row],[Филиал]], tbl_Filialy[Филиал], tbl_Filialy[Город])</f>
        <v>Москва</v>
      </c>
      <c r="B2183" s="1" t="s">
        <v>36</v>
      </c>
      <c r="C2183" s="2">
        <v>45864</v>
      </c>
      <c r="D2183" s="2" t="str">
        <f>CHOOSE(MONTH(branches[[#This Row],[Дата]]),"Январь","Февраль","Март","Апрель","Май","Июнь","Июль","Август","Сентябрь","Октябрь","Ноябрь","Декабрь")&amp;" "&amp;YEAR(branches[[#This Row],[Дата]])</f>
        <v>Июль 2025</v>
      </c>
      <c r="E2183" t="s">
        <v>24</v>
      </c>
      <c r="F2183" t="s">
        <v>17</v>
      </c>
      <c r="G2183">
        <v>1</v>
      </c>
      <c r="H2183">
        <v>392</v>
      </c>
      <c r="I2183" t="s">
        <v>19</v>
      </c>
      <c r="J2183" t="str">
        <f>_xlfn.XLOOKUP(branches[[#This Row],[Филиал]], tbl_Filialy[Филиал], tbl_Filialy[Менеджер])</f>
        <v>Ирина Соколова</v>
      </c>
    </row>
    <row r="2184" spans="1:10" x14ac:dyDescent="0.3">
      <c r="A2184" t="str">
        <f>_xlfn.XLOOKUP(branches[[#This Row],[Филиал]], tbl_Filialy[Филиал], tbl_Filialy[Город])</f>
        <v>Москва</v>
      </c>
      <c r="B2184" s="1" t="s">
        <v>36</v>
      </c>
      <c r="C2184" s="2">
        <v>45923</v>
      </c>
      <c r="D2184" s="2" t="str">
        <f>CHOOSE(MONTH(branches[[#This Row],[Дата]]),"Январь","Февраль","Март","Апрель","Май","Июнь","Июль","Август","Сентябрь","Октябрь","Ноябрь","Декабрь")&amp;" "&amp;YEAR(branches[[#This Row],[Дата]])</f>
        <v>Сентябрь 2025</v>
      </c>
      <c r="E2184" t="s">
        <v>14</v>
      </c>
      <c r="F2184" t="s">
        <v>12</v>
      </c>
      <c r="G2184">
        <v>1</v>
      </c>
      <c r="H2184">
        <v>275</v>
      </c>
      <c r="I2184" t="s">
        <v>13</v>
      </c>
      <c r="J2184" t="str">
        <f>_xlfn.XLOOKUP(branches[[#This Row],[Филиал]], tbl_Filialy[Филиал], tbl_Filialy[Менеджер])</f>
        <v>Ирина Соколова</v>
      </c>
    </row>
    <row r="2185" spans="1:10" x14ac:dyDescent="0.3">
      <c r="A2185" t="str">
        <f>_xlfn.XLOOKUP(branches[[#This Row],[Филиал]], tbl_Filialy[Филиал], tbl_Filialy[Город])</f>
        <v>Москва</v>
      </c>
      <c r="B2185" s="1" t="s">
        <v>36</v>
      </c>
      <c r="C2185" s="2">
        <v>45994</v>
      </c>
      <c r="D2185" s="2" t="str">
        <f>CHOOSE(MONTH(branches[[#This Row],[Дата]]),"Январь","Февраль","Март","Апрель","Май","Июнь","Июль","Август","Сентябрь","Октябрь","Ноябрь","Декабрь")&amp;" "&amp;YEAR(branches[[#This Row],[Дата]])</f>
        <v>Декабрь 2025</v>
      </c>
      <c r="E2185" t="s">
        <v>22</v>
      </c>
      <c r="F2185" t="s">
        <v>9</v>
      </c>
      <c r="G2185">
        <v>1</v>
      </c>
      <c r="H2185">
        <v>162</v>
      </c>
      <c r="I2185" t="s">
        <v>13</v>
      </c>
      <c r="J2185" t="str">
        <f>_xlfn.XLOOKUP(branches[[#This Row],[Филиал]], tbl_Filialy[Филиал], tbl_Filialy[Менеджер])</f>
        <v>Ирина Соколова</v>
      </c>
    </row>
    <row r="2186" spans="1:10" x14ac:dyDescent="0.3">
      <c r="A2186" t="str">
        <f>_xlfn.XLOOKUP(branches[[#This Row],[Филиал]], tbl_Filialy[Филиал], tbl_Filialy[Город])</f>
        <v>Москва</v>
      </c>
      <c r="B2186" s="1" t="s">
        <v>36</v>
      </c>
      <c r="C2186" s="2">
        <v>45732</v>
      </c>
      <c r="D2186" s="2" t="str">
        <f>CHOOSE(MONTH(branches[[#This Row],[Дата]]),"Январь","Февраль","Март","Апрель","Май","Июнь","Июль","Август","Сентябрь","Октябрь","Ноябрь","Декабрь")&amp;" "&amp;YEAR(branches[[#This Row],[Дата]])</f>
        <v>Март 2025</v>
      </c>
      <c r="E2186" t="s">
        <v>16</v>
      </c>
      <c r="F2186" t="s">
        <v>17</v>
      </c>
      <c r="G2186">
        <v>2</v>
      </c>
      <c r="H2186">
        <v>654</v>
      </c>
      <c r="I2186" t="s">
        <v>19</v>
      </c>
      <c r="J2186" t="str">
        <f>_xlfn.XLOOKUP(branches[[#This Row],[Филиал]], tbl_Filialy[Филиал], tbl_Filialy[Менеджер])</f>
        <v>Ирина Соколова</v>
      </c>
    </row>
    <row r="2187" spans="1:10" x14ac:dyDescent="0.3">
      <c r="A2187" t="str">
        <f>_xlfn.XLOOKUP(branches[[#This Row],[Филиал]], tbl_Filialy[Филиал], tbl_Filialy[Город])</f>
        <v>Москва</v>
      </c>
      <c r="B2187" s="1" t="s">
        <v>36</v>
      </c>
      <c r="C2187" s="2">
        <v>45818</v>
      </c>
      <c r="D2187" s="2" t="str">
        <f>CHOOSE(MONTH(branches[[#This Row],[Дата]]),"Январь","Февраль","Март","Апрель","Май","Июнь","Июль","Август","Сентябрь","Октябрь","Ноябрь","Декабрь")&amp;" "&amp;YEAR(branches[[#This Row],[Дата]])</f>
        <v>Июнь 2025</v>
      </c>
      <c r="E2187" t="s">
        <v>25</v>
      </c>
      <c r="F2187" t="s">
        <v>12</v>
      </c>
      <c r="G2187">
        <v>2</v>
      </c>
      <c r="H2187">
        <v>456</v>
      </c>
      <c r="I2187" t="s">
        <v>15</v>
      </c>
      <c r="J2187" t="str">
        <f>_xlfn.XLOOKUP(branches[[#This Row],[Филиал]], tbl_Filialy[Филиал], tbl_Filialy[Менеджер])</f>
        <v>Ирина Соколова</v>
      </c>
    </row>
    <row r="2188" spans="1:10" x14ac:dyDescent="0.3">
      <c r="A2188" t="str">
        <f>_xlfn.XLOOKUP(branches[[#This Row],[Филиал]], tbl_Filialy[Филиал], tbl_Filialy[Город])</f>
        <v>Москва</v>
      </c>
      <c r="B2188" s="1" t="s">
        <v>36</v>
      </c>
      <c r="C2188" s="2">
        <v>45697</v>
      </c>
      <c r="D2188" s="2" t="str">
        <f>CHOOSE(MONTH(branches[[#This Row],[Дата]]),"Январь","Февраль","Март","Апрель","Май","Июнь","Июль","Август","Сентябрь","Октябрь","Ноябрь","Декабрь")&amp;" "&amp;YEAR(branches[[#This Row],[Дата]])</f>
        <v>Февраль 2025</v>
      </c>
      <c r="E2188" t="s">
        <v>20</v>
      </c>
      <c r="F2188" t="s">
        <v>12</v>
      </c>
      <c r="G2188">
        <v>2</v>
      </c>
      <c r="H2188">
        <v>552</v>
      </c>
      <c r="I2188" t="s">
        <v>21</v>
      </c>
      <c r="J2188" t="str">
        <f>_xlfn.XLOOKUP(branches[[#This Row],[Филиал]], tbl_Filialy[Филиал], tbl_Filialy[Менеджер])</f>
        <v>Ирина Соколова</v>
      </c>
    </row>
    <row r="2189" spans="1:10" x14ac:dyDescent="0.3">
      <c r="A2189" t="str">
        <f>_xlfn.XLOOKUP(branches[[#This Row],[Филиал]], tbl_Filialy[Филиал], tbl_Filialy[Город])</f>
        <v>Москва</v>
      </c>
      <c r="B2189" s="1" t="s">
        <v>36</v>
      </c>
      <c r="C2189" s="2">
        <v>45690</v>
      </c>
      <c r="D2189" s="2" t="str">
        <f>CHOOSE(MONTH(branches[[#This Row],[Дата]]),"Январь","Февраль","Март","Апрель","Май","Июнь","Июль","Август","Сентябрь","Октябрь","Ноябрь","Декабрь")&amp;" "&amp;YEAR(branches[[#This Row],[Дата]])</f>
        <v>Февраль 2025</v>
      </c>
      <c r="E2189" t="s">
        <v>16</v>
      </c>
      <c r="F2189" t="s">
        <v>17</v>
      </c>
      <c r="G2189">
        <v>2</v>
      </c>
      <c r="H2189">
        <v>630</v>
      </c>
      <c r="I2189" t="s">
        <v>23</v>
      </c>
      <c r="J2189" t="str">
        <f>_xlfn.XLOOKUP(branches[[#This Row],[Филиал]], tbl_Filialy[Филиал], tbl_Filialy[Менеджер])</f>
        <v>Ирина Соколова</v>
      </c>
    </row>
    <row r="2190" spans="1:10" x14ac:dyDescent="0.3">
      <c r="A2190" t="str">
        <f>_xlfn.XLOOKUP(branches[[#This Row],[Филиал]], tbl_Filialy[Филиал], tbl_Filialy[Город])</f>
        <v>Москва</v>
      </c>
      <c r="B2190" s="1" t="s">
        <v>36</v>
      </c>
      <c r="C2190" s="2">
        <v>45789</v>
      </c>
      <c r="D2190" s="2" t="str">
        <f>CHOOSE(MONTH(branches[[#This Row],[Дата]]),"Январь","Февраль","Март","Апрель","Май","Июнь","Июль","Август","Сентябрь","Октябрь","Ноябрь","Декабрь")&amp;" "&amp;YEAR(branches[[#This Row],[Дата]])</f>
        <v>Май 2025</v>
      </c>
      <c r="E2190" t="s">
        <v>11</v>
      </c>
      <c r="F2190" t="s">
        <v>12</v>
      </c>
      <c r="G2190">
        <v>2</v>
      </c>
      <c r="H2190">
        <v>348</v>
      </c>
      <c r="I2190" t="s">
        <v>13</v>
      </c>
      <c r="J2190" t="str">
        <f>_xlfn.XLOOKUP(branches[[#This Row],[Филиал]], tbl_Filialy[Филиал], tbl_Filialy[Менеджер])</f>
        <v>Ирина Соколова</v>
      </c>
    </row>
    <row r="2191" spans="1:10" x14ac:dyDescent="0.3">
      <c r="A2191" t="str">
        <f>_xlfn.XLOOKUP(branches[[#This Row],[Филиал]], tbl_Filialy[Филиал], tbl_Filialy[Город])</f>
        <v>Москва</v>
      </c>
      <c r="B2191" s="1" t="s">
        <v>36</v>
      </c>
      <c r="C2191" s="2">
        <v>45849</v>
      </c>
      <c r="D2191" s="2" t="str">
        <f>CHOOSE(MONTH(branches[[#This Row],[Дата]]),"Январь","Февраль","Март","Апрель","Май","Июнь","Июль","Август","Сентябрь","Октябрь","Ноябрь","Декабрь")&amp;" "&amp;YEAR(branches[[#This Row],[Дата]])</f>
        <v>Июль 2025</v>
      </c>
      <c r="E2191" t="s">
        <v>11</v>
      </c>
      <c r="F2191" t="s">
        <v>12</v>
      </c>
      <c r="G2191">
        <v>1</v>
      </c>
      <c r="H2191">
        <v>163</v>
      </c>
      <c r="I2191" t="s">
        <v>23</v>
      </c>
      <c r="J2191" t="str">
        <f>_xlfn.XLOOKUP(branches[[#This Row],[Филиал]], tbl_Filialy[Филиал], tbl_Filialy[Менеджер])</f>
        <v>Ирина Соколова</v>
      </c>
    </row>
    <row r="2192" spans="1:10" x14ac:dyDescent="0.3">
      <c r="A2192" t="str">
        <f>_xlfn.XLOOKUP(branches[[#This Row],[Филиал]], tbl_Filialy[Филиал], tbl_Filialy[Город])</f>
        <v>Москва</v>
      </c>
      <c r="B2192" s="1" t="s">
        <v>36</v>
      </c>
      <c r="C2192" s="2">
        <v>45701</v>
      </c>
      <c r="D2192" s="2" t="str">
        <f>CHOOSE(MONTH(branches[[#This Row],[Дата]]),"Январь","Февраль","Март","Апрель","Май","Июнь","Июль","Август","Сентябрь","Октябрь","Ноябрь","Декабрь")&amp;" "&amp;YEAR(branches[[#This Row],[Дата]])</f>
        <v>Февраль 2025</v>
      </c>
      <c r="E2192" t="s">
        <v>27</v>
      </c>
      <c r="F2192" t="s">
        <v>12</v>
      </c>
      <c r="G2192">
        <v>3</v>
      </c>
      <c r="H2192">
        <v>576</v>
      </c>
      <c r="I2192" t="s">
        <v>10</v>
      </c>
      <c r="J2192" t="str">
        <f>_xlfn.XLOOKUP(branches[[#This Row],[Филиал]], tbl_Filialy[Филиал], tbl_Filialy[Менеджер])</f>
        <v>Ирина Соколова</v>
      </c>
    </row>
    <row r="2193" spans="1:10" x14ac:dyDescent="0.3">
      <c r="A2193" t="str">
        <f>_xlfn.XLOOKUP(branches[[#This Row],[Филиал]], tbl_Filialy[Филиал], tbl_Filialy[Город])</f>
        <v>Москва</v>
      </c>
      <c r="B2193" s="1" t="s">
        <v>36</v>
      </c>
      <c r="C2193" s="2">
        <v>45915</v>
      </c>
      <c r="D2193" s="2" t="str">
        <f>CHOOSE(MONTH(branches[[#This Row],[Дата]]),"Январь","Февраль","Март","Апрель","Май","Июнь","Июль","Август","Сентябрь","Октябрь","Ноябрь","Декабрь")&amp;" "&amp;YEAR(branches[[#This Row],[Дата]])</f>
        <v>Сентябрь 2025</v>
      </c>
      <c r="E2193" t="s">
        <v>26</v>
      </c>
      <c r="F2193" t="s">
        <v>9</v>
      </c>
      <c r="G2193">
        <v>1</v>
      </c>
      <c r="H2193">
        <v>228</v>
      </c>
      <c r="I2193" t="s">
        <v>10</v>
      </c>
      <c r="J2193" t="str">
        <f>_xlfn.XLOOKUP(branches[[#This Row],[Филиал]], tbl_Filialy[Филиал], tbl_Filialy[Менеджер])</f>
        <v>Ирина Соколова</v>
      </c>
    </row>
    <row r="2194" spans="1:10" x14ac:dyDescent="0.3">
      <c r="A2194" t="str">
        <f>_xlfn.XLOOKUP(branches[[#This Row],[Филиал]], tbl_Filialy[Филиал], tbl_Filialy[Город])</f>
        <v>Москва</v>
      </c>
      <c r="B2194" s="1" t="s">
        <v>36</v>
      </c>
      <c r="C2194" s="2">
        <v>45750</v>
      </c>
      <c r="D2194" s="2" t="str">
        <f>CHOOSE(MONTH(branches[[#This Row],[Дата]]),"Январь","Февраль","Март","Апрель","Май","Июнь","Июль","Август","Сентябрь","Октябрь","Ноябрь","Декабрь")&amp;" "&amp;YEAR(branches[[#This Row],[Дата]])</f>
        <v>Апрель 2025</v>
      </c>
      <c r="E2194" t="s">
        <v>25</v>
      </c>
      <c r="F2194" t="s">
        <v>12</v>
      </c>
      <c r="G2194">
        <v>3</v>
      </c>
      <c r="H2194">
        <v>678</v>
      </c>
      <c r="I2194" t="s">
        <v>15</v>
      </c>
      <c r="J2194" t="str">
        <f>_xlfn.XLOOKUP(branches[[#This Row],[Филиал]], tbl_Filialy[Филиал], tbl_Filialy[Менеджер])</f>
        <v>Ирина Соколова</v>
      </c>
    </row>
    <row r="2195" spans="1:10" x14ac:dyDescent="0.3">
      <c r="A2195" t="str">
        <f>_xlfn.XLOOKUP(branches[[#This Row],[Филиал]], tbl_Filialy[Филиал], tbl_Filialy[Город])</f>
        <v>Москва</v>
      </c>
      <c r="B2195" s="1" t="s">
        <v>36</v>
      </c>
      <c r="C2195" s="2">
        <v>45944</v>
      </c>
      <c r="D2195" s="2" t="str">
        <f>CHOOSE(MONTH(branches[[#This Row],[Дата]]),"Январь","Февраль","Март","Апрель","Май","Июнь","Июль","Август","Сентябрь","Октябрь","Ноябрь","Декабрь")&amp;" "&amp;YEAR(branches[[#This Row],[Дата]])</f>
        <v>Октябрь 2025</v>
      </c>
      <c r="E2195" t="s">
        <v>20</v>
      </c>
      <c r="F2195" t="s">
        <v>12</v>
      </c>
      <c r="G2195">
        <v>1</v>
      </c>
      <c r="H2195">
        <v>259</v>
      </c>
      <c r="I2195" t="s">
        <v>19</v>
      </c>
      <c r="J2195" t="str">
        <f>_xlfn.XLOOKUP(branches[[#This Row],[Филиал]], tbl_Filialy[Филиал], tbl_Filialy[Менеджер])</f>
        <v>Ирина Соколова</v>
      </c>
    </row>
    <row r="2196" spans="1:10" x14ac:dyDescent="0.3">
      <c r="A2196" t="str">
        <f>_xlfn.XLOOKUP(branches[[#This Row],[Филиал]], tbl_Filialy[Филиал], tbl_Filialy[Город])</f>
        <v>Москва</v>
      </c>
      <c r="B2196" s="1" t="s">
        <v>36</v>
      </c>
      <c r="C2196" s="2">
        <v>45920</v>
      </c>
      <c r="D2196" s="2" t="str">
        <f>CHOOSE(MONTH(branches[[#This Row],[Дата]]),"Январь","Февраль","Март","Апрель","Май","Июнь","Июль","Август","Сентябрь","Октябрь","Ноябрь","Декабрь")&amp;" "&amp;YEAR(branches[[#This Row],[Дата]])</f>
        <v>Сентябрь 2025</v>
      </c>
      <c r="E2196" t="s">
        <v>22</v>
      </c>
      <c r="F2196" t="s">
        <v>9</v>
      </c>
      <c r="G2196">
        <v>1</v>
      </c>
      <c r="H2196">
        <v>182</v>
      </c>
      <c r="I2196" t="s">
        <v>15</v>
      </c>
      <c r="J2196" t="str">
        <f>_xlfn.XLOOKUP(branches[[#This Row],[Филиал]], tbl_Filialy[Филиал], tbl_Filialy[Менеджер])</f>
        <v>Ирина Соколова</v>
      </c>
    </row>
    <row r="2197" spans="1:10" x14ac:dyDescent="0.3">
      <c r="A2197" t="str">
        <f>_xlfn.XLOOKUP(branches[[#This Row],[Филиал]], tbl_Filialy[Филиал], tbl_Filialy[Город])</f>
        <v>Москва</v>
      </c>
      <c r="B2197" s="1" t="s">
        <v>36</v>
      </c>
      <c r="C2197" s="2">
        <v>45919</v>
      </c>
      <c r="D2197" s="2" t="str">
        <f>CHOOSE(MONTH(branches[[#This Row],[Дата]]),"Январь","Февраль","Март","Апрель","Май","Июнь","Июль","Август","Сентябрь","Октябрь","Ноябрь","Декабрь")&amp;" "&amp;YEAR(branches[[#This Row],[Дата]])</f>
        <v>Сентябрь 2025</v>
      </c>
      <c r="E2197" t="s">
        <v>26</v>
      </c>
      <c r="F2197" t="s">
        <v>9</v>
      </c>
      <c r="G2197">
        <v>1</v>
      </c>
      <c r="H2197">
        <v>200</v>
      </c>
      <c r="I2197" t="s">
        <v>15</v>
      </c>
      <c r="J2197" t="str">
        <f>_xlfn.XLOOKUP(branches[[#This Row],[Филиал]], tbl_Filialy[Филиал], tbl_Filialy[Менеджер])</f>
        <v>Ирина Соколова</v>
      </c>
    </row>
    <row r="2198" spans="1:10" x14ac:dyDescent="0.3">
      <c r="A2198" t="str">
        <f>_xlfn.XLOOKUP(branches[[#This Row],[Филиал]], tbl_Filialy[Филиал], tbl_Filialy[Город])</f>
        <v>Новосибирск</v>
      </c>
      <c r="B2198" s="1" t="s">
        <v>37</v>
      </c>
      <c r="C2198" s="2">
        <v>45709</v>
      </c>
      <c r="D2198" s="2" t="str">
        <f>CHOOSE(MONTH(branches[[#This Row],[Дата]]),"Январь","Февраль","Март","Апрель","Май","Июнь","Июль","Август","Сентябрь","Октябрь","Ноябрь","Декабрь")&amp;" "&amp;YEAR(branches[[#This Row],[Дата]])</f>
        <v>Февраль 2025</v>
      </c>
      <c r="E2198" t="s">
        <v>18</v>
      </c>
      <c r="F2198" t="s">
        <v>12</v>
      </c>
      <c r="G2198">
        <v>1</v>
      </c>
      <c r="H2198">
        <v>136</v>
      </c>
      <c r="I2198" t="s">
        <v>34</v>
      </c>
      <c r="J2198" t="str">
        <f>_xlfn.XLOOKUP(branches[[#This Row],[Филиал]], tbl_Filialy[Филиал], tbl_Filialy[Менеджер])</f>
        <v>Ольга Кузнецова</v>
      </c>
    </row>
    <row r="2199" spans="1:10" x14ac:dyDescent="0.3">
      <c r="A2199" t="str">
        <f>_xlfn.XLOOKUP(branches[[#This Row],[Филиал]], tbl_Filialy[Филиал], tbl_Filialy[Город])</f>
        <v>Новосибирск</v>
      </c>
      <c r="B2199" s="1" t="s">
        <v>37</v>
      </c>
      <c r="C2199" s="2">
        <v>45787</v>
      </c>
      <c r="D2199" s="2" t="str">
        <f>CHOOSE(MONTH(branches[[#This Row],[Дата]]),"Январь","Февраль","Март","Апрель","Май","Июнь","Июль","Август","Сентябрь","Октябрь","Ноябрь","Декабрь")&amp;" "&amp;YEAR(branches[[#This Row],[Дата]])</f>
        <v>Май 2025</v>
      </c>
      <c r="E2199" t="s">
        <v>18</v>
      </c>
      <c r="F2199" t="s">
        <v>12</v>
      </c>
      <c r="G2199">
        <v>2</v>
      </c>
      <c r="H2199">
        <v>272</v>
      </c>
      <c r="I2199" t="s">
        <v>34</v>
      </c>
      <c r="J2199" t="str">
        <f>_xlfn.XLOOKUP(branches[[#This Row],[Филиал]], tbl_Filialy[Филиал], tbl_Filialy[Менеджер])</f>
        <v>Ольга Кузнецова</v>
      </c>
    </row>
    <row r="2200" spans="1:10" x14ac:dyDescent="0.3">
      <c r="A2200" t="str">
        <f>_xlfn.XLOOKUP(branches[[#This Row],[Филиал]], tbl_Filialy[Филиал], tbl_Filialy[Город])</f>
        <v>Новосибирск</v>
      </c>
      <c r="B2200" s="1" t="s">
        <v>37</v>
      </c>
      <c r="C2200" s="2">
        <v>45762</v>
      </c>
      <c r="D2200" s="2" t="str">
        <f>CHOOSE(MONTH(branches[[#This Row],[Дата]]),"Январь","Февраль","Март","Апрель","Май","Июнь","Июль","Август","Сентябрь","Октябрь","Ноябрь","Декабрь")&amp;" "&amp;YEAR(branches[[#This Row],[Дата]])</f>
        <v>Апрель 2025</v>
      </c>
      <c r="E2200" t="s">
        <v>18</v>
      </c>
      <c r="F2200" t="s">
        <v>12</v>
      </c>
      <c r="G2200">
        <v>1</v>
      </c>
      <c r="H2200">
        <v>133</v>
      </c>
      <c r="I2200" t="s">
        <v>32</v>
      </c>
      <c r="J2200" t="str">
        <f>_xlfn.XLOOKUP(branches[[#This Row],[Филиал]], tbl_Filialy[Филиал], tbl_Filialy[Менеджер])</f>
        <v>Ольга Кузнецова</v>
      </c>
    </row>
    <row r="2201" spans="1:10" x14ac:dyDescent="0.3">
      <c r="A2201" t="str">
        <f>_xlfn.XLOOKUP(branches[[#This Row],[Филиал]], tbl_Filialy[Филиал], tbl_Filialy[Город])</f>
        <v>Новосибирск</v>
      </c>
      <c r="B2201" s="1" t="s">
        <v>37</v>
      </c>
      <c r="C2201" s="2">
        <v>45974</v>
      </c>
      <c r="D2201" s="2" t="str">
        <f>CHOOSE(MONTH(branches[[#This Row],[Дата]]),"Январь","Февраль","Март","Апрель","Май","Июнь","Июль","Август","Сентябрь","Октябрь","Ноябрь","Декабрь")&amp;" "&amp;YEAR(branches[[#This Row],[Дата]])</f>
        <v>Ноябрь 2025</v>
      </c>
      <c r="E2201" t="s">
        <v>20</v>
      </c>
      <c r="F2201" t="s">
        <v>12</v>
      </c>
      <c r="G2201">
        <v>2</v>
      </c>
      <c r="H2201">
        <v>524</v>
      </c>
      <c r="I2201" t="s">
        <v>19</v>
      </c>
      <c r="J2201" t="str">
        <f>_xlfn.XLOOKUP(branches[[#This Row],[Филиал]], tbl_Filialy[Филиал], tbl_Filialy[Менеджер])</f>
        <v>Ольга Кузнецова</v>
      </c>
    </row>
    <row r="2202" spans="1:10" x14ac:dyDescent="0.3">
      <c r="A2202" t="str">
        <f>_xlfn.XLOOKUP(branches[[#This Row],[Филиал]], tbl_Filialy[Филиал], tbl_Filialy[Город])</f>
        <v>Новосибирск</v>
      </c>
      <c r="B2202" s="1" t="s">
        <v>37</v>
      </c>
      <c r="C2202" s="2">
        <v>45725</v>
      </c>
      <c r="D2202" s="2" t="str">
        <f>CHOOSE(MONTH(branches[[#This Row],[Дата]]),"Январь","Февраль","Март","Апрель","Май","Июнь","Июль","Август","Сентябрь","Октябрь","Ноябрь","Декабрь")&amp;" "&amp;YEAR(branches[[#This Row],[Дата]])</f>
        <v>Март 2025</v>
      </c>
      <c r="E2202" t="s">
        <v>8</v>
      </c>
      <c r="F2202" t="s">
        <v>9</v>
      </c>
      <c r="G2202">
        <v>1</v>
      </c>
      <c r="H2202">
        <v>258</v>
      </c>
      <c r="I2202" t="s">
        <v>19</v>
      </c>
      <c r="J2202" t="str">
        <f>_xlfn.XLOOKUP(branches[[#This Row],[Филиал]], tbl_Filialy[Филиал], tbl_Filialy[Менеджер])</f>
        <v>Ольга Кузнецова</v>
      </c>
    </row>
    <row r="2203" spans="1:10" x14ac:dyDescent="0.3">
      <c r="A2203" t="str">
        <f>_xlfn.XLOOKUP(branches[[#This Row],[Филиал]], tbl_Filialy[Филиал], tbl_Filialy[Город])</f>
        <v>Новосибирск</v>
      </c>
      <c r="B2203" s="1" t="s">
        <v>37</v>
      </c>
      <c r="C2203" s="2">
        <v>45700</v>
      </c>
      <c r="D2203" s="2" t="str">
        <f>CHOOSE(MONTH(branches[[#This Row],[Дата]]),"Январь","Февраль","Март","Апрель","Май","Июнь","Июль","Август","Сентябрь","Октябрь","Ноябрь","Декабрь")&amp;" "&amp;YEAR(branches[[#This Row],[Дата]])</f>
        <v>Февраль 2025</v>
      </c>
      <c r="E2203" t="s">
        <v>14</v>
      </c>
      <c r="F2203" t="s">
        <v>12</v>
      </c>
      <c r="G2203">
        <v>1</v>
      </c>
      <c r="H2203">
        <v>288</v>
      </c>
      <c r="I2203" t="s">
        <v>32</v>
      </c>
      <c r="J2203" t="str">
        <f>_xlfn.XLOOKUP(branches[[#This Row],[Филиал]], tbl_Filialy[Филиал], tbl_Filialy[Менеджер])</f>
        <v>Ольга Кузнецова</v>
      </c>
    </row>
    <row r="2204" spans="1:10" x14ac:dyDescent="0.3">
      <c r="A2204" t="str">
        <f>_xlfn.XLOOKUP(branches[[#This Row],[Филиал]], tbl_Filialy[Филиал], tbl_Filialy[Город])</f>
        <v>Новосибирск</v>
      </c>
      <c r="B2204" s="1" t="s">
        <v>37</v>
      </c>
      <c r="C2204" s="2">
        <v>45883</v>
      </c>
      <c r="D2204" s="2" t="str">
        <f>CHOOSE(MONTH(branches[[#This Row],[Дата]]),"Январь","Февраль","Март","Апрель","Май","Июнь","Июль","Август","Сентябрь","Октябрь","Ноябрь","Декабрь")&amp;" "&amp;YEAR(branches[[#This Row],[Дата]])</f>
        <v>Август 2025</v>
      </c>
      <c r="E2204" t="s">
        <v>27</v>
      </c>
      <c r="F2204" t="s">
        <v>12</v>
      </c>
      <c r="G2204">
        <v>1</v>
      </c>
      <c r="H2204">
        <v>200</v>
      </c>
      <c r="I2204" t="s">
        <v>13</v>
      </c>
      <c r="J2204" t="str">
        <f>_xlfn.XLOOKUP(branches[[#This Row],[Филиал]], tbl_Filialy[Филиал], tbl_Filialy[Менеджер])</f>
        <v>Ольга Кузнецова</v>
      </c>
    </row>
    <row r="2205" spans="1:10" x14ac:dyDescent="0.3">
      <c r="A2205" t="str">
        <f>_xlfn.XLOOKUP(branches[[#This Row],[Филиал]], tbl_Filialy[Филиал], tbl_Filialy[Город])</f>
        <v>Новосибирск</v>
      </c>
      <c r="B2205" s="1" t="s">
        <v>37</v>
      </c>
      <c r="C2205" s="2">
        <v>45699</v>
      </c>
      <c r="D2205" s="2" t="str">
        <f>CHOOSE(MONTH(branches[[#This Row],[Дата]]),"Январь","Февраль","Март","Апрель","Май","Июнь","Июль","Август","Сентябрь","Октябрь","Ноябрь","Декабрь")&amp;" "&amp;YEAR(branches[[#This Row],[Дата]])</f>
        <v>Февраль 2025</v>
      </c>
      <c r="E2205" t="s">
        <v>28</v>
      </c>
      <c r="F2205" t="s">
        <v>12</v>
      </c>
      <c r="G2205">
        <v>2</v>
      </c>
      <c r="H2205">
        <v>458</v>
      </c>
      <c r="I2205" t="s">
        <v>19</v>
      </c>
      <c r="J2205" t="str">
        <f>_xlfn.XLOOKUP(branches[[#This Row],[Филиал]], tbl_Filialy[Филиал], tbl_Filialy[Менеджер])</f>
        <v>Ольга Кузнецова</v>
      </c>
    </row>
    <row r="2206" spans="1:10" x14ac:dyDescent="0.3">
      <c r="A2206" t="str">
        <f>_xlfn.XLOOKUP(branches[[#This Row],[Филиал]], tbl_Filialy[Филиал], tbl_Filialy[Город])</f>
        <v>Новосибирск</v>
      </c>
      <c r="B2206" s="1" t="s">
        <v>37</v>
      </c>
      <c r="C2206" s="2">
        <v>45679</v>
      </c>
      <c r="D2206" s="2" t="str">
        <f>CHOOSE(MONTH(branches[[#This Row],[Дата]]),"Январь","Февраль","Март","Апрель","Май","Июнь","Июль","Август","Сентябрь","Октябрь","Ноябрь","Декабрь")&amp;" "&amp;YEAR(branches[[#This Row],[Дата]])</f>
        <v>Январь 2025</v>
      </c>
      <c r="E2206" t="s">
        <v>26</v>
      </c>
      <c r="F2206" t="s">
        <v>9</v>
      </c>
      <c r="G2206">
        <v>2</v>
      </c>
      <c r="H2206">
        <v>398</v>
      </c>
      <c r="I2206" t="s">
        <v>13</v>
      </c>
      <c r="J2206" t="str">
        <f>_xlfn.XLOOKUP(branches[[#This Row],[Филиал]], tbl_Filialy[Филиал], tbl_Filialy[Менеджер])</f>
        <v>Ольга Кузнецова</v>
      </c>
    </row>
    <row r="2207" spans="1:10" x14ac:dyDescent="0.3">
      <c r="A2207" t="str">
        <f>_xlfn.XLOOKUP(branches[[#This Row],[Филиал]], tbl_Filialy[Филиал], tbl_Filialy[Город])</f>
        <v>Новосибирск</v>
      </c>
      <c r="B2207" s="1" t="s">
        <v>37</v>
      </c>
      <c r="C2207" s="2">
        <v>45834</v>
      </c>
      <c r="D2207" s="2" t="str">
        <f>CHOOSE(MONTH(branches[[#This Row],[Дата]]),"Январь","Февраль","Март","Апрель","Май","Июнь","Июль","Август","Сентябрь","Октябрь","Ноябрь","Декабрь")&amp;" "&amp;YEAR(branches[[#This Row],[Дата]])</f>
        <v>Июнь 2025</v>
      </c>
      <c r="E2207" t="s">
        <v>20</v>
      </c>
      <c r="F2207" t="s">
        <v>12</v>
      </c>
      <c r="G2207">
        <v>1</v>
      </c>
      <c r="H2207">
        <v>276</v>
      </c>
      <c r="I2207" t="s">
        <v>33</v>
      </c>
      <c r="J2207" t="str">
        <f>_xlfn.XLOOKUP(branches[[#This Row],[Филиал]], tbl_Filialy[Филиал], tbl_Filialy[Менеджер])</f>
        <v>Ольга Кузнецова</v>
      </c>
    </row>
    <row r="2208" spans="1:10" x14ac:dyDescent="0.3">
      <c r="A2208" t="str">
        <f>_xlfn.XLOOKUP(branches[[#This Row],[Филиал]], tbl_Filialy[Филиал], tbl_Filialy[Город])</f>
        <v>Новосибирск</v>
      </c>
      <c r="B2208" s="1" t="s">
        <v>37</v>
      </c>
      <c r="C2208" s="2">
        <v>45976</v>
      </c>
      <c r="D2208" s="2" t="str">
        <f>CHOOSE(MONTH(branches[[#This Row],[Дата]]),"Январь","Февраль","Март","Апрель","Май","Июнь","Июль","Август","Сентябрь","Октябрь","Ноябрь","Декабрь")&amp;" "&amp;YEAR(branches[[#This Row],[Дата]])</f>
        <v>Ноябрь 2025</v>
      </c>
      <c r="E2208" t="s">
        <v>16</v>
      </c>
      <c r="F2208" t="s">
        <v>17</v>
      </c>
      <c r="G2208">
        <v>2</v>
      </c>
      <c r="H2208">
        <v>616</v>
      </c>
      <c r="I2208" t="s">
        <v>32</v>
      </c>
      <c r="J2208" t="str">
        <f>_xlfn.XLOOKUP(branches[[#This Row],[Филиал]], tbl_Filialy[Филиал], tbl_Filialy[Менеджер])</f>
        <v>Ольга Кузнецова</v>
      </c>
    </row>
    <row r="2209" spans="1:10" x14ac:dyDescent="0.3">
      <c r="A2209" t="str">
        <f>_xlfn.XLOOKUP(branches[[#This Row],[Филиал]], tbl_Filialy[Филиал], tbl_Filialy[Город])</f>
        <v>Новосибирск</v>
      </c>
      <c r="B2209" s="1" t="s">
        <v>37</v>
      </c>
      <c r="C2209" s="2">
        <v>45949</v>
      </c>
      <c r="D2209" s="2" t="str">
        <f>CHOOSE(MONTH(branches[[#This Row],[Дата]]),"Январь","Февраль","Март","Апрель","Май","Июнь","Июль","Август","Сентябрь","Октябрь","Ноябрь","Декабрь")&amp;" "&amp;YEAR(branches[[#This Row],[Дата]])</f>
        <v>Октябрь 2025</v>
      </c>
      <c r="E2209" t="s">
        <v>26</v>
      </c>
      <c r="F2209" t="s">
        <v>9</v>
      </c>
      <c r="G2209">
        <v>3</v>
      </c>
      <c r="H2209">
        <v>573</v>
      </c>
      <c r="I2209" t="s">
        <v>19</v>
      </c>
      <c r="J2209" t="str">
        <f>_xlfn.XLOOKUP(branches[[#This Row],[Филиал]], tbl_Filialy[Филиал], tbl_Filialy[Менеджер])</f>
        <v>Ольга Кузнецова</v>
      </c>
    </row>
    <row r="2210" spans="1:10" x14ac:dyDescent="0.3">
      <c r="A2210" t="str">
        <f>_xlfn.XLOOKUP(branches[[#This Row],[Филиал]], tbl_Filialy[Филиал], tbl_Filialy[Город])</f>
        <v>Новосибирск</v>
      </c>
      <c r="B2210" s="1" t="s">
        <v>37</v>
      </c>
      <c r="C2210" s="2">
        <v>45890</v>
      </c>
      <c r="D2210" s="2" t="str">
        <f>CHOOSE(MONTH(branches[[#This Row],[Дата]]),"Январь","Февраль","Март","Апрель","Май","Июнь","Июль","Август","Сентябрь","Октябрь","Ноябрь","Декабрь")&amp;" "&amp;YEAR(branches[[#This Row],[Дата]])</f>
        <v>Август 2025</v>
      </c>
      <c r="E2210" t="s">
        <v>20</v>
      </c>
      <c r="F2210" t="s">
        <v>12</v>
      </c>
      <c r="G2210">
        <v>1</v>
      </c>
      <c r="H2210">
        <v>268</v>
      </c>
      <c r="I2210" t="s">
        <v>34</v>
      </c>
      <c r="J2210" t="str">
        <f>_xlfn.XLOOKUP(branches[[#This Row],[Филиал]], tbl_Filialy[Филиал], tbl_Filialy[Менеджер])</f>
        <v>Ольга Кузнецова</v>
      </c>
    </row>
    <row r="2211" spans="1:10" x14ac:dyDescent="0.3">
      <c r="A2211" t="str">
        <f>_xlfn.XLOOKUP(branches[[#This Row],[Филиал]], tbl_Filialy[Филиал], tbl_Filialy[Город])</f>
        <v>Новосибирск</v>
      </c>
      <c r="B2211" s="1" t="s">
        <v>37</v>
      </c>
      <c r="C2211" s="2">
        <v>45910</v>
      </c>
      <c r="D2211" s="2" t="str">
        <f>CHOOSE(MONTH(branches[[#This Row],[Дата]]),"Январь","Февраль","Март","Апрель","Май","Июнь","Июль","Август","Сентябрь","Октябрь","Ноябрь","Декабрь")&amp;" "&amp;YEAR(branches[[#This Row],[Дата]])</f>
        <v>Сентябрь 2025</v>
      </c>
      <c r="E2211" t="s">
        <v>27</v>
      </c>
      <c r="F2211" t="s">
        <v>12</v>
      </c>
      <c r="G2211">
        <v>2</v>
      </c>
      <c r="H2211">
        <v>386</v>
      </c>
      <c r="I2211" t="s">
        <v>33</v>
      </c>
      <c r="J2211" t="str">
        <f>_xlfn.XLOOKUP(branches[[#This Row],[Филиал]], tbl_Filialy[Филиал], tbl_Filialy[Менеджер])</f>
        <v>Ольга Кузнецова</v>
      </c>
    </row>
    <row r="2212" spans="1:10" x14ac:dyDescent="0.3">
      <c r="A2212" t="str">
        <f>_xlfn.XLOOKUP(branches[[#This Row],[Филиал]], tbl_Filialy[Филиал], tbl_Filialy[Город])</f>
        <v>Новосибирск</v>
      </c>
      <c r="B2212" s="1" t="s">
        <v>37</v>
      </c>
      <c r="C2212" s="2">
        <v>45906</v>
      </c>
      <c r="D2212" s="2" t="str">
        <f>CHOOSE(MONTH(branches[[#This Row],[Дата]]),"Январь","Февраль","Март","Апрель","Май","Июнь","Июль","Август","Сентябрь","Октябрь","Ноябрь","Декабрь")&amp;" "&amp;YEAR(branches[[#This Row],[Дата]])</f>
        <v>Сентябрь 2025</v>
      </c>
      <c r="E2212" t="s">
        <v>11</v>
      </c>
      <c r="F2212" t="s">
        <v>12</v>
      </c>
      <c r="G2212">
        <v>2</v>
      </c>
      <c r="H2212">
        <v>312</v>
      </c>
      <c r="I2212" t="s">
        <v>34</v>
      </c>
      <c r="J2212" t="str">
        <f>_xlfn.XLOOKUP(branches[[#This Row],[Филиал]], tbl_Filialy[Филиал], tbl_Filialy[Менеджер])</f>
        <v>Ольга Кузнецова</v>
      </c>
    </row>
    <row r="2213" spans="1:10" x14ac:dyDescent="0.3">
      <c r="A2213" t="str">
        <f>_xlfn.XLOOKUP(branches[[#This Row],[Филиал]], tbl_Filialy[Филиал], tbl_Filialy[Город])</f>
        <v>Новосибирск</v>
      </c>
      <c r="B2213" s="1" t="s">
        <v>37</v>
      </c>
      <c r="C2213" s="2">
        <v>45788</v>
      </c>
      <c r="D2213" s="2" t="str">
        <f>CHOOSE(MONTH(branches[[#This Row],[Дата]]),"Январь","Февраль","Март","Апрель","Май","Июнь","Июль","Август","Сентябрь","Октябрь","Ноябрь","Декабрь")&amp;" "&amp;YEAR(branches[[#This Row],[Дата]])</f>
        <v>Май 2025</v>
      </c>
      <c r="E2213" t="s">
        <v>22</v>
      </c>
      <c r="F2213" t="s">
        <v>9</v>
      </c>
      <c r="G2213">
        <v>2</v>
      </c>
      <c r="H2213">
        <v>320</v>
      </c>
      <c r="I2213" t="s">
        <v>32</v>
      </c>
      <c r="J2213" t="str">
        <f>_xlfn.XLOOKUP(branches[[#This Row],[Филиал]], tbl_Filialy[Филиал], tbl_Filialy[Менеджер])</f>
        <v>Ольга Кузнецова</v>
      </c>
    </row>
    <row r="2214" spans="1:10" x14ac:dyDescent="0.3">
      <c r="A2214" t="str">
        <f>_xlfn.XLOOKUP(branches[[#This Row],[Филиал]], tbl_Filialy[Филиал], tbl_Filialy[Город])</f>
        <v>Новосибирск</v>
      </c>
      <c r="B2214" s="1" t="s">
        <v>37</v>
      </c>
      <c r="C2214" s="2">
        <v>45665</v>
      </c>
      <c r="D2214" s="2" t="str">
        <f>CHOOSE(MONTH(branches[[#This Row],[Дата]]),"Январь","Февраль","Март","Апрель","Май","Июнь","Июль","Август","Сентябрь","Октябрь","Ноябрь","Декабрь")&amp;" "&amp;YEAR(branches[[#This Row],[Дата]])</f>
        <v>Январь 2025</v>
      </c>
      <c r="E2214" t="s">
        <v>25</v>
      </c>
      <c r="F2214" t="s">
        <v>12</v>
      </c>
      <c r="G2214">
        <v>3</v>
      </c>
      <c r="H2214">
        <v>696</v>
      </c>
      <c r="I2214" t="s">
        <v>35</v>
      </c>
      <c r="J2214" t="str">
        <f>_xlfn.XLOOKUP(branches[[#This Row],[Филиал]], tbl_Filialy[Филиал], tbl_Filialy[Менеджер])</f>
        <v>Ольга Кузнецова</v>
      </c>
    </row>
    <row r="2215" spans="1:10" x14ac:dyDescent="0.3">
      <c r="A2215" t="str">
        <f>_xlfn.XLOOKUP(branches[[#This Row],[Филиал]], tbl_Filialy[Филиал], tbl_Filialy[Город])</f>
        <v>Новосибирск</v>
      </c>
      <c r="B2215" s="1" t="s">
        <v>37</v>
      </c>
      <c r="C2215" s="2">
        <v>45980</v>
      </c>
      <c r="D2215" s="2" t="str">
        <f>CHOOSE(MONTH(branches[[#This Row],[Дата]]),"Январь","Февраль","Март","Апрель","Май","Июнь","Июль","Август","Сентябрь","Октябрь","Ноябрь","Декабрь")&amp;" "&amp;YEAR(branches[[#This Row],[Дата]])</f>
        <v>Ноябрь 2025</v>
      </c>
      <c r="E2215" t="s">
        <v>24</v>
      </c>
      <c r="F2215" t="s">
        <v>17</v>
      </c>
      <c r="G2215">
        <v>1</v>
      </c>
      <c r="H2215">
        <v>403</v>
      </c>
      <c r="I2215" t="s">
        <v>13</v>
      </c>
      <c r="J2215" t="str">
        <f>_xlfn.XLOOKUP(branches[[#This Row],[Филиал]], tbl_Filialy[Филиал], tbl_Filialy[Менеджер])</f>
        <v>Ольга Кузнецова</v>
      </c>
    </row>
    <row r="2216" spans="1:10" x14ac:dyDescent="0.3">
      <c r="A2216" t="str">
        <f>_xlfn.XLOOKUP(branches[[#This Row],[Филиал]], tbl_Filialy[Филиал], tbl_Filialy[Город])</f>
        <v>Новосибирск</v>
      </c>
      <c r="B2216" s="1" t="s">
        <v>37</v>
      </c>
      <c r="C2216" s="2">
        <v>45736</v>
      </c>
      <c r="D2216" s="2" t="str">
        <f>CHOOSE(MONTH(branches[[#This Row],[Дата]]),"Январь","Февраль","Март","Апрель","Май","Июнь","Июль","Август","Сентябрь","Октябрь","Ноябрь","Декабрь")&amp;" "&amp;YEAR(branches[[#This Row],[Дата]])</f>
        <v>Март 2025</v>
      </c>
      <c r="E2216" t="s">
        <v>14</v>
      </c>
      <c r="F2216" t="s">
        <v>12</v>
      </c>
      <c r="G2216">
        <v>1</v>
      </c>
      <c r="H2216">
        <v>271</v>
      </c>
      <c r="I2216" t="s">
        <v>35</v>
      </c>
      <c r="J2216" t="str">
        <f>_xlfn.XLOOKUP(branches[[#This Row],[Филиал]], tbl_Filialy[Филиал], tbl_Filialy[Менеджер])</f>
        <v>Ольга Кузнецова</v>
      </c>
    </row>
    <row r="2217" spans="1:10" x14ac:dyDescent="0.3">
      <c r="A2217" t="str">
        <f>_xlfn.XLOOKUP(branches[[#This Row],[Филиал]], tbl_Filialy[Филиал], tbl_Filialy[Город])</f>
        <v>Новосибирск</v>
      </c>
      <c r="B2217" s="1" t="s">
        <v>37</v>
      </c>
      <c r="C2217" s="2">
        <v>45920</v>
      </c>
      <c r="D2217" s="2" t="str">
        <f>CHOOSE(MONTH(branches[[#This Row],[Дата]]),"Январь","Февраль","Март","Апрель","Май","Июнь","Июль","Август","Сентябрь","Октябрь","Ноябрь","Декабрь")&amp;" "&amp;YEAR(branches[[#This Row],[Дата]])</f>
        <v>Сентябрь 2025</v>
      </c>
      <c r="E2217" t="s">
        <v>24</v>
      </c>
      <c r="F2217" t="s">
        <v>17</v>
      </c>
      <c r="G2217">
        <v>2</v>
      </c>
      <c r="H2217">
        <v>742</v>
      </c>
      <c r="I2217" t="s">
        <v>19</v>
      </c>
      <c r="J2217" t="str">
        <f>_xlfn.XLOOKUP(branches[[#This Row],[Филиал]], tbl_Filialy[Филиал], tbl_Filialy[Менеджер])</f>
        <v>Ольга Кузнецова</v>
      </c>
    </row>
    <row r="2218" spans="1:10" x14ac:dyDescent="0.3">
      <c r="A2218" t="str">
        <f>_xlfn.XLOOKUP(branches[[#This Row],[Филиал]], tbl_Filialy[Филиал], tbl_Filialy[Город])</f>
        <v>Новосибирск</v>
      </c>
      <c r="B2218" s="1" t="s">
        <v>37</v>
      </c>
      <c r="C2218" s="2">
        <v>45763</v>
      </c>
      <c r="D2218" s="2" t="str">
        <f>CHOOSE(MONTH(branches[[#This Row],[Дата]]),"Январь","Февраль","Март","Апрель","Май","Июнь","Июль","Август","Сентябрь","Октябрь","Ноябрь","Декабрь")&amp;" "&amp;YEAR(branches[[#This Row],[Дата]])</f>
        <v>Апрель 2025</v>
      </c>
      <c r="E2218" t="s">
        <v>22</v>
      </c>
      <c r="F2218" t="s">
        <v>9</v>
      </c>
      <c r="G2218">
        <v>1</v>
      </c>
      <c r="H2218">
        <v>165</v>
      </c>
      <c r="I2218" t="s">
        <v>32</v>
      </c>
      <c r="J2218" t="str">
        <f>_xlfn.XLOOKUP(branches[[#This Row],[Филиал]], tbl_Filialy[Филиал], tbl_Filialy[Менеджер])</f>
        <v>Ольга Кузнецова</v>
      </c>
    </row>
    <row r="2219" spans="1:10" x14ac:dyDescent="0.3">
      <c r="A2219" t="str">
        <f>_xlfn.XLOOKUP(branches[[#This Row],[Филиал]], tbl_Filialy[Филиал], tbl_Filialy[Город])</f>
        <v>Новосибирск</v>
      </c>
      <c r="B2219" s="1" t="s">
        <v>37</v>
      </c>
      <c r="C2219" s="2">
        <v>45945</v>
      </c>
      <c r="D2219" s="2" t="str">
        <f>CHOOSE(MONTH(branches[[#This Row],[Дата]]),"Январь","Февраль","Март","Апрель","Май","Июнь","Июль","Август","Сентябрь","Октябрь","Ноябрь","Декабрь")&amp;" "&amp;YEAR(branches[[#This Row],[Дата]])</f>
        <v>Октябрь 2025</v>
      </c>
      <c r="E2219" t="s">
        <v>20</v>
      </c>
      <c r="F2219" t="s">
        <v>12</v>
      </c>
      <c r="G2219">
        <v>1</v>
      </c>
      <c r="H2219">
        <v>280</v>
      </c>
      <c r="I2219" t="s">
        <v>19</v>
      </c>
      <c r="J2219" t="str">
        <f>_xlfn.XLOOKUP(branches[[#This Row],[Филиал]], tbl_Filialy[Филиал], tbl_Filialy[Менеджер])</f>
        <v>Ольга Кузнецова</v>
      </c>
    </row>
    <row r="2220" spans="1:10" x14ac:dyDescent="0.3">
      <c r="A2220" t="str">
        <f>_xlfn.XLOOKUP(branches[[#This Row],[Филиал]], tbl_Filialy[Филиал], tbl_Filialy[Город])</f>
        <v>Новосибирск</v>
      </c>
      <c r="B2220" s="1" t="s">
        <v>37</v>
      </c>
      <c r="C2220" s="2">
        <v>45850</v>
      </c>
      <c r="D2220" s="2" t="str">
        <f>CHOOSE(MONTH(branches[[#This Row],[Дата]]),"Январь","Февраль","Март","Апрель","Май","Июнь","Июль","Август","Сентябрь","Октябрь","Ноябрь","Декабрь")&amp;" "&amp;YEAR(branches[[#This Row],[Дата]])</f>
        <v>Июль 2025</v>
      </c>
      <c r="E2220" t="s">
        <v>18</v>
      </c>
      <c r="F2220" t="s">
        <v>12</v>
      </c>
      <c r="G2220">
        <v>3</v>
      </c>
      <c r="H2220">
        <v>396</v>
      </c>
      <c r="I2220" t="s">
        <v>35</v>
      </c>
      <c r="J2220" t="str">
        <f>_xlfn.XLOOKUP(branches[[#This Row],[Филиал]], tbl_Filialy[Филиал], tbl_Filialy[Менеджер])</f>
        <v>Ольга Кузнецова</v>
      </c>
    </row>
    <row r="2221" spans="1:10" x14ac:dyDescent="0.3">
      <c r="A2221" t="str">
        <f>_xlfn.XLOOKUP(branches[[#This Row],[Филиал]], tbl_Filialy[Филиал], tbl_Filialy[Город])</f>
        <v>Новосибирск</v>
      </c>
      <c r="B2221" s="1" t="s">
        <v>37</v>
      </c>
      <c r="C2221" s="2">
        <v>46001</v>
      </c>
      <c r="D2221" s="2" t="str">
        <f>CHOOSE(MONTH(branches[[#This Row],[Дата]]),"Январь","Февраль","Март","Апрель","Май","Июнь","Июль","Август","Сентябрь","Октябрь","Ноябрь","Декабрь")&amp;" "&amp;YEAR(branches[[#This Row],[Дата]])</f>
        <v>Декабрь 2025</v>
      </c>
      <c r="E2221" t="s">
        <v>8</v>
      </c>
      <c r="F2221" t="s">
        <v>9</v>
      </c>
      <c r="G2221">
        <v>1</v>
      </c>
      <c r="H2221">
        <v>223</v>
      </c>
      <c r="I2221" t="s">
        <v>33</v>
      </c>
      <c r="J2221" t="str">
        <f>_xlfn.XLOOKUP(branches[[#This Row],[Филиал]], tbl_Filialy[Филиал], tbl_Filialy[Менеджер])</f>
        <v>Ольга Кузнецова</v>
      </c>
    </row>
    <row r="2222" spans="1:10" x14ac:dyDescent="0.3">
      <c r="A2222" t="str">
        <f>_xlfn.XLOOKUP(branches[[#This Row],[Филиал]], tbl_Filialy[Филиал], tbl_Filialy[Город])</f>
        <v>Новосибирск</v>
      </c>
      <c r="B2222" s="1" t="s">
        <v>37</v>
      </c>
      <c r="C2222" s="2">
        <v>45779</v>
      </c>
      <c r="D2222" s="2" t="str">
        <f>CHOOSE(MONTH(branches[[#This Row],[Дата]]),"Январь","Февраль","Март","Апрель","Май","Июнь","Июль","Август","Сентябрь","Октябрь","Ноябрь","Декабрь")&amp;" "&amp;YEAR(branches[[#This Row],[Дата]])</f>
        <v>Май 2025</v>
      </c>
      <c r="E2222" t="s">
        <v>28</v>
      </c>
      <c r="F2222" t="s">
        <v>12</v>
      </c>
      <c r="G2222">
        <v>1</v>
      </c>
      <c r="H2222">
        <v>223</v>
      </c>
      <c r="I2222" t="s">
        <v>13</v>
      </c>
      <c r="J2222" t="str">
        <f>_xlfn.XLOOKUP(branches[[#This Row],[Филиал]], tbl_Filialy[Филиал], tbl_Filialy[Менеджер])</f>
        <v>Ольга Кузнецова</v>
      </c>
    </row>
    <row r="2223" spans="1:10" x14ac:dyDescent="0.3">
      <c r="A2223" t="str">
        <f>_xlfn.XLOOKUP(branches[[#This Row],[Филиал]], tbl_Filialy[Филиал], tbl_Filialy[Город])</f>
        <v>Новосибирск</v>
      </c>
      <c r="B2223" s="1" t="s">
        <v>37</v>
      </c>
      <c r="C2223" s="2">
        <v>45839</v>
      </c>
      <c r="D2223" s="2" t="str">
        <f>CHOOSE(MONTH(branches[[#This Row],[Дата]]),"Январь","Февраль","Март","Апрель","Май","Июнь","Июль","Август","Сентябрь","Октябрь","Ноябрь","Декабрь")&amp;" "&amp;YEAR(branches[[#This Row],[Дата]])</f>
        <v>Июль 2025</v>
      </c>
      <c r="E2223" t="s">
        <v>28</v>
      </c>
      <c r="F2223" t="s">
        <v>12</v>
      </c>
      <c r="G2223">
        <v>1</v>
      </c>
      <c r="H2223">
        <v>231</v>
      </c>
      <c r="I2223" t="s">
        <v>32</v>
      </c>
      <c r="J2223" t="str">
        <f>_xlfn.XLOOKUP(branches[[#This Row],[Филиал]], tbl_Filialy[Филиал], tbl_Filialy[Менеджер])</f>
        <v>Ольга Кузнецова</v>
      </c>
    </row>
    <row r="2224" spans="1:10" x14ac:dyDescent="0.3">
      <c r="A2224" t="str">
        <f>_xlfn.XLOOKUP(branches[[#This Row],[Филиал]], tbl_Filialy[Филиал], tbl_Filialy[Город])</f>
        <v>Новосибирск</v>
      </c>
      <c r="B2224" s="1" t="s">
        <v>37</v>
      </c>
      <c r="C2224" s="2">
        <v>45954</v>
      </c>
      <c r="D2224" s="2" t="str">
        <f>CHOOSE(MONTH(branches[[#This Row],[Дата]]),"Январь","Февраль","Март","Апрель","Май","Июнь","Июль","Август","Сентябрь","Октябрь","Ноябрь","Декабрь")&amp;" "&amp;YEAR(branches[[#This Row],[Дата]])</f>
        <v>Октябрь 2025</v>
      </c>
      <c r="E2224" t="s">
        <v>25</v>
      </c>
      <c r="F2224" t="s">
        <v>12</v>
      </c>
      <c r="G2224">
        <v>2</v>
      </c>
      <c r="H2224">
        <v>480</v>
      </c>
      <c r="I2224" t="s">
        <v>19</v>
      </c>
      <c r="J2224" t="str">
        <f>_xlfn.XLOOKUP(branches[[#This Row],[Филиал]], tbl_Filialy[Филиал], tbl_Filialy[Менеджер])</f>
        <v>Ольга Кузнецова</v>
      </c>
    </row>
    <row r="2225" spans="1:10" x14ac:dyDescent="0.3">
      <c r="A2225" t="str">
        <f>_xlfn.XLOOKUP(branches[[#This Row],[Филиал]], tbl_Filialy[Филиал], tbl_Filialy[Город])</f>
        <v>Новосибирск</v>
      </c>
      <c r="B2225" s="1" t="s">
        <v>37</v>
      </c>
      <c r="C2225" s="2">
        <v>45689</v>
      </c>
      <c r="D2225" s="2" t="str">
        <f>CHOOSE(MONTH(branches[[#This Row],[Дата]]),"Январь","Февраль","Март","Апрель","Май","Июнь","Июль","Август","Сентябрь","Октябрь","Ноябрь","Декабрь")&amp;" "&amp;YEAR(branches[[#This Row],[Дата]])</f>
        <v>Февраль 2025</v>
      </c>
      <c r="E2225" t="s">
        <v>22</v>
      </c>
      <c r="F2225" t="s">
        <v>9</v>
      </c>
      <c r="G2225">
        <v>1</v>
      </c>
      <c r="H2225">
        <v>196</v>
      </c>
      <c r="I2225" t="s">
        <v>33</v>
      </c>
      <c r="J2225" t="str">
        <f>_xlfn.XLOOKUP(branches[[#This Row],[Филиал]], tbl_Filialy[Филиал], tbl_Filialy[Менеджер])</f>
        <v>Ольга Кузнецова</v>
      </c>
    </row>
    <row r="2226" spans="1:10" x14ac:dyDescent="0.3">
      <c r="A2226" t="str">
        <f>_xlfn.XLOOKUP(branches[[#This Row],[Филиал]], tbl_Filialy[Филиал], tbl_Filialy[Город])</f>
        <v>Новосибирск</v>
      </c>
      <c r="B2226" s="1" t="s">
        <v>37</v>
      </c>
      <c r="C2226" s="2">
        <v>45720</v>
      </c>
      <c r="D2226" s="2" t="str">
        <f>CHOOSE(MONTH(branches[[#This Row],[Дата]]),"Январь","Февраль","Март","Апрель","Май","Июнь","Июль","Август","Сентябрь","Октябрь","Ноябрь","Декабрь")&amp;" "&amp;YEAR(branches[[#This Row],[Дата]])</f>
        <v>Март 2025</v>
      </c>
      <c r="E2226" t="s">
        <v>26</v>
      </c>
      <c r="F2226" t="s">
        <v>9</v>
      </c>
      <c r="G2226">
        <v>1</v>
      </c>
      <c r="H2226">
        <v>206</v>
      </c>
      <c r="I2226" t="s">
        <v>32</v>
      </c>
      <c r="J2226" t="str">
        <f>_xlfn.XLOOKUP(branches[[#This Row],[Филиал]], tbl_Filialy[Филиал], tbl_Filialy[Менеджер])</f>
        <v>Ольга Кузнецова</v>
      </c>
    </row>
    <row r="2227" spans="1:10" x14ac:dyDescent="0.3">
      <c r="A2227" t="str">
        <f>_xlfn.XLOOKUP(branches[[#This Row],[Филиал]], tbl_Filialy[Филиал], tbl_Filialy[Город])</f>
        <v>Новосибирск</v>
      </c>
      <c r="B2227" s="1" t="s">
        <v>37</v>
      </c>
      <c r="C2227" s="2">
        <v>45771</v>
      </c>
      <c r="D2227" s="2" t="str">
        <f>CHOOSE(MONTH(branches[[#This Row],[Дата]]),"Январь","Февраль","Март","Апрель","Май","Июнь","Июль","Август","Сентябрь","Октябрь","Ноябрь","Декабрь")&amp;" "&amp;YEAR(branches[[#This Row],[Дата]])</f>
        <v>Апрель 2025</v>
      </c>
      <c r="E2227" t="s">
        <v>22</v>
      </c>
      <c r="F2227" t="s">
        <v>9</v>
      </c>
      <c r="G2227">
        <v>1</v>
      </c>
      <c r="H2227">
        <v>176</v>
      </c>
      <c r="I2227" t="s">
        <v>32</v>
      </c>
      <c r="J2227" t="str">
        <f>_xlfn.XLOOKUP(branches[[#This Row],[Филиал]], tbl_Filialy[Филиал], tbl_Filialy[Менеджер])</f>
        <v>Ольга Кузнецова</v>
      </c>
    </row>
    <row r="2228" spans="1:10" x14ac:dyDescent="0.3">
      <c r="A2228" t="str">
        <f>_xlfn.XLOOKUP(branches[[#This Row],[Филиал]], tbl_Filialy[Филиал], tbl_Filialy[Город])</f>
        <v>Новосибирск</v>
      </c>
      <c r="B2228" s="1" t="s">
        <v>37</v>
      </c>
      <c r="C2228" s="2">
        <v>45821</v>
      </c>
      <c r="D2228" s="2" t="str">
        <f>CHOOSE(MONTH(branches[[#This Row],[Дата]]),"Январь","Февраль","Март","Апрель","Май","Июнь","Июль","Август","Сентябрь","Октябрь","Ноябрь","Декабрь")&amp;" "&amp;YEAR(branches[[#This Row],[Дата]])</f>
        <v>Июнь 2025</v>
      </c>
      <c r="E2228" t="s">
        <v>27</v>
      </c>
      <c r="F2228" t="s">
        <v>12</v>
      </c>
      <c r="G2228">
        <v>1</v>
      </c>
      <c r="H2228">
        <v>231</v>
      </c>
      <c r="I2228" t="s">
        <v>35</v>
      </c>
      <c r="J2228" t="str">
        <f>_xlfn.XLOOKUP(branches[[#This Row],[Филиал]], tbl_Filialy[Филиал], tbl_Filialy[Менеджер])</f>
        <v>Ольга Кузнецова</v>
      </c>
    </row>
    <row r="2229" spans="1:10" x14ac:dyDescent="0.3">
      <c r="A2229" t="str">
        <f>_xlfn.XLOOKUP(branches[[#This Row],[Филиал]], tbl_Filialy[Филиал], tbl_Filialy[Город])</f>
        <v>Новосибирск</v>
      </c>
      <c r="B2229" s="1" t="s">
        <v>37</v>
      </c>
      <c r="C2229" s="2">
        <v>45798</v>
      </c>
      <c r="D2229" s="2" t="str">
        <f>CHOOSE(MONTH(branches[[#This Row],[Дата]]),"Январь","Февраль","Март","Апрель","Май","Июнь","Июль","Август","Сентябрь","Октябрь","Ноябрь","Декабрь")&amp;" "&amp;YEAR(branches[[#This Row],[Дата]])</f>
        <v>Май 2025</v>
      </c>
      <c r="E2229" t="s">
        <v>25</v>
      </c>
      <c r="F2229" t="s">
        <v>12</v>
      </c>
      <c r="G2229">
        <v>1</v>
      </c>
      <c r="H2229">
        <v>242</v>
      </c>
      <c r="I2229" t="s">
        <v>19</v>
      </c>
      <c r="J2229" t="str">
        <f>_xlfn.XLOOKUP(branches[[#This Row],[Филиал]], tbl_Filialy[Филиал], tbl_Filialy[Менеджер])</f>
        <v>Ольга Кузнецова</v>
      </c>
    </row>
    <row r="2230" spans="1:10" x14ac:dyDescent="0.3">
      <c r="A2230" t="str">
        <f>_xlfn.XLOOKUP(branches[[#This Row],[Филиал]], tbl_Filialy[Филиал], tbl_Filialy[Город])</f>
        <v>Новосибирск</v>
      </c>
      <c r="B2230" s="1" t="s">
        <v>37</v>
      </c>
      <c r="C2230" s="2">
        <v>45971</v>
      </c>
      <c r="D2230" s="2" t="str">
        <f>CHOOSE(MONTH(branches[[#This Row],[Дата]]),"Январь","Февраль","Март","Апрель","Май","Июнь","Июль","Август","Сентябрь","Октябрь","Ноябрь","Декабрь")&amp;" "&amp;YEAR(branches[[#This Row],[Дата]])</f>
        <v>Ноябрь 2025</v>
      </c>
      <c r="E2230" t="s">
        <v>18</v>
      </c>
      <c r="F2230" t="s">
        <v>12</v>
      </c>
      <c r="G2230">
        <v>3</v>
      </c>
      <c r="H2230">
        <v>444</v>
      </c>
      <c r="I2230" t="s">
        <v>34</v>
      </c>
      <c r="J2230" t="str">
        <f>_xlfn.XLOOKUP(branches[[#This Row],[Филиал]], tbl_Filialy[Филиал], tbl_Filialy[Менеджер])</f>
        <v>Ольга Кузнецова</v>
      </c>
    </row>
    <row r="2231" spans="1:10" x14ac:dyDescent="0.3">
      <c r="A2231" t="str">
        <f>_xlfn.XLOOKUP(branches[[#This Row],[Филиал]], tbl_Filialy[Филиал], tbl_Filialy[Город])</f>
        <v>Новосибирск</v>
      </c>
      <c r="B2231" s="1" t="s">
        <v>37</v>
      </c>
      <c r="C2231" s="2">
        <v>45825</v>
      </c>
      <c r="D2231" s="2" t="str">
        <f>CHOOSE(MONTH(branches[[#This Row],[Дата]]),"Январь","Февраль","Март","Апрель","Май","Июнь","Июль","Август","Сентябрь","Октябрь","Ноябрь","Декабрь")&amp;" "&amp;YEAR(branches[[#This Row],[Дата]])</f>
        <v>Июнь 2025</v>
      </c>
      <c r="E2231" t="s">
        <v>16</v>
      </c>
      <c r="F2231" t="s">
        <v>17</v>
      </c>
      <c r="G2231">
        <v>3</v>
      </c>
      <c r="H2231">
        <v>960</v>
      </c>
      <c r="I2231" t="s">
        <v>34</v>
      </c>
      <c r="J2231" t="str">
        <f>_xlfn.XLOOKUP(branches[[#This Row],[Филиал]], tbl_Filialy[Филиал], tbl_Filialy[Менеджер])</f>
        <v>Ольга Кузнецова</v>
      </c>
    </row>
    <row r="2232" spans="1:10" x14ac:dyDescent="0.3">
      <c r="A2232" t="str">
        <f>_xlfn.XLOOKUP(branches[[#This Row],[Филиал]], tbl_Filialy[Филиал], tbl_Filialy[Город])</f>
        <v>Новосибирск</v>
      </c>
      <c r="B2232" s="1" t="s">
        <v>37</v>
      </c>
      <c r="C2232" s="2">
        <v>45731</v>
      </c>
      <c r="D2232" s="2" t="str">
        <f>CHOOSE(MONTH(branches[[#This Row],[Дата]]),"Январь","Февраль","Март","Апрель","Май","Июнь","Июль","Август","Сентябрь","Октябрь","Ноябрь","Декабрь")&amp;" "&amp;YEAR(branches[[#This Row],[Дата]])</f>
        <v>Март 2025</v>
      </c>
      <c r="E2232" t="s">
        <v>11</v>
      </c>
      <c r="F2232" t="s">
        <v>12</v>
      </c>
      <c r="G2232">
        <v>2</v>
      </c>
      <c r="H2232">
        <v>360</v>
      </c>
      <c r="I2232" t="s">
        <v>33</v>
      </c>
      <c r="J2232" t="str">
        <f>_xlfn.XLOOKUP(branches[[#This Row],[Филиал]], tbl_Filialy[Филиал], tbl_Filialy[Менеджер])</f>
        <v>Ольга Кузнецова</v>
      </c>
    </row>
    <row r="2233" spans="1:10" x14ac:dyDescent="0.3">
      <c r="A2233" t="str">
        <f>_xlfn.XLOOKUP(branches[[#This Row],[Филиал]], tbl_Filialy[Филиал], tbl_Filialy[Город])</f>
        <v>Новосибирск</v>
      </c>
      <c r="B2233" s="1" t="s">
        <v>37</v>
      </c>
      <c r="C2233" s="2">
        <v>45863</v>
      </c>
      <c r="D2233" s="2" t="str">
        <f>CHOOSE(MONTH(branches[[#This Row],[Дата]]),"Январь","Февраль","Март","Апрель","Май","Июнь","Июль","Август","Сентябрь","Октябрь","Ноябрь","Декабрь")&amp;" "&amp;YEAR(branches[[#This Row],[Дата]])</f>
        <v>Июль 2025</v>
      </c>
      <c r="E2233" t="s">
        <v>16</v>
      </c>
      <c r="F2233" t="s">
        <v>17</v>
      </c>
      <c r="G2233">
        <v>2</v>
      </c>
      <c r="H2233">
        <v>666</v>
      </c>
      <c r="I2233" t="s">
        <v>35</v>
      </c>
      <c r="J2233" t="str">
        <f>_xlfn.XLOOKUP(branches[[#This Row],[Филиал]], tbl_Filialy[Филиал], tbl_Filialy[Менеджер])</f>
        <v>Ольга Кузнецова</v>
      </c>
    </row>
    <row r="2234" spans="1:10" x14ac:dyDescent="0.3">
      <c r="A2234" t="str">
        <f>_xlfn.XLOOKUP(branches[[#This Row],[Филиал]], tbl_Filialy[Филиал], tbl_Filialy[Город])</f>
        <v>Новосибирск</v>
      </c>
      <c r="B2234" s="1" t="s">
        <v>37</v>
      </c>
      <c r="C2234" s="2">
        <v>45901</v>
      </c>
      <c r="D2234" s="2" t="str">
        <f>CHOOSE(MONTH(branches[[#This Row],[Дата]]),"Январь","Февраль","Март","Апрель","Май","Июнь","Июль","Август","Сентябрь","Октябрь","Ноябрь","Декабрь")&amp;" "&amp;YEAR(branches[[#This Row],[Дата]])</f>
        <v>Сентябрь 2025</v>
      </c>
      <c r="E2234" t="s">
        <v>27</v>
      </c>
      <c r="F2234" t="s">
        <v>12</v>
      </c>
      <c r="G2234">
        <v>1</v>
      </c>
      <c r="H2234">
        <v>191</v>
      </c>
      <c r="I2234" t="s">
        <v>13</v>
      </c>
      <c r="J2234" t="str">
        <f>_xlfn.XLOOKUP(branches[[#This Row],[Филиал]], tbl_Filialy[Филиал], tbl_Filialy[Менеджер])</f>
        <v>Ольга Кузнецова</v>
      </c>
    </row>
    <row r="2235" spans="1:10" x14ac:dyDescent="0.3">
      <c r="A2235" t="str">
        <f>_xlfn.XLOOKUP(branches[[#This Row],[Филиал]], tbl_Filialy[Филиал], tbl_Filialy[Город])</f>
        <v>Новосибирск</v>
      </c>
      <c r="B2235" s="1" t="s">
        <v>37</v>
      </c>
      <c r="C2235" s="2">
        <v>45926</v>
      </c>
      <c r="D2235" s="2" t="str">
        <f>CHOOSE(MONTH(branches[[#This Row],[Дата]]),"Январь","Февраль","Март","Апрель","Май","Июнь","Июль","Август","Сентябрь","Октябрь","Ноябрь","Декабрь")&amp;" "&amp;YEAR(branches[[#This Row],[Дата]])</f>
        <v>Сентябрь 2025</v>
      </c>
      <c r="E2235" t="s">
        <v>27</v>
      </c>
      <c r="F2235" t="s">
        <v>12</v>
      </c>
      <c r="G2235">
        <v>3</v>
      </c>
      <c r="H2235">
        <v>711</v>
      </c>
      <c r="I2235" t="s">
        <v>33</v>
      </c>
      <c r="J2235" t="str">
        <f>_xlfn.XLOOKUP(branches[[#This Row],[Филиал]], tbl_Filialy[Филиал], tbl_Filialy[Менеджер])</f>
        <v>Ольга Кузнецова</v>
      </c>
    </row>
    <row r="2236" spans="1:10" x14ac:dyDescent="0.3">
      <c r="A2236" t="str">
        <f>_xlfn.XLOOKUP(branches[[#This Row],[Филиал]], tbl_Filialy[Филиал], tbl_Filialy[Город])</f>
        <v>Новосибирск</v>
      </c>
      <c r="B2236" s="1" t="s">
        <v>37</v>
      </c>
      <c r="C2236" s="2">
        <v>45760</v>
      </c>
      <c r="D2236" s="2" t="str">
        <f>CHOOSE(MONTH(branches[[#This Row],[Дата]]),"Январь","Февраль","Март","Апрель","Май","Июнь","Июль","Август","Сентябрь","Октябрь","Ноябрь","Декабрь")&amp;" "&amp;YEAR(branches[[#This Row],[Дата]])</f>
        <v>Апрель 2025</v>
      </c>
      <c r="E2236" t="s">
        <v>24</v>
      </c>
      <c r="F2236" t="s">
        <v>17</v>
      </c>
      <c r="G2236">
        <v>2</v>
      </c>
      <c r="H2236">
        <v>822</v>
      </c>
      <c r="I2236" t="s">
        <v>34</v>
      </c>
      <c r="J2236" t="str">
        <f>_xlfn.XLOOKUP(branches[[#This Row],[Филиал]], tbl_Filialy[Филиал], tbl_Filialy[Менеджер])</f>
        <v>Ольга Кузнецова</v>
      </c>
    </row>
    <row r="2237" spans="1:10" x14ac:dyDescent="0.3">
      <c r="A2237" t="str">
        <f>_xlfn.XLOOKUP(branches[[#This Row],[Филиал]], tbl_Filialy[Филиал], tbl_Filialy[Город])</f>
        <v>Новосибирск</v>
      </c>
      <c r="B2237" s="1" t="s">
        <v>37</v>
      </c>
      <c r="C2237" s="2">
        <v>45984</v>
      </c>
      <c r="D2237" s="2" t="str">
        <f>CHOOSE(MONTH(branches[[#This Row],[Дата]]),"Январь","Февраль","Март","Апрель","Май","Июнь","Июль","Август","Сентябрь","Октябрь","Ноябрь","Декабрь")&amp;" "&amp;YEAR(branches[[#This Row],[Дата]])</f>
        <v>Ноябрь 2025</v>
      </c>
      <c r="E2237" t="s">
        <v>26</v>
      </c>
      <c r="F2237" t="s">
        <v>9</v>
      </c>
      <c r="G2237">
        <v>2</v>
      </c>
      <c r="H2237">
        <v>424</v>
      </c>
      <c r="I2237" t="s">
        <v>13</v>
      </c>
      <c r="J2237" t="str">
        <f>_xlfn.XLOOKUP(branches[[#This Row],[Филиал]], tbl_Filialy[Филиал], tbl_Filialy[Менеджер])</f>
        <v>Ольга Кузнецова</v>
      </c>
    </row>
    <row r="2238" spans="1:10" x14ac:dyDescent="0.3">
      <c r="A2238" t="str">
        <f>_xlfn.XLOOKUP(branches[[#This Row],[Филиал]], tbl_Filialy[Филиал], tbl_Filialy[Город])</f>
        <v>Новосибирск</v>
      </c>
      <c r="B2238" s="1" t="s">
        <v>37</v>
      </c>
      <c r="C2238" s="2">
        <v>45855</v>
      </c>
      <c r="D2238" s="2" t="str">
        <f>CHOOSE(MONTH(branches[[#This Row],[Дата]]),"Январь","Февраль","Март","Апрель","Май","Июнь","Июль","Август","Сентябрь","Октябрь","Ноябрь","Декабрь")&amp;" "&amp;YEAR(branches[[#This Row],[Дата]])</f>
        <v>Июль 2025</v>
      </c>
      <c r="E2238" t="s">
        <v>8</v>
      </c>
      <c r="F2238" t="s">
        <v>9</v>
      </c>
      <c r="G2238">
        <v>3</v>
      </c>
      <c r="H2238">
        <v>825</v>
      </c>
      <c r="I2238" t="s">
        <v>33</v>
      </c>
      <c r="J2238" t="str">
        <f>_xlfn.XLOOKUP(branches[[#This Row],[Филиал]], tbl_Filialy[Филиал], tbl_Filialy[Менеджер])</f>
        <v>Ольга Кузнецова</v>
      </c>
    </row>
    <row r="2239" spans="1:10" x14ac:dyDescent="0.3">
      <c r="A2239" t="str">
        <f>_xlfn.XLOOKUP(branches[[#This Row],[Филиал]], tbl_Filialy[Филиал], tbl_Filialy[Город])</f>
        <v>Новосибирск</v>
      </c>
      <c r="B2239" s="1" t="s">
        <v>37</v>
      </c>
      <c r="C2239" s="2">
        <v>45829</v>
      </c>
      <c r="D2239" s="2" t="str">
        <f>CHOOSE(MONTH(branches[[#This Row],[Дата]]),"Январь","Февраль","Март","Апрель","Май","Июнь","Июль","Август","Сентябрь","Октябрь","Ноябрь","Декабрь")&amp;" "&amp;YEAR(branches[[#This Row],[Дата]])</f>
        <v>Июнь 2025</v>
      </c>
      <c r="E2239" t="s">
        <v>25</v>
      </c>
      <c r="F2239" t="s">
        <v>12</v>
      </c>
      <c r="G2239">
        <v>2</v>
      </c>
      <c r="H2239">
        <v>414</v>
      </c>
      <c r="I2239" t="s">
        <v>19</v>
      </c>
      <c r="J2239" t="str">
        <f>_xlfn.XLOOKUP(branches[[#This Row],[Филиал]], tbl_Filialy[Филиал], tbl_Filialy[Менеджер])</f>
        <v>Ольга Кузнецова</v>
      </c>
    </row>
    <row r="2240" spans="1:10" x14ac:dyDescent="0.3">
      <c r="A2240" t="str">
        <f>_xlfn.XLOOKUP(branches[[#This Row],[Филиал]], tbl_Filialy[Филиал], tbl_Filialy[Город])</f>
        <v>Новосибирск</v>
      </c>
      <c r="B2240" s="1" t="s">
        <v>37</v>
      </c>
      <c r="C2240" s="2">
        <v>45664</v>
      </c>
      <c r="D2240" s="2" t="str">
        <f>CHOOSE(MONTH(branches[[#This Row],[Дата]]),"Январь","Февраль","Март","Апрель","Май","Июнь","Июль","Август","Сентябрь","Октябрь","Ноябрь","Декабрь")&amp;" "&amp;YEAR(branches[[#This Row],[Дата]])</f>
        <v>Январь 2025</v>
      </c>
      <c r="E2240" t="s">
        <v>22</v>
      </c>
      <c r="F2240" t="s">
        <v>9</v>
      </c>
      <c r="G2240">
        <v>1</v>
      </c>
      <c r="H2240">
        <v>168</v>
      </c>
      <c r="I2240" t="s">
        <v>35</v>
      </c>
      <c r="J2240" t="str">
        <f>_xlfn.XLOOKUP(branches[[#This Row],[Филиал]], tbl_Filialy[Филиал], tbl_Filialy[Менеджер])</f>
        <v>Ольга Кузнецова</v>
      </c>
    </row>
    <row r="2241" spans="1:10" x14ac:dyDescent="0.3">
      <c r="A2241" t="str">
        <f>_xlfn.XLOOKUP(branches[[#This Row],[Филиал]], tbl_Filialy[Филиал], tbl_Filialy[Город])</f>
        <v>Новосибирск</v>
      </c>
      <c r="B2241" s="1" t="s">
        <v>37</v>
      </c>
      <c r="C2241" s="2">
        <v>45925</v>
      </c>
      <c r="D2241" s="2" t="str">
        <f>CHOOSE(MONTH(branches[[#This Row],[Дата]]),"Январь","Февраль","Март","Апрель","Май","Июнь","Июль","Август","Сентябрь","Октябрь","Ноябрь","Декабрь")&amp;" "&amp;YEAR(branches[[#This Row],[Дата]])</f>
        <v>Сентябрь 2025</v>
      </c>
      <c r="E2241" t="s">
        <v>8</v>
      </c>
      <c r="F2241" t="s">
        <v>9</v>
      </c>
      <c r="G2241">
        <v>1</v>
      </c>
      <c r="H2241">
        <v>230</v>
      </c>
      <c r="I2241" t="s">
        <v>13</v>
      </c>
      <c r="J2241" t="str">
        <f>_xlfn.XLOOKUP(branches[[#This Row],[Филиал]], tbl_Filialy[Филиал], tbl_Filialy[Менеджер])</f>
        <v>Ольга Кузнецова</v>
      </c>
    </row>
    <row r="2242" spans="1:10" x14ac:dyDescent="0.3">
      <c r="A2242" t="str">
        <f>_xlfn.XLOOKUP(branches[[#This Row],[Филиал]], tbl_Filialy[Филиал], tbl_Filialy[Город])</f>
        <v>Новосибирск</v>
      </c>
      <c r="B2242" s="1" t="s">
        <v>37</v>
      </c>
      <c r="C2242" s="2">
        <v>45738</v>
      </c>
      <c r="D2242" s="2" t="str">
        <f>CHOOSE(MONTH(branches[[#This Row],[Дата]]),"Январь","Февраль","Март","Апрель","Май","Июнь","Июль","Август","Сентябрь","Октябрь","Ноябрь","Декабрь")&amp;" "&amp;YEAR(branches[[#This Row],[Дата]])</f>
        <v>Март 2025</v>
      </c>
      <c r="E2242" t="s">
        <v>8</v>
      </c>
      <c r="F2242" t="s">
        <v>9</v>
      </c>
      <c r="G2242">
        <v>2</v>
      </c>
      <c r="H2242">
        <v>494</v>
      </c>
      <c r="I2242" t="s">
        <v>33</v>
      </c>
      <c r="J2242" t="str">
        <f>_xlfn.XLOOKUP(branches[[#This Row],[Филиал]], tbl_Filialy[Филиал], tbl_Filialy[Менеджер])</f>
        <v>Ольга Кузнецова</v>
      </c>
    </row>
    <row r="2243" spans="1:10" x14ac:dyDescent="0.3">
      <c r="A2243" t="str">
        <f>_xlfn.XLOOKUP(branches[[#This Row],[Филиал]], tbl_Filialy[Филиал], tbl_Filialy[Город])</f>
        <v>Новосибирск</v>
      </c>
      <c r="B2243" s="1" t="s">
        <v>37</v>
      </c>
      <c r="C2243" s="2">
        <v>45995</v>
      </c>
      <c r="D2243" s="2" t="str">
        <f>CHOOSE(MONTH(branches[[#This Row],[Дата]]),"Январь","Февраль","Март","Апрель","Май","Июнь","Июль","Август","Сентябрь","Октябрь","Ноябрь","Декабрь")&amp;" "&amp;YEAR(branches[[#This Row],[Дата]])</f>
        <v>Декабрь 2025</v>
      </c>
      <c r="E2243" t="s">
        <v>28</v>
      </c>
      <c r="F2243" t="s">
        <v>12</v>
      </c>
      <c r="G2243">
        <v>3</v>
      </c>
      <c r="H2243">
        <v>621</v>
      </c>
      <c r="I2243" t="s">
        <v>13</v>
      </c>
      <c r="J2243" t="str">
        <f>_xlfn.XLOOKUP(branches[[#This Row],[Филиал]], tbl_Filialy[Филиал], tbl_Filialy[Менеджер])</f>
        <v>Ольга Кузнецова</v>
      </c>
    </row>
    <row r="2244" spans="1:10" x14ac:dyDescent="0.3">
      <c r="A2244" t="str">
        <f>_xlfn.XLOOKUP(branches[[#This Row],[Филиал]], tbl_Filialy[Филиал], tbl_Filialy[Город])</f>
        <v>Новосибирск</v>
      </c>
      <c r="B2244" s="1" t="s">
        <v>37</v>
      </c>
      <c r="C2244" s="2">
        <v>45663</v>
      </c>
      <c r="D2244" s="2" t="str">
        <f>CHOOSE(MONTH(branches[[#This Row],[Дата]]),"Январь","Февраль","Март","Апрель","Май","Июнь","Июль","Август","Сентябрь","Октябрь","Ноябрь","Декабрь")&amp;" "&amp;YEAR(branches[[#This Row],[Дата]])</f>
        <v>Январь 2025</v>
      </c>
      <c r="E2244" t="s">
        <v>22</v>
      </c>
      <c r="F2244" t="s">
        <v>9</v>
      </c>
      <c r="G2244">
        <v>2</v>
      </c>
      <c r="H2244">
        <v>348</v>
      </c>
      <c r="I2244" t="s">
        <v>32</v>
      </c>
      <c r="J2244" t="str">
        <f>_xlfn.XLOOKUP(branches[[#This Row],[Филиал]], tbl_Filialy[Филиал], tbl_Filialy[Менеджер])</f>
        <v>Ольга Кузнецова</v>
      </c>
    </row>
    <row r="2245" spans="1:10" x14ac:dyDescent="0.3">
      <c r="A2245" t="str">
        <f>_xlfn.XLOOKUP(branches[[#This Row],[Филиал]], tbl_Filialy[Филиал], tbl_Filialy[Город])</f>
        <v>Новосибирск</v>
      </c>
      <c r="B2245" s="1" t="s">
        <v>37</v>
      </c>
      <c r="C2245" s="2">
        <v>45878</v>
      </c>
      <c r="D2245" s="2" t="str">
        <f>CHOOSE(MONTH(branches[[#This Row],[Дата]]),"Январь","Февраль","Март","Апрель","Май","Июнь","Июль","Август","Сентябрь","Октябрь","Ноябрь","Декабрь")&amp;" "&amp;YEAR(branches[[#This Row],[Дата]])</f>
        <v>Август 2025</v>
      </c>
      <c r="E2245" t="s">
        <v>8</v>
      </c>
      <c r="F2245" t="s">
        <v>9</v>
      </c>
      <c r="G2245">
        <v>2</v>
      </c>
      <c r="H2245">
        <v>548</v>
      </c>
      <c r="I2245" t="s">
        <v>19</v>
      </c>
      <c r="J2245" t="str">
        <f>_xlfn.XLOOKUP(branches[[#This Row],[Филиал]], tbl_Filialy[Филиал], tbl_Filialy[Менеджер])</f>
        <v>Ольга Кузнецова</v>
      </c>
    </row>
    <row r="2246" spans="1:10" x14ac:dyDescent="0.3">
      <c r="A2246" t="str">
        <f>_xlfn.XLOOKUP(branches[[#This Row],[Филиал]], tbl_Filialy[Филиал], tbl_Filialy[Город])</f>
        <v>Новосибирск</v>
      </c>
      <c r="B2246" s="1" t="s">
        <v>37</v>
      </c>
      <c r="C2246" s="2">
        <v>45673</v>
      </c>
      <c r="D2246" s="2" t="str">
        <f>CHOOSE(MONTH(branches[[#This Row],[Дата]]),"Январь","Февраль","Март","Апрель","Май","Июнь","Июль","Август","Сентябрь","Октябрь","Ноябрь","Декабрь")&amp;" "&amp;YEAR(branches[[#This Row],[Дата]])</f>
        <v>Январь 2025</v>
      </c>
      <c r="E2246" t="s">
        <v>26</v>
      </c>
      <c r="F2246" t="s">
        <v>9</v>
      </c>
      <c r="G2246">
        <v>1</v>
      </c>
      <c r="H2246">
        <v>219</v>
      </c>
      <c r="I2246" t="s">
        <v>32</v>
      </c>
      <c r="J2246" t="str">
        <f>_xlfn.XLOOKUP(branches[[#This Row],[Филиал]], tbl_Filialy[Филиал], tbl_Filialy[Менеджер])</f>
        <v>Ольга Кузнецова</v>
      </c>
    </row>
    <row r="2247" spans="1:10" x14ac:dyDescent="0.3">
      <c r="A2247" t="str">
        <f>_xlfn.XLOOKUP(branches[[#This Row],[Филиал]], tbl_Filialy[Филиал], tbl_Filialy[Город])</f>
        <v>Новосибирск</v>
      </c>
      <c r="B2247" s="1" t="s">
        <v>37</v>
      </c>
      <c r="C2247" s="2">
        <v>45887</v>
      </c>
      <c r="D2247" s="2" t="str">
        <f>CHOOSE(MONTH(branches[[#This Row],[Дата]]),"Январь","Февраль","Март","Апрель","Май","Июнь","Июль","Август","Сентябрь","Октябрь","Ноябрь","Декабрь")&amp;" "&amp;YEAR(branches[[#This Row],[Дата]])</f>
        <v>Август 2025</v>
      </c>
      <c r="E2247" t="s">
        <v>18</v>
      </c>
      <c r="F2247" t="s">
        <v>12</v>
      </c>
      <c r="G2247">
        <v>2</v>
      </c>
      <c r="H2247">
        <v>280</v>
      </c>
      <c r="I2247" t="s">
        <v>33</v>
      </c>
      <c r="J2247" t="str">
        <f>_xlfn.XLOOKUP(branches[[#This Row],[Филиал]], tbl_Filialy[Филиал], tbl_Filialy[Менеджер])</f>
        <v>Ольга Кузнецова</v>
      </c>
    </row>
    <row r="2248" spans="1:10" x14ac:dyDescent="0.3">
      <c r="A2248" t="str">
        <f>_xlfn.XLOOKUP(branches[[#This Row],[Филиал]], tbl_Filialy[Филиал], tbl_Filialy[Город])</f>
        <v>Новосибирск</v>
      </c>
      <c r="B2248" s="1" t="s">
        <v>37</v>
      </c>
      <c r="C2248" s="2">
        <v>45995</v>
      </c>
      <c r="D2248" s="2" t="str">
        <f>CHOOSE(MONTH(branches[[#This Row],[Дата]]),"Январь","Февраль","Март","Апрель","Май","Июнь","Июль","Август","Сентябрь","Октябрь","Ноябрь","Декабрь")&amp;" "&amp;YEAR(branches[[#This Row],[Дата]])</f>
        <v>Декабрь 2025</v>
      </c>
      <c r="E2248" t="s">
        <v>8</v>
      </c>
      <c r="F2248" t="s">
        <v>9</v>
      </c>
      <c r="G2248">
        <v>1</v>
      </c>
      <c r="H2248">
        <v>277</v>
      </c>
      <c r="I2248" t="s">
        <v>33</v>
      </c>
      <c r="J2248" t="str">
        <f>_xlfn.XLOOKUP(branches[[#This Row],[Филиал]], tbl_Filialy[Филиал], tbl_Filialy[Менеджер])</f>
        <v>Ольга Кузнецова</v>
      </c>
    </row>
    <row r="2249" spans="1:10" x14ac:dyDescent="0.3">
      <c r="A2249" t="str">
        <f>_xlfn.XLOOKUP(branches[[#This Row],[Филиал]], tbl_Filialy[Филиал], tbl_Filialy[Город])</f>
        <v>Новосибирск</v>
      </c>
      <c r="B2249" s="1" t="s">
        <v>37</v>
      </c>
      <c r="C2249" s="2">
        <v>45915</v>
      </c>
      <c r="D2249" s="2" t="str">
        <f>CHOOSE(MONTH(branches[[#This Row],[Дата]]),"Январь","Февраль","Март","Апрель","Май","Июнь","Июль","Август","Сентябрь","Октябрь","Ноябрь","Декабрь")&amp;" "&amp;YEAR(branches[[#This Row],[Дата]])</f>
        <v>Сентябрь 2025</v>
      </c>
      <c r="E2249" t="s">
        <v>16</v>
      </c>
      <c r="F2249" t="s">
        <v>17</v>
      </c>
      <c r="G2249">
        <v>2</v>
      </c>
      <c r="H2249">
        <v>662</v>
      </c>
      <c r="I2249" t="s">
        <v>13</v>
      </c>
      <c r="J2249" t="str">
        <f>_xlfn.XLOOKUP(branches[[#This Row],[Филиал]], tbl_Filialy[Филиал], tbl_Filialy[Менеджер])</f>
        <v>Ольга Кузнецова</v>
      </c>
    </row>
    <row r="2250" spans="1:10" x14ac:dyDescent="0.3">
      <c r="A2250" t="str">
        <f>_xlfn.XLOOKUP(branches[[#This Row],[Филиал]], tbl_Filialy[Филиал], tbl_Filialy[Город])</f>
        <v>Новосибирск</v>
      </c>
      <c r="B2250" s="1" t="s">
        <v>37</v>
      </c>
      <c r="C2250" s="2">
        <v>45831</v>
      </c>
      <c r="D2250" s="2" t="str">
        <f>CHOOSE(MONTH(branches[[#This Row],[Дата]]),"Январь","Февраль","Март","Апрель","Май","Июнь","Июль","Август","Сентябрь","Октябрь","Ноябрь","Декабрь")&amp;" "&amp;YEAR(branches[[#This Row],[Дата]])</f>
        <v>Июнь 2025</v>
      </c>
      <c r="E2250" t="s">
        <v>24</v>
      </c>
      <c r="F2250" t="s">
        <v>17</v>
      </c>
      <c r="G2250">
        <v>2</v>
      </c>
      <c r="H2250">
        <v>700</v>
      </c>
      <c r="I2250" t="s">
        <v>34</v>
      </c>
      <c r="J2250" t="str">
        <f>_xlfn.XLOOKUP(branches[[#This Row],[Филиал]], tbl_Filialy[Филиал], tbl_Filialy[Менеджер])</f>
        <v>Ольга Кузнецова</v>
      </c>
    </row>
    <row r="2251" spans="1:10" x14ac:dyDescent="0.3">
      <c r="A2251" t="str">
        <f>_xlfn.XLOOKUP(branches[[#This Row],[Филиал]], tbl_Filialy[Филиал], tbl_Filialy[Город])</f>
        <v>Новосибирск</v>
      </c>
      <c r="B2251" s="1" t="s">
        <v>37</v>
      </c>
      <c r="C2251" s="2">
        <v>45799</v>
      </c>
      <c r="D2251" s="2" t="str">
        <f>CHOOSE(MONTH(branches[[#This Row],[Дата]]),"Январь","Февраль","Март","Апрель","Май","Июнь","Июль","Август","Сентябрь","Октябрь","Ноябрь","Декабрь")&amp;" "&amp;YEAR(branches[[#This Row],[Дата]])</f>
        <v>Май 2025</v>
      </c>
      <c r="E2251" t="s">
        <v>8</v>
      </c>
      <c r="F2251" t="s">
        <v>9</v>
      </c>
      <c r="G2251">
        <v>2</v>
      </c>
      <c r="H2251">
        <v>550</v>
      </c>
      <c r="I2251" t="s">
        <v>19</v>
      </c>
      <c r="J2251" t="str">
        <f>_xlfn.XLOOKUP(branches[[#This Row],[Филиал]], tbl_Filialy[Филиал], tbl_Filialy[Менеджер])</f>
        <v>Ольга Кузнецова</v>
      </c>
    </row>
    <row r="2252" spans="1:10" x14ac:dyDescent="0.3">
      <c r="A2252" t="str">
        <f>_xlfn.XLOOKUP(branches[[#This Row],[Филиал]], tbl_Filialy[Филиал], tbl_Filialy[Город])</f>
        <v>Новосибирск</v>
      </c>
      <c r="B2252" s="1" t="s">
        <v>37</v>
      </c>
      <c r="C2252" s="2">
        <v>45758</v>
      </c>
      <c r="D2252" s="2" t="str">
        <f>CHOOSE(MONTH(branches[[#This Row],[Дата]]),"Январь","Февраль","Март","Апрель","Май","Июнь","Июль","Август","Сентябрь","Октябрь","Ноябрь","Декабрь")&amp;" "&amp;YEAR(branches[[#This Row],[Дата]])</f>
        <v>Апрель 2025</v>
      </c>
      <c r="E2252" t="s">
        <v>14</v>
      </c>
      <c r="F2252" t="s">
        <v>12</v>
      </c>
      <c r="G2252">
        <v>2</v>
      </c>
      <c r="H2252">
        <v>470</v>
      </c>
      <c r="I2252" t="s">
        <v>33</v>
      </c>
      <c r="J2252" t="str">
        <f>_xlfn.XLOOKUP(branches[[#This Row],[Филиал]], tbl_Filialy[Филиал], tbl_Filialy[Менеджер])</f>
        <v>Ольга Кузнецова</v>
      </c>
    </row>
    <row r="2253" spans="1:10" x14ac:dyDescent="0.3">
      <c r="A2253" t="str">
        <f>_xlfn.XLOOKUP(branches[[#This Row],[Филиал]], tbl_Filialy[Филиал], tbl_Filialy[Город])</f>
        <v>Новосибирск</v>
      </c>
      <c r="B2253" s="1" t="s">
        <v>37</v>
      </c>
      <c r="C2253" s="2">
        <v>45912</v>
      </c>
      <c r="D2253" s="2" t="str">
        <f>CHOOSE(MONTH(branches[[#This Row],[Дата]]),"Январь","Февраль","Март","Апрель","Май","Июнь","Июль","Август","Сентябрь","Октябрь","Ноябрь","Декабрь")&amp;" "&amp;YEAR(branches[[#This Row],[Дата]])</f>
        <v>Сентябрь 2025</v>
      </c>
      <c r="E2253" t="s">
        <v>14</v>
      </c>
      <c r="F2253" t="s">
        <v>12</v>
      </c>
      <c r="G2253">
        <v>1</v>
      </c>
      <c r="H2253">
        <v>280</v>
      </c>
      <c r="I2253" t="s">
        <v>33</v>
      </c>
      <c r="J2253" t="str">
        <f>_xlfn.XLOOKUP(branches[[#This Row],[Филиал]], tbl_Filialy[Филиал], tbl_Filialy[Менеджер])</f>
        <v>Ольга Кузнецова</v>
      </c>
    </row>
    <row r="2254" spans="1:10" x14ac:dyDescent="0.3">
      <c r="A2254" t="str">
        <f>_xlfn.XLOOKUP(branches[[#This Row],[Филиал]], tbl_Filialy[Филиал], tbl_Filialy[Город])</f>
        <v>Новосибирск</v>
      </c>
      <c r="B2254" s="1" t="s">
        <v>37</v>
      </c>
      <c r="C2254" s="2">
        <v>45659</v>
      </c>
      <c r="D2254" s="2" t="str">
        <f>CHOOSE(MONTH(branches[[#This Row],[Дата]]),"Январь","Февраль","Март","Апрель","Май","Июнь","Июль","Август","Сентябрь","Октябрь","Ноябрь","Декабрь")&amp;" "&amp;YEAR(branches[[#This Row],[Дата]])</f>
        <v>Январь 2025</v>
      </c>
      <c r="E2254" t="s">
        <v>16</v>
      </c>
      <c r="F2254" t="s">
        <v>17</v>
      </c>
      <c r="G2254">
        <v>1</v>
      </c>
      <c r="H2254">
        <v>320</v>
      </c>
      <c r="I2254" t="s">
        <v>33</v>
      </c>
      <c r="J2254" t="str">
        <f>_xlfn.XLOOKUP(branches[[#This Row],[Филиал]], tbl_Filialy[Филиал], tbl_Filialy[Менеджер])</f>
        <v>Ольга Кузнецова</v>
      </c>
    </row>
    <row r="2255" spans="1:10" x14ac:dyDescent="0.3">
      <c r="A2255" t="str">
        <f>_xlfn.XLOOKUP(branches[[#This Row],[Филиал]], tbl_Filialy[Филиал], tbl_Filialy[Город])</f>
        <v>Новосибирск</v>
      </c>
      <c r="B2255" s="1" t="s">
        <v>37</v>
      </c>
      <c r="C2255" s="2">
        <v>45809</v>
      </c>
      <c r="D2255" s="2" t="str">
        <f>CHOOSE(MONTH(branches[[#This Row],[Дата]]),"Январь","Февраль","Март","Апрель","Май","Июнь","Июль","Август","Сентябрь","Октябрь","Ноябрь","Декабрь")&amp;" "&amp;YEAR(branches[[#This Row],[Дата]])</f>
        <v>Июнь 2025</v>
      </c>
      <c r="E2255" t="s">
        <v>11</v>
      </c>
      <c r="F2255" t="s">
        <v>12</v>
      </c>
      <c r="G2255">
        <v>2</v>
      </c>
      <c r="H2255">
        <v>326</v>
      </c>
      <c r="I2255" t="s">
        <v>13</v>
      </c>
      <c r="J2255" t="str">
        <f>_xlfn.XLOOKUP(branches[[#This Row],[Филиал]], tbl_Filialy[Филиал], tbl_Filialy[Менеджер])</f>
        <v>Ольга Кузнецова</v>
      </c>
    </row>
    <row r="2256" spans="1:10" x14ac:dyDescent="0.3">
      <c r="A2256" t="str">
        <f>_xlfn.XLOOKUP(branches[[#This Row],[Филиал]], tbl_Filialy[Филиал], tbl_Filialy[Город])</f>
        <v>Новосибирск</v>
      </c>
      <c r="B2256" s="1" t="s">
        <v>37</v>
      </c>
      <c r="C2256" s="2">
        <v>45801</v>
      </c>
      <c r="D2256" s="2" t="str">
        <f>CHOOSE(MONTH(branches[[#This Row],[Дата]]),"Январь","Февраль","Март","Апрель","Май","Июнь","Июль","Август","Сентябрь","Октябрь","Ноябрь","Декабрь")&amp;" "&amp;YEAR(branches[[#This Row],[Дата]])</f>
        <v>Май 2025</v>
      </c>
      <c r="E2256" t="s">
        <v>18</v>
      </c>
      <c r="F2256" t="s">
        <v>12</v>
      </c>
      <c r="G2256">
        <v>2</v>
      </c>
      <c r="H2256">
        <v>318</v>
      </c>
      <c r="I2256" t="s">
        <v>33</v>
      </c>
      <c r="J2256" t="str">
        <f>_xlfn.XLOOKUP(branches[[#This Row],[Филиал]], tbl_Filialy[Филиал], tbl_Filialy[Менеджер])</f>
        <v>Ольга Кузнецова</v>
      </c>
    </row>
    <row r="2257" spans="1:10" x14ac:dyDescent="0.3">
      <c r="A2257" t="str">
        <f>_xlfn.XLOOKUP(branches[[#This Row],[Филиал]], tbl_Filialy[Филиал], tbl_Filialy[Город])</f>
        <v>Новосибирск</v>
      </c>
      <c r="B2257" s="1" t="s">
        <v>37</v>
      </c>
      <c r="C2257" s="2">
        <v>45854</v>
      </c>
      <c r="D2257" s="2" t="str">
        <f>CHOOSE(MONTH(branches[[#This Row],[Дата]]),"Январь","Февраль","Март","Апрель","Май","Июнь","Июль","Август","Сентябрь","Октябрь","Ноябрь","Декабрь")&amp;" "&amp;YEAR(branches[[#This Row],[Дата]])</f>
        <v>Июль 2025</v>
      </c>
      <c r="E2257" t="s">
        <v>16</v>
      </c>
      <c r="F2257" t="s">
        <v>17</v>
      </c>
      <c r="G2257">
        <v>1</v>
      </c>
      <c r="H2257">
        <v>347</v>
      </c>
      <c r="I2257" t="s">
        <v>13</v>
      </c>
      <c r="J2257" t="str">
        <f>_xlfn.XLOOKUP(branches[[#This Row],[Филиал]], tbl_Filialy[Филиал], tbl_Filialy[Менеджер])</f>
        <v>Ольга Кузнецова</v>
      </c>
    </row>
    <row r="2258" spans="1:10" x14ac:dyDescent="0.3">
      <c r="A2258" t="str">
        <f>_xlfn.XLOOKUP(branches[[#This Row],[Филиал]], tbl_Filialy[Филиал], tbl_Filialy[Город])</f>
        <v>Новосибирск</v>
      </c>
      <c r="B2258" s="1" t="s">
        <v>37</v>
      </c>
      <c r="C2258" s="2">
        <v>45727</v>
      </c>
      <c r="D2258" s="2" t="str">
        <f>CHOOSE(MONTH(branches[[#This Row],[Дата]]),"Январь","Февраль","Март","Апрель","Май","Июнь","Июль","Август","Сентябрь","Октябрь","Ноябрь","Декабрь")&amp;" "&amp;YEAR(branches[[#This Row],[Дата]])</f>
        <v>Март 2025</v>
      </c>
      <c r="E2258" t="s">
        <v>14</v>
      </c>
      <c r="F2258" t="s">
        <v>12</v>
      </c>
      <c r="G2258">
        <v>1</v>
      </c>
      <c r="H2258">
        <v>266</v>
      </c>
      <c r="I2258" t="s">
        <v>33</v>
      </c>
      <c r="J2258" t="str">
        <f>_xlfn.XLOOKUP(branches[[#This Row],[Филиал]], tbl_Filialy[Филиал], tbl_Filialy[Менеджер])</f>
        <v>Ольга Кузнецова</v>
      </c>
    </row>
    <row r="2259" spans="1:10" x14ac:dyDescent="0.3">
      <c r="A2259" t="str">
        <f>_xlfn.XLOOKUP(branches[[#This Row],[Филиал]], tbl_Filialy[Филиал], tbl_Filialy[Город])</f>
        <v>Новосибирск</v>
      </c>
      <c r="B2259" s="1" t="s">
        <v>37</v>
      </c>
      <c r="C2259" s="2">
        <v>45973</v>
      </c>
      <c r="D2259" s="2" t="str">
        <f>CHOOSE(MONTH(branches[[#This Row],[Дата]]),"Январь","Февраль","Март","Апрель","Май","Июнь","Июль","Август","Сентябрь","Октябрь","Ноябрь","Декабрь")&amp;" "&amp;YEAR(branches[[#This Row],[Дата]])</f>
        <v>Ноябрь 2025</v>
      </c>
      <c r="E2259" t="s">
        <v>14</v>
      </c>
      <c r="F2259" t="s">
        <v>12</v>
      </c>
      <c r="G2259">
        <v>2</v>
      </c>
      <c r="H2259">
        <v>506</v>
      </c>
      <c r="I2259" t="s">
        <v>13</v>
      </c>
      <c r="J2259" t="str">
        <f>_xlfn.XLOOKUP(branches[[#This Row],[Филиал]], tbl_Filialy[Филиал], tbl_Filialy[Менеджер])</f>
        <v>Ольга Кузнецова</v>
      </c>
    </row>
    <row r="2260" spans="1:10" x14ac:dyDescent="0.3">
      <c r="A2260" t="str">
        <f>_xlfn.XLOOKUP(branches[[#This Row],[Филиал]], tbl_Filialy[Филиал], tbl_Filialy[Город])</f>
        <v>Новосибирск</v>
      </c>
      <c r="B2260" s="1" t="s">
        <v>37</v>
      </c>
      <c r="C2260" s="2">
        <v>45758</v>
      </c>
      <c r="D2260" s="2" t="str">
        <f>CHOOSE(MONTH(branches[[#This Row],[Дата]]),"Январь","Февраль","Март","Апрель","Май","Июнь","Июль","Август","Сентябрь","Октябрь","Ноябрь","Декабрь")&amp;" "&amp;YEAR(branches[[#This Row],[Дата]])</f>
        <v>Апрель 2025</v>
      </c>
      <c r="E2260" t="s">
        <v>11</v>
      </c>
      <c r="F2260" t="s">
        <v>12</v>
      </c>
      <c r="G2260">
        <v>2</v>
      </c>
      <c r="H2260">
        <v>364</v>
      </c>
      <c r="I2260" t="s">
        <v>32</v>
      </c>
      <c r="J2260" t="str">
        <f>_xlfn.XLOOKUP(branches[[#This Row],[Филиал]], tbl_Filialy[Филиал], tbl_Filialy[Менеджер])</f>
        <v>Ольга Кузнецова</v>
      </c>
    </row>
    <row r="2261" spans="1:10" x14ac:dyDescent="0.3">
      <c r="A2261" t="str">
        <f>_xlfn.XLOOKUP(branches[[#This Row],[Филиал]], tbl_Filialy[Филиал], tbl_Filialy[Город])</f>
        <v>Новосибирск</v>
      </c>
      <c r="B2261" s="1" t="s">
        <v>37</v>
      </c>
      <c r="C2261" s="2">
        <v>46003</v>
      </c>
      <c r="D2261" s="2" t="str">
        <f>CHOOSE(MONTH(branches[[#This Row],[Дата]]),"Январь","Февраль","Март","Апрель","Май","Июнь","Июль","Август","Сентябрь","Октябрь","Ноябрь","Декабрь")&amp;" "&amp;YEAR(branches[[#This Row],[Дата]])</f>
        <v>Декабрь 2025</v>
      </c>
      <c r="E2261" t="s">
        <v>18</v>
      </c>
      <c r="F2261" t="s">
        <v>12</v>
      </c>
      <c r="G2261">
        <v>2</v>
      </c>
      <c r="H2261">
        <v>318</v>
      </c>
      <c r="I2261" t="s">
        <v>33</v>
      </c>
      <c r="J2261" t="str">
        <f>_xlfn.XLOOKUP(branches[[#This Row],[Филиал]], tbl_Filialy[Филиал], tbl_Filialy[Менеджер])</f>
        <v>Ольга Кузнецова</v>
      </c>
    </row>
    <row r="2262" spans="1:10" x14ac:dyDescent="0.3">
      <c r="A2262" t="str">
        <f>_xlfn.XLOOKUP(branches[[#This Row],[Филиал]], tbl_Filialy[Филиал], tbl_Filialy[Город])</f>
        <v>Новосибирск</v>
      </c>
      <c r="B2262" s="1" t="s">
        <v>37</v>
      </c>
      <c r="C2262" s="2">
        <v>45796</v>
      </c>
      <c r="D2262" s="2" t="str">
        <f>CHOOSE(MONTH(branches[[#This Row],[Дата]]),"Январь","Февраль","Март","Апрель","Май","Июнь","Июль","Август","Сентябрь","Октябрь","Ноябрь","Декабрь")&amp;" "&amp;YEAR(branches[[#This Row],[Дата]])</f>
        <v>Май 2025</v>
      </c>
      <c r="E2262" t="s">
        <v>18</v>
      </c>
      <c r="F2262" t="s">
        <v>12</v>
      </c>
      <c r="G2262">
        <v>3</v>
      </c>
      <c r="H2262">
        <v>459</v>
      </c>
      <c r="I2262" t="s">
        <v>33</v>
      </c>
      <c r="J2262" t="str">
        <f>_xlfn.XLOOKUP(branches[[#This Row],[Филиал]], tbl_Filialy[Филиал], tbl_Filialy[Менеджер])</f>
        <v>Ольга Кузнецова</v>
      </c>
    </row>
    <row r="2263" spans="1:10" x14ac:dyDescent="0.3">
      <c r="A2263" t="str">
        <f>_xlfn.XLOOKUP(branches[[#This Row],[Филиал]], tbl_Filialy[Филиал], tbl_Filialy[Город])</f>
        <v>Новосибирск</v>
      </c>
      <c r="B2263" s="1" t="s">
        <v>37</v>
      </c>
      <c r="C2263" s="2">
        <v>45760</v>
      </c>
      <c r="D2263" s="2" t="str">
        <f>CHOOSE(MONTH(branches[[#This Row],[Дата]]),"Январь","Февраль","Март","Апрель","Май","Июнь","Июль","Август","Сентябрь","Октябрь","Ноябрь","Декабрь")&amp;" "&amp;YEAR(branches[[#This Row],[Дата]])</f>
        <v>Апрель 2025</v>
      </c>
      <c r="E2263" t="s">
        <v>26</v>
      </c>
      <c r="F2263" t="s">
        <v>9</v>
      </c>
      <c r="G2263">
        <v>2</v>
      </c>
      <c r="H2263">
        <v>466</v>
      </c>
      <c r="I2263" t="s">
        <v>19</v>
      </c>
      <c r="J2263" t="str">
        <f>_xlfn.XLOOKUP(branches[[#This Row],[Филиал]], tbl_Filialy[Филиал], tbl_Filialy[Менеджер])</f>
        <v>Ольга Кузнецова</v>
      </c>
    </row>
    <row r="2264" spans="1:10" x14ac:dyDescent="0.3">
      <c r="A2264" t="str">
        <f>_xlfn.XLOOKUP(branches[[#This Row],[Филиал]], tbl_Filialy[Филиал], tbl_Filialy[Город])</f>
        <v>Новосибирск</v>
      </c>
      <c r="B2264" s="1" t="s">
        <v>37</v>
      </c>
      <c r="C2264" s="2">
        <v>45771</v>
      </c>
      <c r="D2264" s="2" t="str">
        <f>CHOOSE(MONTH(branches[[#This Row],[Дата]]),"Январь","Февраль","Март","Апрель","Май","Июнь","Июль","Август","Сентябрь","Октябрь","Ноябрь","Декабрь")&amp;" "&amp;YEAR(branches[[#This Row],[Дата]])</f>
        <v>Апрель 2025</v>
      </c>
      <c r="E2264" t="s">
        <v>18</v>
      </c>
      <c r="F2264" t="s">
        <v>12</v>
      </c>
      <c r="G2264">
        <v>2</v>
      </c>
      <c r="H2264">
        <v>250</v>
      </c>
      <c r="I2264" t="s">
        <v>13</v>
      </c>
      <c r="J2264" t="str">
        <f>_xlfn.XLOOKUP(branches[[#This Row],[Филиал]], tbl_Filialy[Филиал], tbl_Filialy[Менеджер])</f>
        <v>Ольга Кузнецова</v>
      </c>
    </row>
    <row r="2265" spans="1:10" x14ac:dyDescent="0.3">
      <c r="A2265" t="str">
        <f>_xlfn.XLOOKUP(branches[[#This Row],[Филиал]], tbl_Filialy[Филиал], tbl_Filialy[Город])</f>
        <v>Новосибирск</v>
      </c>
      <c r="B2265" s="1" t="s">
        <v>37</v>
      </c>
      <c r="C2265" s="2">
        <v>45820</v>
      </c>
      <c r="D2265" s="2" t="str">
        <f>CHOOSE(MONTH(branches[[#This Row],[Дата]]),"Январь","Февраль","Март","Апрель","Май","Июнь","Июль","Август","Сентябрь","Октябрь","Ноябрь","Декабрь")&amp;" "&amp;YEAR(branches[[#This Row],[Дата]])</f>
        <v>Июнь 2025</v>
      </c>
      <c r="E2265" t="s">
        <v>28</v>
      </c>
      <c r="F2265" t="s">
        <v>12</v>
      </c>
      <c r="G2265">
        <v>3</v>
      </c>
      <c r="H2265">
        <v>630</v>
      </c>
      <c r="I2265" t="s">
        <v>33</v>
      </c>
      <c r="J2265" t="str">
        <f>_xlfn.XLOOKUP(branches[[#This Row],[Филиал]], tbl_Filialy[Филиал], tbl_Filialy[Менеджер])</f>
        <v>Ольга Кузнецова</v>
      </c>
    </row>
    <row r="2266" spans="1:10" x14ac:dyDescent="0.3">
      <c r="A2266" t="str">
        <f>_xlfn.XLOOKUP(branches[[#This Row],[Филиал]], tbl_Filialy[Филиал], tbl_Filialy[Город])</f>
        <v>Новосибирск</v>
      </c>
      <c r="B2266" s="1" t="s">
        <v>37</v>
      </c>
      <c r="C2266" s="2">
        <v>45762</v>
      </c>
      <c r="D2266" s="2" t="str">
        <f>CHOOSE(MONTH(branches[[#This Row],[Дата]]),"Январь","Февраль","Март","Апрель","Май","Июнь","Июль","Август","Сентябрь","Октябрь","Ноябрь","Декабрь")&amp;" "&amp;YEAR(branches[[#This Row],[Дата]])</f>
        <v>Апрель 2025</v>
      </c>
      <c r="E2266" t="s">
        <v>20</v>
      </c>
      <c r="F2266" t="s">
        <v>12</v>
      </c>
      <c r="G2266">
        <v>1</v>
      </c>
      <c r="H2266">
        <v>311</v>
      </c>
      <c r="I2266" t="s">
        <v>35</v>
      </c>
      <c r="J2266" t="str">
        <f>_xlfn.XLOOKUP(branches[[#This Row],[Филиал]], tbl_Filialy[Филиал], tbl_Filialy[Менеджер])</f>
        <v>Ольга Кузнецова</v>
      </c>
    </row>
    <row r="2267" spans="1:10" x14ac:dyDescent="0.3">
      <c r="A2267" t="str">
        <f>_xlfn.XLOOKUP(branches[[#This Row],[Филиал]], tbl_Filialy[Филиал], tbl_Filialy[Город])</f>
        <v>Новосибирск</v>
      </c>
      <c r="B2267" s="1" t="s">
        <v>37</v>
      </c>
      <c r="C2267" s="2">
        <v>45736</v>
      </c>
      <c r="D2267" s="2" t="str">
        <f>CHOOSE(MONTH(branches[[#This Row],[Дата]]),"Январь","Февраль","Март","Апрель","Май","Июнь","Июль","Август","Сентябрь","Октябрь","Ноябрь","Декабрь")&amp;" "&amp;YEAR(branches[[#This Row],[Дата]])</f>
        <v>Март 2025</v>
      </c>
      <c r="E2267" t="s">
        <v>22</v>
      </c>
      <c r="F2267" t="s">
        <v>9</v>
      </c>
      <c r="G2267">
        <v>1</v>
      </c>
      <c r="H2267">
        <v>177</v>
      </c>
      <c r="I2267" t="s">
        <v>13</v>
      </c>
      <c r="J2267" t="str">
        <f>_xlfn.XLOOKUP(branches[[#This Row],[Филиал]], tbl_Filialy[Филиал], tbl_Filialy[Менеджер])</f>
        <v>Ольга Кузнецова</v>
      </c>
    </row>
    <row r="2268" spans="1:10" x14ac:dyDescent="0.3">
      <c r="A2268" t="str">
        <f>_xlfn.XLOOKUP(branches[[#This Row],[Филиал]], tbl_Filialy[Филиал], tbl_Filialy[Город])</f>
        <v>Новосибирск</v>
      </c>
      <c r="B2268" s="1" t="s">
        <v>37</v>
      </c>
      <c r="C2268" s="2">
        <v>45707</v>
      </c>
      <c r="D2268" s="2" t="str">
        <f>CHOOSE(MONTH(branches[[#This Row],[Дата]]),"Январь","Февраль","Март","Апрель","Май","Июнь","Июль","Август","Сентябрь","Октябрь","Ноябрь","Декабрь")&amp;" "&amp;YEAR(branches[[#This Row],[Дата]])</f>
        <v>Февраль 2025</v>
      </c>
      <c r="E2268" t="s">
        <v>22</v>
      </c>
      <c r="F2268" t="s">
        <v>9</v>
      </c>
      <c r="G2268">
        <v>1</v>
      </c>
      <c r="H2268">
        <v>190</v>
      </c>
      <c r="I2268" t="s">
        <v>19</v>
      </c>
      <c r="J2268" t="str">
        <f>_xlfn.XLOOKUP(branches[[#This Row],[Филиал]], tbl_Filialy[Филиал], tbl_Filialy[Менеджер])</f>
        <v>Ольга Кузнецова</v>
      </c>
    </row>
    <row r="2269" spans="1:10" x14ac:dyDescent="0.3">
      <c r="A2269" t="str">
        <f>_xlfn.XLOOKUP(branches[[#This Row],[Филиал]], tbl_Filialy[Филиал], tbl_Filialy[Город])</f>
        <v>Новосибирск</v>
      </c>
      <c r="B2269" s="1" t="s">
        <v>37</v>
      </c>
      <c r="C2269" s="2">
        <v>45701</v>
      </c>
      <c r="D2269" s="2" t="str">
        <f>CHOOSE(MONTH(branches[[#This Row],[Дата]]),"Январь","Февраль","Март","Апрель","Май","Июнь","Июль","Август","Сентябрь","Октябрь","Ноябрь","Декабрь")&amp;" "&amp;YEAR(branches[[#This Row],[Дата]])</f>
        <v>Февраль 2025</v>
      </c>
      <c r="E2269" t="s">
        <v>18</v>
      </c>
      <c r="F2269" t="s">
        <v>12</v>
      </c>
      <c r="G2269">
        <v>1</v>
      </c>
      <c r="H2269">
        <v>129</v>
      </c>
      <c r="I2269" t="s">
        <v>34</v>
      </c>
      <c r="J2269" t="str">
        <f>_xlfn.XLOOKUP(branches[[#This Row],[Филиал]], tbl_Filialy[Филиал], tbl_Filialy[Менеджер])</f>
        <v>Ольга Кузнецова</v>
      </c>
    </row>
    <row r="2270" spans="1:10" x14ac:dyDescent="0.3">
      <c r="A2270" t="str">
        <f>_xlfn.XLOOKUP(branches[[#This Row],[Филиал]], tbl_Filialy[Филиал], tbl_Filialy[Город])</f>
        <v>Новосибирск</v>
      </c>
      <c r="B2270" s="1" t="s">
        <v>37</v>
      </c>
      <c r="C2270" s="2">
        <v>45905</v>
      </c>
      <c r="D2270" s="2" t="str">
        <f>CHOOSE(MONTH(branches[[#This Row],[Дата]]),"Январь","Февраль","Март","Апрель","Май","Июнь","Июль","Август","Сентябрь","Октябрь","Ноябрь","Декабрь")&amp;" "&amp;YEAR(branches[[#This Row],[Дата]])</f>
        <v>Сентябрь 2025</v>
      </c>
      <c r="E2270" t="s">
        <v>25</v>
      </c>
      <c r="F2270" t="s">
        <v>12</v>
      </c>
      <c r="G2270">
        <v>1</v>
      </c>
      <c r="H2270">
        <v>237</v>
      </c>
      <c r="I2270" t="s">
        <v>34</v>
      </c>
      <c r="J2270" t="str">
        <f>_xlfn.XLOOKUP(branches[[#This Row],[Филиал]], tbl_Filialy[Филиал], tbl_Filialy[Менеджер])</f>
        <v>Ольга Кузнецова</v>
      </c>
    </row>
    <row r="2271" spans="1:10" x14ac:dyDescent="0.3">
      <c r="A2271" t="str">
        <f>_xlfn.XLOOKUP(branches[[#This Row],[Филиал]], tbl_Filialy[Филиал], tbl_Filialy[Город])</f>
        <v>Новосибирск</v>
      </c>
      <c r="B2271" s="1" t="s">
        <v>37</v>
      </c>
      <c r="C2271" s="2">
        <v>45740</v>
      </c>
      <c r="D2271" s="2" t="str">
        <f>CHOOSE(MONTH(branches[[#This Row],[Дата]]),"Январь","Февраль","Март","Апрель","Май","Июнь","Июль","Август","Сентябрь","Октябрь","Ноябрь","Декабрь")&amp;" "&amp;YEAR(branches[[#This Row],[Дата]])</f>
        <v>Март 2025</v>
      </c>
      <c r="E2271" t="s">
        <v>18</v>
      </c>
      <c r="F2271" t="s">
        <v>12</v>
      </c>
      <c r="G2271">
        <v>1</v>
      </c>
      <c r="H2271">
        <v>132</v>
      </c>
      <c r="I2271" t="s">
        <v>35</v>
      </c>
      <c r="J2271" t="str">
        <f>_xlfn.XLOOKUP(branches[[#This Row],[Филиал]], tbl_Filialy[Филиал], tbl_Filialy[Менеджер])</f>
        <v>Ольга Кузнецова</v>
      </c>
    </row>
    <row r="2272" spans="1:10" x14ac:dyDescent="0.3">
      <c r="A2272" t="str">
        <f>_xlfn.XLOOKUP(branches[[#This Row],[Филиал]], tbl_Filialy[Филиал], tbl_Filialy[Город])</f>
        <v>Новосибирск</v>
      </c>
      <c r="B2272" s="1" t="s">
        <v>37</v>
      </c>
      <c r="C2272" s="2">
        <v>45943</v>
      </c>
      <c r="D2272" s="2" t="str">
        <f>CHOOSE(MONTH(branches[[#This Row],[Дата]]),"Январь","Февраль","Март","Апрель","Май","Июнь","Июль","Август","Сентябрь","Октябрь","Ноябрь","Декабрь")&amp;" "&amp;YEAR(branches[[#This Row],[Дата]])</f>
        <v>Октябрь 2025</v>
      </c>
      <c r="E2272" t="s">
        <v>11</v>
      </c>
      <c r="F2272" t="s">
        <v>12</v>
      </c>
      <c r="G2272">
        <v>3</v>
      </c>
      <c r="H2272">
        <v>513</v>
      </c>
      <c r="I2272" t="s">
        <v>34</v>
      </c>
      <c r="J2272" t="str">
        <f>_xlfn.XLOOKUP(branches[[#This Row],[Филиал]], tbl_Filialy[Филиал], tbl_Filialy[Менеджер])</f>
        <v>Ольга Кузнецова</v>
      </c>
    </row>
    <row r="2273" spans="1:10" x14ac:dyDescent="0.3">
      <c r="A2273" t="str">
        <f>_xlfn.XLOOKUP(branches[[#This Row],[Филиал]], tbl_Filialy[Филиал], tbl_Filialy[Город])</f>
        <v>Новосибирск</v>
      </c>
      <c r="B2273" s="1" t="s">
        <v>37</v>
      </c>
      <c r="C2273" s="2">
        <v>45862</v>
      </c>
      <c r="D2273" s="2" t="str">
        <f>CHOOSE(MONTH(branches[[#This Row],[Дата]]),"Январь","Февраль","Март","Апрель","Май","Июнь","Июль","Август","Сентябрь","Октябрь","Ноябрь","Декабрь")&amp;" "&amp;YEAR(branches[[#This Row],[Дата]])</f>
        <v>Июль 2025</v>
      </c>
      <c r="E2273" t="s">
        <v>11</v>
      </c>
      <c r="F2273" t="s">
        <v>12</v>
      </c>
      <c r="G2273">
        <v>1</v>
      </c>
      <c r="H2273">
        <v>166</v>
      </c>
      <c r="I2273" t="s">
        <v>32</v>
      </c>
      <c r="J2273" t="str">
        <f>_xlfn.XLOOKUP(branches[[#This Row],[Филиал]], tbl_Filialy[Филиал], tbl_Filialy[Менеджер])</f>
        <v>Ольга Кузнецова</v>
      </c>
    </row>
    <row r="2274" spans="1:10" x14ac:dyDescent="0.3">
      <c r="A2274" t="str">
        <f>_xlfn.XLOOKUP(branches[[#This Row],[Филиал]], tbl_Filialy[Филиал], tbl_Filialy[Город])</f>
        <v>Новосибирск</v>
      </c>
      <c r="B2274" s="1" t="s">
        <v>37</v>
      </c>
      <c r="C2274" s="2">
        <v>45664</v>
      </c>
      <c r="D2274" s="2" t="str">
        <f>CHOOSE(MONTH(branches[[#This Row],[Дата]]),"Январь","Февраль","Март","Апрель","Май","Июнь","Июль","Август","Сентябрь","Октябрь","Ноябрь","Декабрь")&amp;" "&amp;YEAR(branches[[#This Row],[Дата]])</f>
        <v>Январь 2025</v>
      </c>
      <c r="E2274" t="s">
        <v>16</v>
      </c>
      <c r="F2274" t="s">
        <v>17</v>
      </c>
      <c r="G2274">
        <v>1</v>
      </c>
      <c r="H2274">
        <v>346</v>
      </c>
      <c r="I2274" t="s">
        <v>32</v>
      </c>
      <c r="J2274" t="str">
        <f>_xlfn.XLOOKUP(branches[[#This Row],[Филиал]], tbl_Filialy[Филиал], tbl_Filialy[Менеджер])</f>
        <v>Ольга Кузнецова</v>
      </c>
    </row>
    <row r="2275" spans="1:10" x14ac:dyDescent="0.3">
      <c r="A2275" t="str">
        <f>_xlfn.XLOOKUP(branches[[#This Row],[Филиал]], tbl_Filialy[Филиал], tbl_Filialy[Город])</f>
        <v>Новосибирск</v>
      </c>
      <c r="B2275" s="1" t="s">
        <v>37</v>
      </c>
      <c r="C2275" s="2">
        <v>45860</v>
      </c>
      <c r="D2275" s="2" t="str">
        <f>CHOOSE(MONTH(branches[[#This Row],[Дата]]),"Январь","Февраль","Март","Апрель","Май","Июнь","Июль","Август","Сентябрь","Октябрь","Ноябрь","Декабрь")&amp;" "&amp;YEAR(branches[[#This Row],[Дата]])</f>
        <v>Июль 2025</v>
      </c>
      <c r="E2275" t="s">
        <v>26</v>
      </c>
      <c r="F2275" t="s">
        <v>9</v>
      </c>
      <c r="G2275">
        <v>1</v>
      </c>
      <c r="H2275">
        <v>221</v>
      </c>
      <c r="I2275" t="s">
        <v>13</v>
      </c>
      <c r="J2275" t="str">
        <f>_xlfn.XLOOKUP(branches[[#This Row],[Филиал]], tbl_Filialy[Филиал], tbl_Filialy[Менеджер])</f>
        <v>Ольга Кузнецова</v>
      </c>
    </row>
    <row r="2276" spans="1:10" x14ac:dyDescent="0.3">
      <c r="A2276" t="str">
        <f>_xlfn.XLOOKUP(branches[[#This Row],[Филиал]], tbl_Filialy[Филиал], tbl_Filialy[Город])</f>
        <v>Новосибирск</v>
      </c>
      <c r="B2276" s="1" t="s">
        <v>37</v>
      </c>
      <c r="C2276" s="2">
        <v>45805</v>
      </c>
      <c r="D2276" s="2" t="str">
        <f>CHOOSE(MONTH(branches[[#This Row],[Дата]]),"Январь","Февраль","Март","Апрель","Май","Июнь","Июль","Август","Сентябрь","Октябрь","Ноябрь","Декабрь")&amp;" "&amp;YEAR(branches[[#This Row],[Дата]])</f>
        <v>Май 2025</v>
      </c>
      <c r="E2276" t="s">
        <v>25</v>
      </c>
      <c r="F2276" t="s">
        <v>12</v>
      </c>
      <c r="G2276">
        <v>1</v>
      </c>
      <c r="H2276">
        <v>237</v>
      </c>
      <c r="I2276" t="s">
        <v>34</v>
      </c>
      <c r="J2276" t="str">
        <f>_xlfn.XLOOKUP(branches[[#This Row],[Филиал]], tbl_Filialy[Филиал], tbl_Filialy[Менеджер])</f>
        <v>Ольга Кузнецова</v>
      </c>
    </row>
    <row r="2277" spans="1:10" x14ac:dyDescent="0.3">
      <c r="A2277" t="str">
        <f>_xlfn.XLOOKUP(branches[[#This Row],[Филиал]], tbl_Filialy[Филиал], tbl_Filialy[Город])</f>
        <v>Новосибирск</v>
      </c>
      <c r="B2277" s="1" t="s">
        <v>37</v>
      </c>
      <c r="C2277" s="2">
        <v>45999</v>
      </c>
      <c r="D2277" s="2" t="str">
        <f>CHOOSE(MONTH(branches[[#This Row],[Дата]]),"Январь","Февраль","Март","Апрель","Май","Июнь","Июль","Август","Сентябрь","Октябрь","Ноябрь","Декабрь")&amp;" "&amp;YEAR(branches[[#This Row],[Дата]])</f>
        <v>Декабрь 2025</v>
      </c>
      <c r="E2277" t="s">
        <v>8</v>
      </c>
      <c r="F2277" t="s">
        <v>9</v>
      </c>
      <c r="G2277">
        <v>1</v>
      </c>
      <c r="H2277">
        <v>241</v>
      </c>
      <c r="I2277" t="s">
        <v>32</v>
      </c>
      <c r="J2277" t="str">
        <f>_xlfn.XLOOKUP(branches[[#This Row],[Филиал]], tbl_Filialy[Филиал], tbl_Filialy[Менеджер])</f>
        <v>Ольга Кузнецова</v>
      </c>
    </row>
    <row r="2278" spans="1:10" x14ac:dyDescent="0.3">
      <c r="A2278" t="str">
        <f>_xlfn.XLOOKUP(branches[[#This Row],[Филиал]], tbl_Filialy[Филиал], tbl_Filialy[Город])</f>
        <v>Новосибирск</v>
      </c>
      <c r="B2278" s="1" t="s">
        <v>37</v>
      </c>
      <c r="C2278" s="2">
        <v>45833</v>
      </c>
      <c r="D2278" s="2" t="str">
        <f>CHOOSE(MONTH(branches[[#This Row],[Дата]]),"Январь","Февраль","Март","Апрель","Май","Июнь","Июль","Август","Сентябрь","Октябрь","Ноябрь","Декабрь")&amp;" "&amp;YEAR(branches[[#This Row],[Дата]])</f>
        <v>Июнь 2025</v>
      </c>
      <c r="E2278" t="s">
        <v>22</v>
      </c>
      <c r="F2278" t="s">
        <v>9</v>
      </c>
      <c r="G2278">
        <v>3</v>
      </c>
      <c r="H2278">
        <v>573</v>
      </c>
      <c r="I2278" t="s">
        <v>13</v>
      </c>
      <c r="J2278" t="str">
        <f>_xlfn.XLOOKUP(branches[[#This Row],[Филиал]], tbl_Filialy[Филиал], tbl_Filialy[Менеджер])</f>
        <v>Ольга Кузнецова</v>
      </c>
    </row>
    <row r="2279" spans="1:10" x14ac:dyDescent="0.3">
      <c r="A2279" t="str">
        <f>_xlfn.XLOOKUP(branches[[#This Row],[Филиал]], tbl_Filialy[Филиал], tbl_Filialy[Город])</f>
        <v>Новосибирск</v>
      </c>
      <c r="B2279" s="1" t="s">
        <v>37</v>
      </c>
      <c r="C2279" s="2">
        <v>45789</v>
      </c>
      <c r="D2279" s="2" t="str">
        <f>CHOOSE(MONTH(branches[[#This Row],[Дата]]),"Январь","Февраль","Март","Апрель","Май","Июнь","Июль","Август","Сентябрь","Октябрь","Ноябрь","Декабрь")&amp;" "&amp;YEAR(branches[[#This Row],[Дата]])</f>
        <v>Май 2025</v>
      </c>
      <c r="E2279" t="s">
        <v>16</v>
      </c>
      <c r="F2279" t="s">
        <v>17</v>
      </c>
      <c r="G2279">
        <v>2</v>
      </c>
      <c r="H2279">
        <v>702</v>
      </c>
      <c r="I2279" t="s">
        <v>19</v>
      </c>
      <c r="J2279" t="str">
        <f>_xlfn.XLOOKUP(branches[[#This Row],[Филиал]], tbl_Filialy[Филиал], tbl_Filialy[Менеджер])</f>
        <v>Ольга Кузнецова</v>
      </c>
    </row>
    <row r="2280" spans="1:10" x14ac:dyDescent="0.3">
      <c r="A2280" t="str">
        <f>_xlfn.XLOOKUP(branches[[#This Row],[Филиал]], tbl_Filialy[Филиал], tbl_Filialy[Город])</f>
        <v>Новосибирск</v>
      </c>
      <c r="B2280" s="1" t="s">
        <v>37</v>
      </c>
      <c r="C2280" s="2">
        <v>45678</v>
      </c>
      <c r="D2280" s="2" t="str">
        <f>CHOOSE(MONTH(branches[[#This Row],[Дата]]),"Январь","Февраль","Март","Апрель","Май","Июнь","Июль","Август","Сентябрь","Октябрь","Ноябрь","Декабрь")&amp;" "&amp;YEAR(branches[[#This Row],[Дата]])</f>
        <v>Январь 2025</v>
      </c>
      <c r="E2280" t="s">
        <v>20</v>
      </c>
      <c r="F2280" t="s">
        <v>12</v>
      </c>
      <c r="G2280">
        <v>1</v>
      </c>
      <c r="H2280">
        <v>303</v>
      </c>
      <c r="I2280" t="s">
        <v>35</v>
      </c>
      <c r="J2280" t="str">
        <f>_xlfn.XLOOKUP(branches[[#This Row],[Филиал]], tbl_Filialy[Филиал], tbl_Filialy[Менеджер])</f>
        <v>Ольга Кузнецова</v>
      </c>
    </row>
    <row r="2281" spans="1:10" x14ac:dyDescent="0.3">
      <c r="A2281" t="str">
        <f>_xlfn.XLOOKUP(branches[[#This Row],[Филиал]], tbl_Filialy[Филиал], tbl_Filialy[Город])</f>
        <v>Новосибирск</v>
      </c>
      <c r="B2281" s="1" t="s">
        <v>37</v>
      </c>
      <c r="C2281" s="2">
        <v>45842</v>
      </c>
      <c r="D2281" s="2" t="str">
        <f>CHOOSE(MONTH(branches[[#This Row],[Дата]]),"Январь","Февраль","Март","Апрель","Май","Июнь","Июль","Август","Сентябрь","Октябрь","Ноябрь","Декабрь")&amp;" "&amp;YEAR(branches[[#This Row],[Дата]])</f>
        <v>Июль 2025</v>
      </c>
      <c r="E2281" t="s">
        <v>20</v>
      </c>
      <c r="F2281" t="s">
        <v>12</v>
      </c>
      <c r="G2281">
        <v>2</v>
      </c>
      <c r="H2281">
        <v>610</v>
      </c>
      <c r="I2281" t="s">
        <v>35</v>
      </c>
      <c r="J2281" t="str">
        <f>_xlfn.XLOOKUP(branches[[#This Row],[Филиал]], tbl_Filialy[Филиал], tbl_Filialy[Менеджер])</f>
        <v>Ольга Кузнецова</v>
      </c>
    </row>
    <row r="2282" spans="1:10" x14ac:dyDescent="0.3">
      <c r="A2282" t="str">
        <f>_xlfn.XLOOKUP(branches[[#This Row],[Филиал]], tbl_Filialy[Филиал], tbl_Filialy[Город])</f>
        <v>Новосибирск</v>
      </c>
      <c r="B2282" s="1" t="s">
        <v>37</v>
      </c>
      <c r="C2282" s="2">
        <v>45946</v>
      </c>
      <c r="D2282" s="2" t="str">
        <f>CHOOSE(MONTH(branches[[#This Row],[Дата]]),"Январь","Февраль","Март","Апрель","Май","Июнь","Июль","Август","Сентябрь","Октябрь","Ноябрь","Декабрь")&amp;" "&amp;YEAR(branches[[#This Row],[Дата]])</f>
        <v>Октябрь 2025</v>
      </c>
      <c r="E2282" t="s">
        <v>8</v>
      </c>
      <c r="F2282" t="s">
        <v>9</v>
      </c>
      <c r="G2282">
        <v>2</v>
      </c>
      <c r="H2282">
        <v>554</v>
      </c>
      <c r="I2282" t="s">
        <v>33</v>
      </c>
      <c r="J2282" t="str">
        <f>_xlfn.XLOOKUP(branches[[#This Row],[Филиал]], tbl_Filialy[Филиал], tbl_Filialy[Менеджер])</f>
        <v>Ольга Кузнецова</v>
      </c>
    </row>
    <row r="2283" spans="1:10" x14ac:dyDescent="0.3">
      <c r="A2283" t="str">
        <f>_xlfn.XLOOKUP(branches[[#This Row],[Филиал]], tbl_Filialy[Филиал], tbl_Filialy[Город])</f>
        <v>Новосибирск</v>
      </c>
      <c r="B2283" s="1" t="s">
        <v>37</v>
      </c>
      <c r="C2283" s="2">
        <v>45780</v>
      </c>
      <c r="D2283" s="2" t="str">
        <f>CHOOSE(MONTH(branches[[#This Row],[Дата]]),"Январь","Февраль","Март","Апрель","Май","Июнь","Июль","Август","Сентябрь","Октябрь","Ноябрь","Декабрь")&amp;" "&amp;YEAR(branches[[#This Row],[Дата]])</f>
        <v>Май 2025</v>
      </c>
      <c r="E2283" t="s">
        <v>24</v>
      </c>
      <c r="F2283" t="s">
        <v>17</v>
      </c>
      <c r="G2283">
        <v>1</v>
      </c>
      <c r="H2283">
        <v>363</v>
      </c>
      <c r="I2283" t="s">
        <v>34</v>
      </c>
      <c r="J2283" t="str">
        <f>_xlfn.XLOOKUP(branches[[#This Row],[Филиал]], tbl_Filialy[Филиал], tbl_Filialy[Менеджер])</f>
        <v>Ольга Кузнецова</v>
      </c>
    </row>
    <row r="2284" spans="1:10" x14ac:dyDescent="0.3">
      <c r="A2284" t="str">
        <f>_xlfn.XLOOKUP(branches[[#This Row],[Филиал]], tbl_Filialy[Филиал], tbl_Filialy[Город])</f>
        <v>Новосибирск</v>
      </c>
      <c r="B2284" s="1" t="s">
        <v>37</v>
      </c>
      <c r="C2284" s="2">
        <v>45671</v>
      </c>
      <c r="D2284" s="2" t="str">
        <f>CHOOSE(MONTH(branches[[#This Row],[Дата]]),"Январь","Февраль","Март","Апрель","Май","Июнь","Июль","Август","Сентябрь","Октябрь","Ноябрь","Декабрь")&amp;" "&amp;YEAR(branches[[#This Row],[Дата]])</f>
        <v>Январь 2025</v>
      </c>
      <c r="E2284" t="s">
        <v>18</v>
      </c>
      <c r="F2284" t="s">
        <v>12</v>
      </c>
      <c r="G2284">
        <v>1</v>
      </c>
      <c r="H2284">
        <v>138</v>
      </c>
      <c r="I2284" t="s">
        <v>33</v>
      </c>
      <c r="J2284" t="str">
        <f>_xlfn.XLOOKUP(branches[[#This Row],[Филиал]], tbl_Filialy[Филиал], tbl_Filialy[Менеджер])</f>
        <v>Ольга Кузнецова</v>
      </c>
    </row>
    <row r="2285" spans="1:10" x14ac:dyDescent="0.3">
      <c r="A2285" t="str">
        <f>_xlfn.XLOOKUP(branches[[#This Row],[Филиал]], tbl_Filialy[Филиал], tbl_Filialy[Город])</f>
        <v>Новосибирск</v>
      </c>
      <c r="B2285" s="1" t="s">
        <v>37</v>
      </c>
      <c r="C2285" s="2">
        <v>45750</v>
      </c>
      <c r="D2285" s="2" t="str">
        <f>CHOOSE(MONTH(branches[[#This Row],[Дата]]),"Январь","Февраль","Март","Апрель","Май","Июнь","Июль","Август","Сентябрь","Октябрь","Ноябрь","Декабрь")&amp;" "&amp;YEAR(branches[[#This Row],[Дата]])</f>
        <v>Апрель 2025</v>
      </c>
      <c r="E2285" t="s">
        <v>11</v>
      </c>
      <c r="F2285" t="s">
        <v>12</v>
      </c>
      <c r="G2285">
        <v>1</v>
      </c>
      <c r="H2285">
        <v>164</v>
      </c>
      <c r="I2285" t="s">
        <v>13</v>
      </c>
      <c r="J2285" t="str">
        <f>_xlfn.XLOOKUP(branches[[#This Row],[Филиал]], tbl_Filialy[Филиал], tbl_Filialy[Менеджер])</f>
        <v>Ольга Кузнецова</v>
      </c>
    </row>
    <row r="2286" spans="1:10" x14ac:dyDescent="0.3">
      <c r="A2286" t="str">
        <f>_xlfn.XLOOKUP(branches[[#This Row],[Филиал]], tbl_Filialy[Филиал], tbl_Filialy[Город])</f>
        <v>Новосибирск</v>
      </c>
      <c r="B2286" s="1" t="s">
        <v>37</v>
      </c>
      <c r="C2286" s="2">
        <v>45841</v>
      </c>
      <c r="D2286" s="2" t="str">
        <f>CHOOSE(MONTH(branches[[#This Row],[Дата]]),"Январь","Февраль","Март","Апрель","Май","Июнь","Июль","Август","Сентябрь","Октябрь","Ноябрь","Декабрь")&amp;" "&amp;YEAR(branches[[#This Row],[Дата]])</f>
        <v>Июль 2025</v>
      </c>
      <c r="E2286" t="s">
        <v>14</v>
      </c>
      <c r="F2286" t="s">
        <v>12</v>
      </c>
      <c r="G2286">
        <v>2</v>
      </c>
      <c r="H2286">
        <v>494</v>
      </c>
      <c r="I2286" t="s">
        <v>35</v>
      </c>
      <c r="J2286" t="str">
        <f>_xlfn.XLOOKUP(branches[[#This Row],[Филиал]], tbl_Filialy[Филиал], tbl_Filialy[Менеджер])</f>
        <v>Ольга Кузнецова</v>
      </c>
    </row>
    <row r="2287" spans="1:10" x14ac:dyDescent="0.3">
      <c r="A2287" t="str">
        <f>_xlfn.XLOOKUP(branches[[#This Row],[Филиал]], tbl_Filialy[Филиал], tbl_Filialy[Город])</f>
        <v>Новосибирск</v>
      </c>
      <c r="B2287" s="1" t="s">
        <v>37</v>
      </c>
      <c r="C2287" s="2">
        <v>45787</v>
      </c>
      <c r="D2287" s="2" t="str">
        <f>CHOOSE(MONTH(branches[[#This Row],[Дата]]),"Январь","Февраль","Март","Апрель","Май","Июнь","Июль","Август","Сентябрь","Октябрь","Ноябрь","Декабрь")&amp;" "&amp;YEAR(branches[[#This Row],[Дата]])</f>
        <v>Май 2025</v>
      </c>
      <c r="E2287" t="s">
        <v>24</v>
      </c>
      <c r="F2287" t="s">
        <v>17</v>
      </c>
      <c r="G2287">
        <v>2</v>
      </c>
      <c r="H2287">
        <v>764</v>
      </c>
      <c r="I2287" t="s">
        <v>32</v>
      </c>
      <c r="J2287" t="str">
        <f>_xlfn.XLOOKUP(branches[[#This Row],[Филиал]], tbl_Filialy[Филиал], tbl_Filialy[Менеджер])</f>
        <v>Ольга Кузнецова</v>
      </c>
    </row>
    <row r="2288" spans="1:10" x14ac:dyDescent="0.3">
      <c r="A2288" t="str">
        <f>_xlfn.XLOOKUP(branches[[#This Row],[Филиал]], tbl_Filialy[Филиал], tbl_Filialy[Город])</f>
        <v>Новосибирск</v>
      </c>
      <c r="B2288" s="1" t="s">
        <v>37</v>
      </c>
      <c r="C2288" s="2">
        <v>45848</v>
      </c>
      <c r="D2288" s="2" t="str">
        <f>CHOOSE(MONTH(branches[[#This Row],[Дата]]),"Январь","Февраль","Март","Апрель","Май","Июнь","Июль","Август","Сентябрь","Октябрь","Ноябрь","Декабрь")&amp;" "&amp;YEAR(branches[[#This Row],[Дата]])</f>
        <v>Июль 2025</v>
      </c>
      <c r="E2288" t="s">
        <v>28</v>
      </c>
      <c r="F2288" t="s">
        <v>12</v>
      </c>
      <c r="G2288">
        <v>1</v>
      </c>
      <c r="H2288">
        <v>213</v>
      </c>
      <c r="I2288" t="s">
        <v>34</v>
      </c>
      <c r="J2288" t="str">
        <f>_xlfn.XLOOKUP(branches[[#This Row],[Филиал]], tbl_Filialy[Филиал], tbl_Filialy[Менеджер])</f>
        <v>Ольга Кузнецова</v>
      </c>
    </row>
    <row r="2289" spans="1:10" x14ac:dyDescent="0.3">
      <c r="A2289" t="str">
        <f>_xlfn.XLOOKUP(branches[[#This Row],[Филиал]], tbl_Filialy[Филиал], tbl_Filialy[Город])</f>
        <v>Новосибирск</v>
      </c>
      <c r="B2289" s="1" t="s">
        <v>37</v>
      </c>
      <c r="C2289" s="2">
        <v>45823</v>
      </c>
      <c r="D2289" s="2" t="str">
        <f>CHOOSE(MONTH(branches[[#This Row],[Дата]]),"Январь","Февраль","Март","Апрель","Май","Июнь","Июль","Август","Сентябрь","Октябрь","Ноябрь","Декабрь")&amp;" "&amp;YEAR(branches[[#This Row],[Дата]])</f>
        <v>Июнь 2025</v>
      </c>
      <c r="E2289" t="s">
        <v>18</v>
      </c>
      <c r="F2289" t="s">
        <v>12</v>
      </c>
      <c r="G2289">
        <v>2</v>
      </c>
      <c r="H2289">
        <v>298</v>
      </c>
      <c r="I2289" t="s">
        <v>13</v>
      </c>
      <c r="J2289" t="str">
        <f>_xlfn.XLOOKUP(branches[[#This Row],[Филиал]], tbl_Filialy[Филиал], tbl_Filialy[Менеджер])</f>
        <v>Ольга Кузнецова</v>
      </c>
    </row>
    <row r="2290" spans="1:10" x14ac:dyDescent="0.3">
      <c r="A2290" t="str">
        <f>_xlfn.XLOOKUP(branches[[#This Row],[Филиал]], tbl_Filialy[Филиал], tbl_Filialy[Город])</f>
        <v>Новосибирск</v>
      </c>
      <c r="B2290" s="1" t="s">
        <v>37</v>
      </c>
      <c r="C2290" s="2">
        <v>45905</v>
      </c>
      <c r="D2290" s="2" t="str">
        <f>CHOOSE(MONTH(branches[[#This Row],[Дата]]),"Январь","Февраль","Март","Апрель","Май","Июнь","Июль","Август","Сентябрь","Октябрь","Ноябрь","Декабрь")&amp;" "&amp;YEAR(branches[[#This Row],[Дата]])</f>
        <v>Сентябрь 2025</v>
      </c>
      <c r="E2290" t="s">
        <v>16</v>
      </c>
      <c r="F2290" t="s">
        <v>17</v>
      </c>
      <c r="G2290">
        <v>1</v>
      </c>
      <c r="H2290">
        <v>285</v>
      </c>
      <c r="I2290" t="s">
        <v>13</v>
      </c>
      <c r="J2290" t="str">
        <f>_xlfn.XLOOKUP(branches[[#This Row],[Филиал]], tbl_Filialy[Филиал], tbl_Filialy[Менеджер])</f>
        <v>Ольга Кузнецова</v>
      </c>
    </row>
    <row r="2291" spans="1:10" x14ac:dyDescent="0.3">
      <c r="A2291" t="str">
        <f>_xlfn.XLOOKUP(branches[[#This Row],[Филиал]], tbl_Filialy[Филиал], tbl_Filialy[Город])</f>
        <v>Новосибирск</v>
      </c>
      <c r="B2291" s="1" t="s">
        <v>37</v>
      </c>
      <c r="C2291" s="2">
        <v>45887</v>
      </c>
      <c r="D2291" s="2" t="str">
        <f>CHOOSE(MONTH(branches[[#This Row],[Дата]]),"Январь","Февраль","Март","Апрель","Май","Июнь","Июль","Август","Сентябрь","Октябрь","Ноябрь","Декабрь")&amp;" "&amp;YEAR(branches[[#This Row],[Дата]])</f>
        <v>Август 2025</v>
      </c>
      <c r="E2291" t="s">
        <v>14</v>
      </c>
      <c r="F2291" t="s">
        <v>12</v>
      </c>
      <c r="G2291">
        <v>2</v>
      </c>
      <c r="H2291">
        <v>484</v>
      </c>
      <c r="I2291" t="s">
        <v>19</v>
      </c>
      <c r="J2291" t="str">
        <f>_xlfn.XLOOKUP(branches[[#This Row],[Филиал]], tbl_Filialy[Филиал], tbl_Filialy[Менеджер])</f>
        <v>Ольга Кузнецова</v>
      </c>
    </row>
    <row r="2292" spans="1:10" x14ac:dyDescent="0.3">
      <c r="A2292" t="str">
        <f>_xlfn.XLOOKUP(branches[[#This Row],[Филиал]], tbl_Filialy[Филиал], tbl_Filialy[Город])</f>
        <v>Новосибирск</v>
      </c>
      <c r="B2292" s="1" t="s">
        <v>37</v>
      </c>
      <c r="C2292" s="2">
        <v>45896</v>
      </c>
      <c r="D2292" s="2" t="str">
        <f>CHOOSE(MONTH(branches[[#This Row],[Дата]]),"Январь","Февраль","Март","Апрель","Май","Июнь","Июль","Август","Сентябрь","Октябрь","Ноябрь","Декабрь")&amp;" "&amp;YEAR(branches[[#This Row],[Дата]])</f>
        <v>Август 2025</v>
      </c>
      <c r="E2292" t="s">
        <v>25</v>
      </c>
      <c r="F2292" t="s">
        <v>12</v>
      </c>
      <c r="G2292">
        <v>2</v>
      </c>
      <c r="H2292">
        <v>396</v>
      </c>
      <c r="I2292" t="s">
        <v>34</v>
      </c>
      <c r="J2292" t="str">
        <f>_xlfn.XLOOKUP(branches[[#This Row],[Филиал]], tbl_Filialy[Филиал], tbl_Filialy[Менеджер])</f>
        <v>Ольга Кузнецова</v>
      </c>
    </row>
    <row r="2293" spans="1:10" x14ac:dyDescent="0.3">
      <c r="A2293" t="str">
        <f>_xlfn.XLOOKUP(branches[[#This Row],[Филиал]], tbl_Filialy[Филиал], tbl_Filialy[Город])</f>
        <v>Новосибирск</v>
      </c>
      <c r="B2293" s="1" t="s">
        <v>37</v>
      </c>
      <c r="C2293" s="2">
        <v>45944</v>
      </c>
      <c r="D2293" s="2" t="str">
        <f>CHOOSE(MONTH(branches[[#This Row],[Дата]]),"Январь","Февраль","Март","Апрель","Май","Июнь","Июль","Август","Сентябрь","Октябрь","Ноябрь","Декабрь")&amp;" "&amp;YEAR(branches[[#This Row],[Дата]])</f>
        <v>Октябрь 2025</v>
      </c>
      <c r="E2293" t="s">
        <v>16</v>
      </c>
      <c r="F2293" t="s">
        <v>17</v>
      </c>
      <c r="G2293">
        <v>2</v>
      </c>
      <c r="H2293">
        <v>670</v>
      </c>
      <c r="I2293" t="s">
        <v>19</v>
      </c>
      <c r="J2293" t="str">
        <f>_xlfn.XLOOKUP(branches[[#This Row],[Филиал]], tbl_Filialy[Филиал], tbl_Filialy[Менеджер])</f>
        <v>Ольга Кузнецова</v>
      </c>
    </row>
    <row r="2294" spans="1:10" x14ac:dyDescent="0.3">
      <c r="A2294" t="str">
        <f>_xlfn.XLOOKUP(branches[[#This Row],[Филиал]], tbl_Filialy[Филиал], tbl_Filialy[Город])</f>
        <v>Новосибирск</v>
      </c>
      <c r="B2294" s="1" t="s">
        <v>37</v>
      </c>
      <c r="C2294" s="2">
        <v>45740</v>
      </c>
      <c r="D2294" s="2" t="str">
        <f>CHOOSE(MONTH(branches[[#This Row],[Дата]]),"Январь","Февраль","Март","Апрель","Май","Июнь","Июль","Август","Сентябрь","Октябрь","Ноябрь","Декабрь")&amp;" "&amp;YEAR(branches[[#This Row],[Дата]])</f>
        <v>Март 2025</v>
      </c>
      <c r="E2294" t="s">
        <v>28</v>
      </c>
      <c r="F2294" t="s">
        <v>12</v>
      </c>
      <c r="G2294">
        <v>1</v>
      </c>
      <c r="H2294">
        <v>211</v>
      </c>
      <c r="I2294" t="s">
        <v>19</v>
      </c>
      <c r="J2294" t="str">
        <f>_xlfn.XLOOKUP(branches[[#This Row],[Филиал]], tbl_Filialy[Филиал], tbl_Filialy[Менеджер])</f>
        <v>Ольга Кузнецова</v>
      </c>
    </row>
    <row r="2295" spans="1:10" x14ac:dyDescent="0.3">
      <c r="A2295" t="str">
        <f>_xlfn.XLOOKUP(branches[[#This Row],[Филиал]], tbl_Filialy[Филиал], tbl_Filialy[Город])</f>
        <v>Новосибирск</v>
      </c>
      <c r="B2295" s="1" t="s">
        <v>37</v>
      </c>
      <c r="C2295" s="2">
        <v>45881</v>
      </c>
      <c r="D2295" s="2" t="str">
        <f>CHOOSE(MONTH(branches[[#This Row],[Дата]]),"Январь","Февраль","Март","Апрель","Май","Июнь","Июль","Август","Сентябрь","Октябрь","Ноябрь","Декабрь")&amp;" "&amp;YEAR(branches[[#This Row],[Дата]])</f>
        <v>Август 2025</v>
      </c>
      <c r="E2295" t="s">
        <v>16</v>
      </c>
      <c r="F2295" t="s">
        <v>17</v>
      </c>
      <c r="G2295">
        <v>1</v>
      </c>
      <c r="H2295">
        <v>353</v>
      </c>
      <c r="I2295" t="s">
        <v>35</v>
      </c>
      <c r="J2295" t="str">
        <f>_xlfn.XLOOKUP(branches[[#This Row],[Филиал]], tbl_Filialy[Филиал], tbl_Filialy[Менеджер])</f>
        <v>Ольга Кузнецова</v>
      </c>
    </row>
    <row r="2296" spans="1:10" x14ac:dyDescent="0.3">
      <c r="A2296" t="str">
        <f>_xlfn.XLOOKUP(branches[[#This Row],[Филиал]], tbl_Filialy[Филиал], tbl_Filialy[Город])</f>
        <v>Новосибирск</v>
      </c>
      <c r="B2296" s="1" t="s">
        <v>37</v>
      </c>
      <c r="C2296" s="2">
        <v>45834</v>
      </c>
      <c r="D2296" s="2" t="str">
        <f>CHOOSE(MONTH(branches[[#This Row],[Дата]]),"Январь","Февраль","Март","Апрель","Май","Июнь","Июль","Август","Сентябрь","Октябрь","Ноябрь","Декабрь")&amp;" "&amp;YEAR(branches[[#This Row],[Дата]])</f>
        <v>Июнь 2025</v>
      </c>
      <c r="E2296" t="s">
        <v>26</v>
      </c>
      <c r="F2296" t="s">
        <v>9</v>
      </c>
      <c r="G2296">
        <v>2</v>
      </c>
      <c r="H2296">
        <v>400</v>
      </c>
      <c r="I2296" t="s">
        <v>13</v>
      </c>
      <c r="J2296" t="str">
        <f>_xlfn.XLOOKUP(branches[[#This Row],[Филиал]], tbl_Filialy[Филиал], tbl_Filialy[Менеджер])</f>
        <v>Ольга Кузнецова</v>
      </c>
    </row>
    <row r="2297" spans="1:10" x14ac:dyDescent="0.3">
      <c r="A2297" t="str">
        <f>_xlfn.XLOOKUP(branches[[#This Row],[Филиал]], tbl_Filialy[Филиал], tbl_Filialy[Город])</f>
        <v>Новосибирск</v>
      </c>
      <c r="B2297" s="1" t="s">
        <v>37</v>
      </c>
      <c r="C2297" s="2">
        <v>45896</v>
      </c>
      <c r="D2297" s="2" t="str">
        <f>CHOOSE(MONTH(branches[[#This Row],[Дата]]),"Январь","Февраль","Март","Апрель","Май","Июнь","Июль","Август","Сентябрь","Октябрь","Ноябрь","Декабрь")&amp;" "&amp;YEAR(branches[[#This Row],[Дата]])</f>
        <v>Август 2025</v>
      </c>
      <c r="E2297" t="s">
        <v>11</v>
      </c>
      <c r="F2297" t="s">
        <v>12</v>
      </c>
      <c r="G2297">
        <v>2</v>
      </c>
      <c r="H2297">
        <v>304</v>
      </c>
      <c r="I2297" t="s">
        <v>33</v>
      </c>
      <c r="J2297" t="str">
        <f>_xlfn.XLOOKUP(branches[[#This Row],[Филиал]], tbl_Filialy[Филиал], tbl_Filialy[Менеджер])</f>
        <v>Ольга Кузнецова</v>
      </c>
    </row>
    <row r="2298" spans="1:10" x14ac:dyDescent="0.3">
      <c r="A2298" t="str">
        <f>_xlfn.XLOOKUP(branches[[#This Row],[Филиал]], tbl_Filialy[Филиал], tbl_Filialy[Город])</f>
        <v>Новосибирск</v>
      </c>
      <c r="B2298" s="1" t="s">
        <v>37</v>
      </c>
      <c r="C2298" s="2">
        <v>45912</v>
      </c>
      <c r="D2298" s="2" t="str">
        <f>CHOOSE(MONTH(branches[[#This Row],[Дата]]),"Январь","Февраль","Март","Апрель","Май","Июнь","Июль","Август","Сентябрь","Октябрь","Ноябрь","Декабрь")&amp;" "&amp;YEAR(branches[[#This Row],[Дата]])</f>
        <v>Сентябрь 2025</v>
      </c>
      <c r="E2298" t="s">
        <v>24</v>
      </c>
      <c r="F2298" t="s">
        <v>17</v>
      </c>
      <c r="G2298">
        <v>3</v>
      </c>
      <c r="H2298">
        <v>1116</v>
      </c>
      <c r="I2298" t="s">
        <v>34</v>
      </c>
      <c r="J2298" t="str">
        <f>_xlfn.XLOOKUP(branches[[#This Row],[Филиал]], tbl_Filialy[Филиал], tbl_Filialy[Менеджер])</f>
        <v>Ольга Кузнецова</v>
      </c>
    </row>
    <row r="2299" spans="1:10" x14ac:dyDescent="0.3">
      <c r="A2299" t="str">
        <f>_xlfn.XLOOKUP(branches[[#This Row],[Филиал]], tbl_Filialy[Филиал], tbl_Filialy[Город])</f>
        <v>Новосибирск</v>
      </c>
      <c r="B2299" s="1" t="s">
        <v>37</v>
      </c>
      <c r="C2299" s="2">
        <v>45857</v>
      </c>
      <c r="D2299" s="2" t="str">
        <f>CHOOSE(MONTH(branches[[#This Row],[Дата]]),"Январь","Февраль","Март","Апрель","Май","Июнь","Июль","Август","Сентябрь","Октябрь","Ноябрь","Декабрь")&amp;" "&amp;YEAR(branches[[#This Row],[Дата]])</f>
        <v>Июль 2025</v>
      </c>
      <c r="E2299" t="s">
        <v>18</v>
      </c>
      <c r="F2299" t="s">
        <v>12</v>
      </c>
      <c r="G2299">
        <v>1</v>
      </c>
      <c r="H2299">
        <v>135</v>
      </c>
      <c r="I2299" t="s">
        <v>34</v>
      </c>
      <c r="J2299" t="str">
        <f>_xlfn.XLOOKUP(branches[[#This Row],[Филиал]], tbl_Filialy[Филиал], tbl_Filialy[Менеджер])</f>
        <v>Ольга Кузнецова</v>
      </c>
    </row>
    <row r="2300" spans="1:10" x14ac:dyDescent="0.3">
      <c r="A2300" t="str">
        <f>_xlfn.XLOOKUP(branches[[#This Row],[Филиал]], tbl_Filialy[Филиал], tbl_Filialy[Город])</f>
        <v>Новосибирск</v>
      </c>
      <c r="B2300" s="1" t="s">
        <v>37</v>
      </c>
      <c r="C2300" s="2">
        <v>45932</v>
      </c>
      <c r="D2300" s="2" t="str">
        <f>CHOOSE(MONTH(branches[[#This Row],[Дата]]),"Январь","Февраль","Март","Апрель","Май","Июнь","Июль","Август","Сентябрь","Октябрь","Ноябрь","Декабрь")&amp;" "&amp;YEAR(branches[[#This Row],[Дата]])</f>
        <v>Октябрь 2025</v>
      </c>
      <c r="E2300" t="s">
        <v>26</v>
      </c>
      <c r="F2300" t="s">
        <v>9</v>
      </c>
      <c r="G2300">
        <v>2</v>
      </c>
      <c r="H2300">
        <v>378</v>
      </c>
      <c r="I2300" t="s">
        <v>33</v>
      </c>
      <c r="J2300" t="str">
        <f>_xlfn.XLOOKUP(branches[[#This Row],[Филиал]], tbl_Filialy[Филиал], tbl_Filialy[Менеджер])</f>
        <v>Ольга Кузнецова</v>
      </c>
    </row>
    <row r="2301" spans="1:10" x14ac:dyDescent="0.3">
      <c r="A2301" t="str">
        <f>_xlfn.XLOOKUP(branches[[#This Row],[Филиал]], tbl_Filialy[Филиал], tbl_Filialy[Город])</f>
        <v>Новосибирск</v>
      </c>
      <c r="B2301" s="1" t="s">
        <v>37</v>
      </c>
      <c r="C2301" s="2">
        <v>45669</v>
      </c>
      <c r="D2301" s="2" t="str">
        <f>CHOOSE(MONTH(branches[[#This Row],[Дата]]),"Январь","Февраль","Март","Апрель","Май","Июнь","Июль","Август","Сентябрь","Октябрь","Ноябрь","Декабрь")&amp;" "&amp;YEAR(branches[[#This Row],[Дата]])</f>
        <v>Январь 2025</v>
      </c>
      <c r="E2301" t="s">
        <v>20</v>
      </c>
      <c r="F2301" t="s">
        <v>12</v>
      </c>
      <c r="G2301">
        <v>3</v>
      </c>
      <c r="H2301">
        <v>777</v>
      </c>
      <c r="I2301" t="s">
        <v>35</v>
      </c>
      <c r="J2301" t="str">
        <f>_xlfn.XLOOKUP(branches[[#This Row],[Филиал]], tbl_Filialy[Филиал], tbl_Filialy[Менеджер])</f>
        <v>Ольга Кузнецова</v>
      </c>
    </row>
    <row r="2302" spans="1:10" x14ac:dyDescent="0.3">
      <c r="A2302" t="str">
        <f>_xlfn.XLOOKUP(branches[[#This Row],[Филиал]], tbl_Filialy[Филиал], tbl_Filialy[Город])</f>
        <v>Новосибирск</v>
      </c>
      <c r="B2302" s="1" t="s">
        <v>37</v>
      </c>
      <c r="C2302" s="2">
        <v>45677</v>
      </c>
      <c r="D2302" s="2" t="str">
        <f>CHOOSE(MONTH(branches[[#This Row],[Дата]]),"Январь","Февраль","Март","Апрель","Май","Июнь","Июль","Август","Сентябрь","Октябрь","Ноябрь","Декабрь")&amp;" "&amp;YEAR(branches[[#This Row],[Дата]])</f>
        <v>Январь 2025</v>
      </c>
      <c r="E2302" t="s">
        <v>8</v>
      </c>
      <c r="F2302" t="s">
        <v>9</v>
      </c>
      <c r="G2302">
        <v>1</v>
      </c>
      <c r="H2302">
        <v>256</v>
      </c>
      <c r="I2302" t="s">
        <v>32</v>
      </c>
      <c r="J2302" t="str">
        <f>_xlfn.XLOOKUP(branches[[#This Row],[Филиал]], tbl_Filialy[Филиал], tbl_Filialy[Менеджер])</f>
        <v>Ольга Кузнецова</v>
      </c>
    </row>
    <row r="2303" spans="1:10" x14ac:dyDescent="0.3">
      <c r="A2303" t="str">
        <f>_xlfn.XLOOKUP(branches[[#This Row],[Филиал]], tbl_Filialy[Филиал], tbl_Filialy[Город])</f>
        <v>Новосибирск</v>
      </c>
      <c r="B2303" s="1" t="s">
        <v>37</v>
      </c>
      <c r="C2303" s="2">
        <v>45935</v>
      </c>
      <c r="D2303" s="2" t="str">
        <f>CHOOSE(MONTH(branches[[#This Row],[Дата]]),"Январь","Февраль","Март","Апрель","Май","Июнь","Июль","Август","Сентябрь","Октябрь","Ноябрь","Декабрь")&amp;" "&amp;YEAR(branches[[#This Row],[Дата]])</f>
        <v>Октябрь 2025</v>
      </c>
      <c r="E2303" t="s">
        <v>11</v>
      </c>
      <c r="F2303" t="s">
        <v>12</v>
      </c>
      <c r="G2303">
        <v>1</v>
      </c>
      <c r="H2303">
        <v>173</v>
      </c>
      <c r="I2303" t="s">
        <v>35</v>
      </c>
      <c r="J2303" t="str">
        <f>_xlfn.XLOOKUP(branches[[#This Row],[Филиал]], tbl_Filialy[Филиал], tbl_Filialy[Менеджер])</f>
        <v>Ольга Кузнецова</v>
      </c>
    </row>
    <row r="2304" spans="1:10" x14ac:dyDescent="0.3">
      <c r="A2304" t="str">
        <f>_xlfn.XLOOKUP(branches[[#This Row],[Филиал]], tbl_Filialy[Филиал], tbl_Filialy[Город])</f>
        <v>Новосибирск</v>
      </c>
      <c r="B2304" s="1" t="s">
        <v>37</v>
      </c>
      <c r="C2304" s="2">
        <v>45852</v>
      </c>
      <c r="D2304" s="2" t="str">
        <f>CHOOSE(MONTH(branches[[#This Row],[Дата]]),"Январь","Февраль","Март","Апрель","Май","Июнь","Июль","Август","Сентябрь","Октябрь","Ноябрь","Декабрь")&amp;" "&amp;YEAR(branches[[#This Row],[Дата]])</f>
        <v>Июль 2025</v>
      </c>
      <c r="E2304" t="s">
        <v>20</v>
      </c>
      <c r="F2304" t="s">
        <v>12</v>
      </c>
      <c r="G2304">
        <v>2</v>
      </c>
      <c r="H2304">
        <v>568</v>
      </c>
      <c r="I2304" t="s">
        <v>34</v>
      </c>
      <c r="J2304" t="str">
        <f>_xlfn.XLOOKUP(branches[[#This Row],[Филиал]], tbl_Filialy[Филиал], tbl_Filialy[Менеджер])</f>
        <v>Ольга Кузнецова</v>
      </c>
    </row>
    <row r="2305" spans="1:10" x14ac:dyDescent="0.3">
      <c r="A2305" t="str">
        <f>_xlfn.XLOOKUP(branches[[#This Row],[Филиал]], tbl_Filialy[Филиал], tbl_Filialy[Город])</f>
        <v>Новосибирск</v>
      </c>
      <c r="B2305" s="1" t="s">
        <v>37</v>
      </c>
      <c r="C2305" s="2">
        <v>45735</v>
      </c>
      <c r="D2305" s="2" t="str">
        <f>CHOOSE(MONTH(branches[[#This Row],[Дата]]),"Январь","Февраль","Март","Апрель","Май","Июнь","Июль","Август","Сентябрь","Октябрь","Ноябрь","Декабрь")&amp;" "&amp;YEAR(branches[[#This Row],[Дата]])</f>
        <v>Март 2025</v>
      </c>
      <c r="E2305" t="s">
        <v>22</v>
      </c>
      <c r="F2305" t="s">
        <v>9</v>
      </c>
      <c r="G2305">
        <v>2</v>
      </c>
      <c r="H2305">
        <v>330</v>
      </c>
      <c r="I2305" t="s">
        <v>33</v>
      </c>
      <c r="J2305" t="str">
        <f>_xlfn.XLOOKUP(branches[[#This Row],[Филиал]], tbl_Filialy[Филиал], tbl_Filialy[Менеджер])</f>
        <v>Ольга Кузнецова</v>
      </c>
    </row>
    <row r="2306" spans="1:10" x14ac:dyDescent="0.3">
      <c r="A2306" t="str">
        <f>_xlfn.XLOOKUP(branches[[#This Row],[Филиал]], tbl_Filialy[Филиал], tbl_Filialy[Город])</f>
        <v>Новосибирск</v>
      </c>
      <c r="B2306" s="1" t="s">
        <v>37</v>
      </c>
      <c r="C2306" s="2">
        <v>45689</v>
      </c>
      <c r="D2306" s="2" t="str">
        <f>CHOOSE(MONTH(branches[[#This Row],[Дата]]),"Январь","Февраль","Март","Апрель","Май","Июнь","Июль","Август","Сентябрь","Октябрь","Ноябрь","Декабрь")&amp;" "&amp;YEAR(branches[[#This Row],[Дата]])</f>
        <v>Февраль 2025</v>
      </c>
      <c r="E2306" t="s">
        <v>11</v>
      </c>
      <c r="F2306" t="s">
        <v>12</v>
      </c>
      <c r="G2306">
        <v>1</v>
      </c>
      <c r="H2306">
        <v>164</v>
      </c>
      <c r="I2306" t="s">
        <v>13</v>
      </c>
      <c r="J2306" t="str">
        <f>_xlfn.XLOOKUP(branches[[#This Row],[Филиал]], tbl_Filialy[Филиал], tbl_Filialy[Менеджер])</f>
        <v>Ольга Кузнецова</v>
      </c>
    </row>
    <row r="2307" spans="1:10" x14ac:dyDescent="0.3">
      <c r="A2307" t="str">
        <f>_xlfn.XLOOKUP(branches[[#This Row],[Филиал]], tbl_Filialy[Филиал], tbl_Filialy[Город])</f>
        <v>Новосибирск</v>
      </c>
      <c r="B2307" s="1" t="s">
        <v>37</v>
      </c>
      <c r="C2307" s="2">
        <v>45711</v>
      </c>
      <c r="D2307" s="2" t="str">
        <f>CHOOSE(MONTH(branches[[#This Row],[Дата]]),"Январь","Февраль","Март","Апрель","Май","Июнь","Июль","Август","Сентябрь","Октябрь","Ноябрь","Декабрь")&amp;" "&amp;YEAR(branches[[#This Row],[Дата]])</f>
        <v>Февраль 2025</v>
      </c>
      <c r="E2307" t="s">
        <v>11</v>
      </c>
      <c r="F2307" t="s">
        <v>12</v>
      </c>
      <c r="G2307">
        <v>1</v>
      </c>
      <c r="H2307">
        <v>178</v>
      </c>
      <c r="I2307" t="s">
        <v>33</v>
      </c>
      <c r="J2307" t="str">
        <f>_xlfn.XLOOKUP(branches[[#This Row],[Филиал]], tbl_Filialy[Филиал], tbl_Filialy[Менеджер])</f>
        <v>Ольга Кузнецова</v>
      </c>
    </row>
    <row r="2308" spans="1:10" x14ac:dyDescent="0.3">
      <c r="A2308" t="str">
        <f>_xlfn.XLOOKUP(branches[[#This Row],[Филиал]], tbl_Filialy[Филиал], tbl_Filialy[Город])</f>
        <v>Новосибирск</v>
      </c>
      <c r="B2308" s="1" t="s">
        <v>37</v>
      </c>
      <c r="C2308" s="2">
        <v>45985</v>
      </c>
      <c r="D2308" s="2" t="str">
        <f>CHOOSE(MONTH(branches[[#This Row],[Дата]]),"Январь","Февраль","Март","Апрель","Май","Июнь","Июль","Август","Сентябрь","Октябрь","Ноябрь","Декабрь")&amp;" "&amp;YEAR(branches[[#This Row],[Дата]])</f>
        <v>Ноябрь 2025</v>
      </c>
      <c r="E2308" t="s">
        <v>14</v>
      </c>
      <c r="F2308" t="s">
        <v>12</v>
      </c>
      <c r="G2308">
        <v>1</v>
      </c>
      <c r="H2308">
        <v>288</v>
      </c>
      <c r="I2308" t="s">
        <v>19</v>
      </c>
      <c r="J2308" t="str">
        <f>_xlfn.XLOOKUP(branches[[#This Row],[Филиал]], tbl_Filialy[Филиал], tbl_Filialy[Менеджер])</f>
        <v>Ольга Кузнецова</v>
      </c>
    </row>
    <row r="2309" spans="1:10" x14ac:dyDescent="0.3">
      <c r="A2309" t="str">
        <f>_xlfn.XLOOKUP(branches[[#This Row],[Филиал]], tbl_Filialy[Филиал], tbl_Filialy[Город])</f>
        <v>Новосибирск</v>
      </c>
      <c r="B2309" s="1" t="s">
        <v>37</v>
      </c>
      <c r="C2309" s="2">
        <v>46002</v>
      </c>
      <c r="D2309" s="2" t="str">
        <f>CHOOSE(MONTH(branches[[#This Row],[Дата]]),"Январь","Февраль","Март","Апрель","Май","Июнь","Июль","Август","Сентябрь","Октябрь","Ноябрь","Декабрь")&amp;" "&amp;YEAR(branches[[#This Row],[Дата]])</f>
        <v>Декабрь 2025</v>
      </c>
      <c r="E2309" t="s">
        <v>11</v>
      </c>
      <c r="F2309" t="s">
        <v>12</v>
      </c>
      <c r="G2309">
        <v>1</v>
      </c>
      <c r="H2309">
        <v>190</v>
      </c>
      <c r="I2309" t="s">
        <v>19</v>
      </c>
      <c r="J2309" t="str">
        <f>_xlfn.XLOOKUP(branches[[#This Row],[Филиал]], tbl_Filialy[Филиал], tbl_Filialy[Менеджер])</f>
        <v>Ольга Кузнецова</v>
      </c>
    </row>
    <row r="2310" spans="1:10" x14ac:dyDescent="0.3">
      <c r="A2310" t="str">
        <f>_xlfn.XLOOKUP(branches[[#This Row],[Филиал]], tbl_Filialy[Филиал], tbl_Filialy[Город])</f>
        <v>Новосибирск</v>
      </c>
      <c r="B2310" s="1" t="s">
        <v>37</v>
      </c>
      <c r="C2310" s="2">
        <v>45884</v>
      </c>
      <c r="D2310" s="2" t="str">
        <f>CHOOSE(MONTH(branches[[#This Row],[Дата]]),"Январь","Февраль","Март","Апрель","Май","Июнь","Июль","Август","Сентябрь","Октябрь","Ноябрь","Декабрь")&amp;" "&amp;YEAR(branches[[#This Row],[Дата]])</f>
        <v>Август 2025</v>
      </c>
      <c r="E2310" t="s">
        <v>20</v>
      </c>
      <c r="F2310" t="s">
        <v>12</v>
      </c>
      <c r="G2310">
        <v>3</v>
      </c>
      <c r="H2310">
        <v>786</v>
      </c>
      <c r="I2310" t="s">
        <v>32</v>
      </c>
      <c r="J2310" t="str">
        <f>_xlfn.XLOOKUP(branches[[#This Row],[Филиал]], tbl_Filialy[Филиал], tbl_Filialy[Менеджер])</f>
        <v>Ольга Кузнецова</v>
      </c>
    </row>
    <row r="2311" spans="1:10" x14ac:dyDescent="0.3">
      <c r="A2311" t="str">
        <f>_xlfn.XLOOKUP(branches[[#This Row],[Филиал]], tbl_Filialy[Филиал], tbl_Filialy[Город])</f>
        <v>Новосибирск</v>
      </c>
      <c r="B2311" s="1" t="s">
        <v>37</v>
      </c>
      <c r="C2311" s="2">
        <v>45843</v>
      </c>
      <c r="D2311" s="2" t="str">
        <f>CHOOSE(MONTH(branches[[#This Row],[Дата]]),"Январь","Февраль","Март","Апрель","Май","Июнь","Июль","Август","Сентябрь","Октябрь","Ноябрь","Декабрь")&amp;" "&amp;YEAR(branches[[#This Row],[Дата]])</f>
        <v>Июль 2025</v>
      </c>
      <c r="E2311" t="s">
        <v>14</v>
      </c>
      <c r="F2311" t="s">
        <v>12</v>
      </c>
      <c r="G2311">
        <v>1</v>
      </c>
      <c r="H2311">
        <v>244</v>
      </c>
      <c r="I2311" t="s">
        <v>32</v>
      </c>
      <c r="J2311" t="str">
        <f>_xlfn.XLOOKUP(branches[[#This Row],[Филиал]], tbl_Filialy[Филиал], tbl_Filialy[Менеджер])</f>
        <v>Ольга Кузнецова</v>
      </c>
    </row>
    <row r="2312" spans="1:10" x14ac:dyDescent="0.3">
      <c r="A2312" t="str">
        <f>_xlfn.XLOOKUP(branches[[#This Row],[Филиал]], tbl_Filialy[Филиал], tbl_Filialy[Город])</f>
        <v>Новосибирск</v>
      </c>
      <c r="B2312" s="1" t="s">
        <v>37</v>
      </c>
      <c r="C2312" s="2">
        <v>46011</v>
      </c>
      <c r="D2312" s="2" t="str">
        <f>CHOOSE(MONTH(branches[[#This Row],[Дата]]),"Январь","Февраль","Март","Апрель","Май","Июнь","Июль","Август","Сентябрь","Октябрь","Ноябрь","Декабрь")&amp;" "&amp;YEAR(branches[[#This Row],[Дата]])</f>
        <v>Декабрь 2025</v>
      </c>
      <c r="E2312" t="s">
        <v>20</v>
      </c>
      <c r="F2312" t="s">
        <v>12</v>
      </c>
      <c r="G2312">
        <v>2</v>
      </c>
      <c r="H2312">
        <v>612</v>
      </c>
      <c r="I2312" t="s">
        <v>33</v>
      </c>
      <c r="J2312" t="str">
        <f>_xlfn.XLOOKUP(branches[[#This Row],[Филиал]], tbl_Filialy[Филиал], tbl_Filialy[Менеджер])</f>
        <v>Ольга Кузнецова</v>
      </c>
    </row>
    <row r="2313" spans="1:10" x14ac:dyDescent="0.3">
      <c r="A2313" t="str">
        <f>_xlfn.XLOOKUP(branches[[#This Row],[Филиал]], tbl_Filialy[Филиал], tbl_Filialy[Город])</f>
        <v>Новосибирск</v>
      </c>
      <c r="B2313" s="1" t="s">
        <v>37</v>
      </c>
      <c r="C2313" s="2">
        <v>45759</v>
      </c>
      <c r="D2313" s="2" t="str">
        <f>CHOOSE(MONTH(branches[[#This Row],[Дата]]),"Январь","Февраль","Март","Апрель","Май","Июнь","Июль","Август","Сентябрь","Октябрь","Ноябрь","Декабрь")&amp;" "&amp;YEAR(branches[[#This Row],[Дата]])</f>
        <v>Апрель 2025</v>
      </c>
      <c r="E2313" t="s">
        <v>14</v>
      </c>
      <c r="F2313" t="s">
        <v>12</v>
      </c>
      <c r="G2313">
        <v>1</v>
      </c>
      <c r="H2313">
        <v>281</v>
      </c>
      <c r="I2313" t="s">
        <v>33</v>
      </c>
      <c r="J2313" t="str">
        <f>_xlfn.XLOOKUP(branches[[#This Row],[Филиал]], tbl_Filialy[Филиал], tbl_Filialy[Менеджер])</f>
        <v>Ольга Кузнецова</v>
      </c>
    </row>
    <row r="2314" spans="1:10" x14ac:dyDescent="0.3">
      <c r="A2314" t="str">
        <f>_xlfn.XLOOKUP(branches[[#This Row],[Филиал]], tbl_Filialy[Филиал], tbl_Filialy[Город])</f>
        <v>Новосибирск</v>
      </c>
      <c r="B2314" s="1" t="s">
        <v>37</v>
      </c>
      <c r="C2314" s="2">
        <v>45926</v>
      </c>
      <c r="D2314" s="2" t="str">
        <f>CHOOSE(MONTH(branches[[#This Row],[Дата]]),"Январь","Февраль","Март","Апрель","Май","Июнь","Июль","Август","Сентябрь","Октябрь","Ноябрь","Декабрь")&amp;" "&amp;YEAR(branches[[#This Row],[Дата]])</f>
        <v>Сентябрь 2025</v>
      </c>
      <c r="E2314" t="s">
        <v>11</v>
      </c>
      <c r="F2314" t="s">
        <v>12</v>
      </c>
      <c r="G2314">
        <v>1</v>
      </c>
      <c r="H2314">
        <v>166</v>
      </c>
      <c r="I2314" t="s">
        <v>33</v>
      </c>
      <c r="J2314" t="str">
        <f>_xlfn.XLOOKUP(branches[[#This Row],[Филиал]], tbl_Filialy[Филиал], tbl_Filialy[Менеджер])</f>
        <v>Ольга Кузнецова</v>
      </c>
    </row>
    <row r="2315" spans="1:10" x14ac:dyDescent="0.3">
      <c r="A2315" t="str">
        <f>_xlfn.XLOOKUP(branches[[#This Row],[Филиал]], tbl_Filialy[Филиал], tbl_Filialy[Город])</f>
        <v>Новосибирск</v>
      </c>
      <c r="B2315" s="1" t="s">
        <v>37</v>
      </c>
      <c r="C2315" s="2">
        <v>45732</v>
      </c>
      <c r="D2315" s="2" t="str">
        <f>CHOOSE(MONTH(branches[[#This Row],[Дата]]),"Январь","Февраль","Март","Апрель","Май","Июнь","Июль","Август","Сентябрь","Октябрь","Ноябрь","Декабрь")&amp;" "&amp;YEAR(branches[[#This Row],[Дата]])</f>
        <v>Март 2025</v>
      </c>
      <c r="E2315" t="s">
        <v>22</v>
      </c>
      <c r="F2315" t="s">
        <v>9</v>
      </c>
      <c r="G2315">
        <v>2</v>
      </c>
      <c r="H2315">
        <v>342</v>
      </c>
      <c r="I2315" t="s">
        <v>35</v>
      </c>
      <c r="J2315" t="str">
        <f>_xlfn.XLOOKUP(branches[[#This Row],[Филиал]], tbl_Filialy[Филиал], tbl_Filialy[Менеджер])</f>
        <v>Ольга Кузнецова</v>
      </c>
    </row>
    <row r="2316" spans="1:10" x14ac:dyDescent="0.3">
      <c r="A2316" t="str">
        <f>_xlfn.XLOOKUP(branches[[#This Row],[Филиал]], tbl_Filialy[Филиал], tbl_Filialy[Город])</f>
        <v>Новосибирск</v>
      </c>
      <c r="B2316" s="1" t="s">
        <v>37</v>
      </c>
      <c r="C2316" s="2">
        <v>45882</v>
      </c>
      <c r="D2316" s="2" t="str">
        <f>CHOOSE(MONTH(branches[[#This Row],[Дата]]),"Январь","Февраль","Март","Апрель","Май","Июнь","Июль","Август","Сентябрь","Октябрь","Ноябрь","Декабрь")&amp;" "&amp;YEAR(branches[[#This Row],[Дата]])</f>
        <v>Август 2025</v>
      </c>
      <c r="E2316" t="s">
        <v>25</v>
      </c>
      <c r="F2316" t="s">
        <v>12</v>
      </c>
      <c r="G2316">
        <v>1</v>
      </c>
      <c r="H2316">
        <v>243</v>
      </c>
      <c r="I2316" t="s">
        <v>19</v>
      </c>
      <c r="J2316" t="str">
        <f>_xlfn.XLOOKUP(branches[[#This Row],[Филиал]], tbl_Filialy[Филиал], tbl_Filialy[Менеджер])</f>
        <v>Ольга Кузнецова</v>
      </c>
    </row>
    <row r="2317" spans="1:10" x14ac:dyDescent="0.3">
      <c r="A2317" t="str">
        <f>_xlfn.XLOOKUP(branches[[#This Row],[Филиал]], tbl_Filialy[Филиал], tbl_Filialy[Город])</f>
        <v>Новосибирск</v>
      </c>
      <c r="B2317" s="1" t="s">
        <v>37</v>
      </c>
      <c r="C2317" s="2">
        <v>45938</v>
      </c>
      <c r="D2317" s="2" t="str">
        <f>CHOOSE(MONTH(branches[[#This Row],[Дата]]),"Январь","Февраль","Март","Апрель","Май","Июнь","Июль","Август","Сентябрь","Октябрь","Ноябрь","Декабрь")&amp;" "&amp;YEAR(branches[[#This Row],[Дата]])</f>
        <v>Октябрь 2025</v>
      </c>
      <c r="E2317" t="s">
        <v>24</v>
      </c>
      <c r="F2317" t="s">
        <v>17</v>
      </c>
      <c r="G2317">
        <v>2</v>
      </c>
      <c r="H2317">
        <v>744</v>
      </c>
      <c r="I2317" t="s">
        <v>34</v>
      </c>
      <c r="J2317" t="str">
        <f>_xlfn.XLOOKUP(branches[[#This Row],[Филиал]], tbl_Filialy[Филиал], tbl_Filialy[Менеджер])</f>
        <v>Ольга Кузнецова</v>
      </c>
    </row>
    <row r="2318" spans="1:10" x14ac:dyDescent="0.3">
      <c r="A2318" t="str">
        <f>_xlfn.XLOOKUP(branches[[#This Row],[Филиал]], tbl_Filialy[Филиал], tbl_Filialy[Город])</f>
        <v>Новосибирск</v>
      </c>
      <c r="B2318" s="1" t="s">
        <v>37</v>
      </c>
      <c r="C2318" s="2">
        <v>45679</v>
      </c>
      <c r="D2318" s="2" t="str">
        <f>CHOOSE(MONTH(branches[[#This Row],[Дата]]),"Январь","Февраль","Март","Апрель","Май","Июнь","Июль","Август","Сентябрь","Октябрь","Ноябрь","Декабрь")&amp;" "&amp;YEAR(branches[[#This Row],[Дата]])</f>
        <v>Январь 2025</v>
      </c>
      <c r="E2318" t="s">
        <v>8</v>
      </c>
      <c r="F2318" t="s">
        <v>9</v>
      </c>
      <c r="G2318">
        <v>1</v>
      </c>
      <c r="H2318">
        <v>236</v>
      </c>
      <c r="I2318" t="s">
        <v>32</v>
      </c>
      <c r="J2318" t="str">
        <f>_xlfn.XLOOKUP(branches[[#This Row],[Филиал]], tbl_Filialy[Филиал], tbl_Filialy[Менеджер])</f>
        <v>Ольга Кузнецова</v>
      </c>
    </row>
    <row r="2319" spans="1:10" x14ac:dyDescent="0.3">
      <c r="A2319" t="str">
        <f>_xlfn.XLOOKUP(branches[[#This Row],[Филиал]], tbl_Filialy[Филиал], tbl_Filialy[Город])</f>
        <v>Новосибирск</v>
      </c>
      <c r="B2319" s="1" t="s">
        <v>37</v>
      </c>
      <c r="C2319" s="2">
        <v>45714</v>
      </c>
      <c r="D2319" s="2" t="str">
        <f>CHOOSE(MONTH(branches[[#This Row],[Дата]]),"Январь","Февраль","Март","Апрель","Май","Июнь","Июль","Август","Сентябрь","Октябрь","Ноябрь","Декабрь")&amp;" "&amp;YEAR(branches[[#This Row],[Дата]])</f>
        <v>Февраль 2025</v>
      </c>
      <c r="E2319" t="s">
        <v>18</v>
      </c>
      <c r="F2319" t="s">
        <v>12</v>
      </c>
      <c r="G2319">
        <v>2</v>
      </c>
      <c r="H2319">
        <v>278</v>
      </c>
      <c r="I2319" t="s">
        <v>32</v>
      </c>
      <c r="J2319" t="str">
        <f>_xlfn.XLOOKUP(branches[[#This Row],[Филиал]], tbl_Filialy[Филиал], tbl_Filialy[Менеджер])</f>
        <v>Ольга Кузнецова</v>
      </c>
    </row>
    <row r="2320" spans="1:10" x14ac:dyDescent="0.3">
      <c r="A2320" t="str">
        <f>_xlfn.XLOOKUP(branches[[#This Row],[Филиал]], tbl_Filialy[Филиал], tbl_Filialy[Город])</f>
        <v>Новосибирск</v>
      </c>
      <c r="B2320" s="1" t="s">
        <v>37</v>
      </c>
      <c r="C2320" s="2">
        <v>45728</v>
      </c>
      <c r="D2320" s="2" t="str">
        <f>CHOOSE(MONTH(branches[[#This Row],[Дата]]),"Январь","Февраль","Март","Апрель","Май","Июнь","Июль","Август","Сентябрь","Октябрь","Ноябрь","Декабрь")&amp;" "&amp;YEAR(branches[[#This Row],[Дата]])</f>
        <v>Март 2025</v>
      </c>
      <c r="E2320" t="s">
        <v>8</v>
      </c>
      <c r="F2320" t="s">
        <v>9</v>
      </c>
      <c r="G2320">
        <v>1</v>
      </c>
      <c r="H2320">
        <v>222</v>
      </c>
      <c r="I2320" t="s">
        <v>19</v>
      </c>
      <c r="J2320" t="str">
        <f>_xlfn.XLOOKUP(branches[[#This Row],[Филиал]], tbl_Filialy[Филиал], tbl_Filialy[Менеджер])</f>
        <v>Ольга Кузнецова</v>
      </c>
    </row>
    <row r="2321" spans="1:10" x14ac:dyDescent="0.3">
      <c r="A2321" t="str">
        <f>_xlfn.XLOOKUP(branches[[#This Row],[Филиал]], tbl_Filialy[Филиал], tbl_Filialy[Город])</f>
        <v>Новосибирск</v>
      </c>
      <c r="B2321" s="1" t="s">
        <v>37</v>
      </c>
      <c r="C2321" s="2">
        <v>45668</v>
      </c>
      <c r="D2321" s="2" t="str">
        <f>CHOOSE(MONTH(branches[[#This Row],[Дата]]),"Январь","Февраль","Март","Апрель","Май","Июнь","Июль","Август","Сентябрь","Октябрь","Ноябрь","Декабрь")&amp;" "&amp;YEAR(branches[[#This Row],[Дата]])</f>
        <v>Январь 2025</v>
      </c>
      <c r="E2321" t="s">
        <v>18</v>
      </c>
      <c r="F2321" t="s">
        <v>12</v>
      </c>
      <c r="G2321">
        <v>1</v>
      </c>
      <c r="H2321">
        <v>151</v>
      </c>
      <c r="I2321" t="s">
        <v>19</v>
      </c>
      <c r="J2321" t="str">
        <f>_xlfn.XLOOKUP(branches[[#This Row],[Филиал]], tbl_Filialy[Филиал], tbl_Filialy[Менеджер])</f>
        <v>Ольга Кузнецова</v>
      </c>
    </row>
    <row r="2322" spans="1:10" x14ac:dyDescent="0.3">
      <c r="A2322" t="str">
        <f>_xlfn.XLOOKUP(branches[[#This Row],[Филиал]], tbl_Filialy[Филиал], tbl_Filialy[Город])</f>
        <v>Новосибирск</v>
      </c>
      <c r="B2322" s="1" t="s">
        <v>37</v>
      </c>
      <c r="C2322" s="2">
        <v>45988</v>
      </c>
      <c r="D2322" s="2" t="str">
        <f>CHOOSE(MONTH(branches[[#This Row],[Дата]]),"Январь","Февраль","Март","Апрель","Май","Июнь","Июль","Август","Сентябрь","Октябрь","Ноябрь","Декабрь")&amp;" "&amp;YEAR(branches[[#This Row],[Дата]])</f>
        <v>Ноябрь 2025</v>
      </c>
      <c r="E2322" t="s">
        <v>8</v>
      </c>
      <c r="F2322" t="s">
        <v>9</v>
      </c>
      <c r="G2322">
        <v>3</v>
      </c>
      <c r="H2322">
        <v>813</v>
      </c>
      <c r="I2322" t="s">
        <v>13</v>
      </c>
      <c r="J2322" t="str">
        <f>_xlfn.XLOOKUP(branches[[#This Row],[Филиал]], tbl_Filialy[Филиал], tbl_Filialy[Менеджер])</f>
        <v>Ольга Кузнецова</v>
      </c>
    </row>
    <row r="2323" spans="1:10" x14ac:dyDescent="0.3">
      <c r="A2323" t="str">
        <f>_xlfn.XLOOKUP(branches[[#This Row],[Филиал]], tbl_Filialy[Филиал], tbl_Filialy[Город])</f>
        <v>Новосибирск</v>
      </c>
      <c r="B2323" s="1" t="s">
        <v>37</v>
      </c>
      <c r="C2323" s="2">
        <v>45848</v>
      </c>
      <c r="D2323" s="2" t="str">
        <f>CHOOSE(MONTH(branches[[#This Row],[Дата]]),"Январь","Февраль","Март","Апрель","Май","Июнь","Июль","Август","Сентябрь","Октябрь","Ноябрь","Декабрь")&amp;" "&amp;YEAR(branches[[#This Row],[Дата]])</f>
        <v>Июль 2025</v>
      </c>
      <c r="E2323" t="s">
        <v>20</v>
      </c>
      <c r="F2323" t="s">
        <v>12</v>
      </c>
      <c r="G2323">
        <v>1</v>
      </c>
      <c r="H2323">
        <v>309</v>
      </c>
      <c r="I2323" t="s">
        <v>35</v>
      </c>
      <c r="J2323" t="str">
        <f>_xlfn.XLOOKUP(branches[[#This Row],[Филиал]], tbl_Filialy[Филиал], tbl_Filialy[Менеджер])</f>
        <v>Ольга Кузнецова</v>
      </c>
    </row>
    <row r="2324" spans="1:10" x14ac:dyDescent="0.3">
      <c r="A2324" t="str">
        <f>_xlfn.XLOOKUP(branches[[#This Row],[Филиал]], tbl_Filialy[Филиал], tbl_Filialy[Город])</f>
        <v>Новосибирск</v>
      </c>
      <c r="B2324" s="1" t="s">
        <v>37</v>
      </c>
      <c r="C2324" s="2">
        <v>45895</v>
      </c>
      <c r="D2324" s="2" t="str">
        <f>CHOOSE(MONTH(branches[[#This Row],[Дата]]),"Январь","Февраль","Март","Апрель","Май","Июнь","Июль","Август","Сентябрь","Октябрь","Ноябрь","Декабрь")&amp;" "&amp;YEAR(branches[[#This Row],[Дата]])</f>
        <v>Август 2025</v>
      </c>
      <c r="E2324" t="s">
        <v>20</v>
      </c>
      <c r="F2324" t="s">
        <v>12</v>
      </c>
      <c r="G2324">
        <v>2</v>
      </c>
      <c r="H2324">
        <v>540</v>
      </c>
      <c r="I2324" t="s">
        <v>13</v>
      </c>
      <c r="J2324" t="str">
        <f>_xlfn.XLOOKUP(branches[[#This Row],[Филиал]], tbl_Filialy[Филиал], tbl_Filialy[Менеджер])</f>
        <v>Ольга Кузнецова</v>
      </c>
    </row>
    <row r="2325" spans="1:10" x14ac:dyDescent="0.3">
      <c r="A2325" t="str">
        <f>_xlfn.XLOOKUP(branches[[#This Row],[Филиал]], tbl_Filialy[Филиал], tbl_Filialy[Город])</f>
        <v>Новосибирск</v>
      </c>
      <c r="B2325" s="1" t="s">
        <v>37</v>
      </c>
      <c r="C2325" s="2">
        <v>45809</v>
      </c>
      <c r="D2325" s="2" t="str">
        <f>CHOOSE(MONTH(branches[[#This Row],[Дата]]),"Январь","Февраль","Март","Апрель","Май","Июнь","Июль","Август","Сентябрь","Октябрь","Ноябрь","Декабрь")&amp;" "&amp;YEAR(branches[[#This Row],[Дата]])</f>
        <v>Июнь 2025</v>
      </c>
      <c r="E2325" t="s">
        <v>14</v>
      </c>
      <c r="F2325" t="s">
        <v>12</v>
      </c>
      <c r="G2325">
        <v>1</v>
      </c>
      <c r="H2325">
        <v>267</v>
      </c>
      <c r="I2325" t="s">
        <v>32</v>
      </c>
      <c r="J2325" t="str">
        <f>_xlfn.XLOOKUP(branches[[#This Row],[Филиал]], tbl_Filialy[Филиал], tbl_Filialy[Менеджер])</f>
        <v>Ольга Кузнецова</v>
      </c>
    </row>
    <row r="2326" spans="1:10" x14ac:dyDescent="0.3">
      <c r="A2326" t="str">
        <f>_xlfn.XLOOKUP(branches[[#This Row],[Филиал]], tbl_Filialy[Филиал], tbl_Filialy[Город])</f>
        <v>Новосибирск</v>
      </c>
      <c r="B2326" s="1" t="s">
        <v>37</v>
      </c>
      <c r="C2326" s="2">
        <v>45725</v>
      </c>
      <c r="D2326" s="2" t="str">
        <f>CHOOSE(MONTH(branches[[#This Row],[Дата]]),"Январь","Февраль","Март","Апрель","Май","Июнь","Июль","Август","Сентябрь","Октябрь","Ноябрь","Декабрь")&amp;" "&amp;YEAR(branches[[#This Row],[Дата]])</f>
        <v>Март 2025</v>
      </c>
      <c r="E2326" t="s">
        <v>8</v>
      </c>
      <c r="F2326" t="s">
        <v>9</v>
      </c>
      <c r="G2326">
        <v>1</v>
      </c>
      <c r="H2326">
        <v>266</v>
      </c>
      <c r="I2326" t="s">
        <v>19</v>
      </c>
      <c r="J2326" t="str">
        <f>_xlfn.XLOOKUP(branches[[#This Row],[Филиал]], tbl_Filialy[Филиал], tbl_Filialy[Менеджер])</f>
        <v>Ольга Кузнецова</v>
      </c>
    </row>
    <row r="2327" spans="1:10" x14ac:dyDescent="0.3">
      <c r="A2327" t="str">
        <f>_xlfn.XLOOKUP(branches[[#This Row],[Филиал]], tbl_Filialy[Филиал], tbl_Filialy[Город])</f>
        <v>Новосибирск</v>
      </c>
      <c r="B2327" s="1" t="s">
        <v>37</v>
      </c>
      <c r="C2327" s="2">
        <v>46010</v>
      </c>
      <c r="D2327" s="2" t="str">
        <f>CHOOSE(MONTH(branches[[#This Row],[Дата]]),"Январь","Февраль","Март","Апрель","Май","Июнь","Июль","Август","Сентябрь","Октябрь","Ноябрь","Декабрь")&amp;" "&amp;YEAR(branches[[#This Row],[Дата]])</f>
        <v>Декабрь 2025</v>
      </c>
      <c r="E2327" t="s">
        <v>18</v>
      </c>
      <c r="F2327" t="s">
        <v>12</v>
      </c>
      <c r="G2327">
        <v>2</v>
      </c>
      <c r="H2327">
        <v>266</v>
      </c>
      <c r="I2327" t="s">
        <v>35</v>
      </c>
      <c r="J2327" t="str">
        <f>_xlfn.XLOOKUP(branches[[#This Row],[Филиал]], tbl_Filialy[Филиал], tbl_Filialy[Менеджер])</f>
        <v>Ольга Кузнецова</v>
      </c>
    </row>
    <row r="2328" spans="1:10" x14ac:dyDescent="0.3">
      <c r="A2328" t="str">
        <f>_xlfn.XLOOKUP(branches[[#This Row],[Филиал]], tbl_Filialy[Филиал], tbl_Filialy[Город])</f>
        <v>Новосибирск</v>
      </c>
      <c r="B2328" s="1" t="s">
        <v>37</v>
      </c>
      <c r="C2328" s="2">
        <v>45689</v>
      </c>
      <c r="D2328" s="2" t="str">
        <f>CHOOSE(MONTH(branches[[#This Row],[Дата]]),"Январь","Февраль","Март","Апрель","Май","Июнь","Июль","Август","Сентябрь","Октябрь","Ноябрь","Декабрь")&amp;" "&amp;YEAR(branches[[#This Row],[Дата]])</f>
        <v>Февраль 2025</v>
      </c>
      <c r="E2328" t="s">
        <v>24</v>
      </c>
      <c r="F2328" t="s">
        <v>17</v>
      </c>
      <c r="G2328">
        <v>2</v>
      </c>
      <c r="H2328">
        <v>674</v>
      </c>
      <c r="I2328" t="s">
        <v>35</v>
      </c>
      <c r="J2328" t="str">
        <f>_xlfn.XLOOKUP(branches[[#This Row],[Филиал]], tbl_Filialy[Филиал], tbl_Filialy[Менеджер])</f>
        <v>Ольга Кузнецова</v>
      </c>
    </row>
    <row r="2329" spans="1:10" x14ac:dyDescent="0.3">
      <c r="A2329" t="str">
        <f>_xlfn.XLOOKUP(branches[[#This Row],[Филиал]], tbl_Filialy[Филиал], tbl_Filialy[Город])</f>
        <v>Новосибирск</v>
      </c>
      <c r="B2329" s="1" t="s">
        <v>37</v>
      </c>
      <c r="C2329" s="2">
        <v>45829</v>
      </c>
      <c r="D2329" s="2" t="str">
        <f>CHOOSE(MONTH(branches[[#This Row],[Дата]]),"Январь","Февраль","Март","Апрель","Май","Июнь","Июль","Август","Сентябрь","Октябрь","Ноябрь","Декабрь")&amp;" "&amp;YEAR(branches[[#This Row],[Дата]])</f>
        <v>Июнь 2025</v>
      </c>
      <c r="E2329" t="s">
        <v>14</v>
      </c>
      <c r="F2329" t="s">
        <v>12</v>
      </c>
      <c r="G2329">
        <v>1</v>
      </c>
      <c r="H2329">
        <v>251</v>
      </c>
      <c r="I2329" t="s">
        <v>35</v>
      </c>
      <c r="J2329" t="str">
        <f>_xlfn.XLOOKUP(branches[[#This Row],[Филиал]], tbl_Filialy[Филиал], tbl_Filialy[Менеджер])</f>
        <v>Ольга Кузнецова</v>
      </c>
    </row>
    <row r="2330" spans="1:10" x14ac:dyDescent="0.3">
      <c r="A2330" t="str">
        <f>_xlfn.XLOOKUP(branches[[#This Row],[Филиал]], tbl_Filialy[Филиал], tbl_Filialy[Город])</f>
        <v>Новосибирск</v>
      </c>
      <c r="B2330" s="1" t="s">
        <v>37</v>
      </c>
      <c r="C2330" s="2">
        <v>45973</v>
      </c>
      <c r="D2330" s="2" t="str">
        <f>CHOOSE(MONTH(branches[[#This Row],[Дата]]),"Январь","Февраль","Март","Апрель","Май","Июнь","Июль","Август","Сентябрь","Октябрь","Ноябрь","Декабрь")&amp;" "&amp;YEAR(branches[[#This Row],[Дата]])</f>
        <v>Ноябрь 2025</v>
      </c>
      <c r="E2330" t="s">
        <v>11</v>
      </c>
      <c r="F2330" t="s">
        <v>12</v>
      </c>
      <c r="G2330">
        <v>1</v>
      </c>
      <c r="H2330">
        <v>188</v>
      </c>
      <c r="I2330" t="s">
        <v>19</v>
      </c>
      <c r="J2330" t="str">
        <f>_xlfn.XLOOKUP(branches[[#This Row],[Филиал]], tbl_Filialy[Филиал], tbl_Filialy[Менеджер])</f>
        <v>Ольга Кузнецова</v>
      </c>
    </row>
    <row r="2331" spans="1:10" x14ac:dyDescent="0.3">
      <c r="A2331" t="str">
        <f>_xlfn.XLOOKUP(branches[[#This Row],[Филиал]], tbl_Filialy[Филиал], tbl_Filialy[Город])</f>
        <v>Новосибирск</v>
      </c>
      <c r="B2331" s="1" t="s">
        <v>37</v>
      </c>
      <c r="C2331" s="2">
        <v>45923</v>
      </c>
      <c r="D2331" s="2" t="str">
        <f>CHOOSE(MONTH(branches[[#This Row],[Дата]]),"Январь","Февраль","Март","Апрель","Май","Июнь","Июль","Август","Сентябрь","Октябрь","Ноябрь","Декабрь")&amp;" "&amp;YEAR(branches[[#This Row],[Дата]])</f>
        <v>Сентябрь 2025</v>
      </c>
      <c r="E2331" t="s">
        <v>16</v>
      </c>
      <c r="F2331" t="s">
        <v>17</v>
      </c>
      <c r="G2331">
        <v>1</v>
      </c>
      <c r="H2331">
        <v>309</v>
      </c>
      <c r="I2331" t="s">
        <v>19</v>
      </c>
      <c r="J2331" t="str">
        <f>_xlfn.XLOOKUP(branches[[#This Row],[Филиал]], tbl_Filialy[Филиал], tbl_Filialy[Менеджер])</f>
        <v>Ольга Кузнецова</v>
      </c>
    </row>
    <row r="2332" spans="1:10" x14ac:dyDescent="0.3">
      <c r="A2332" t="str">
        <f>_xlfn.XLOOKUP(branches[[#This Row],[Филиал]], tbl_Filialy[Филиал], tbl_Filialy[Город])</f>
        <v>Новосибирск</v>
      </c>
      <c r="B2332" s="1" t="s">
        <v>37</v>
      </c>
      <c r="C2332" s="2">
        <v>45954</v>
      </c>
      <c r="D2332" s="2" t="str">
        <f>CHOOSE(MONTH(branches[[#This Row],[Дата]]),"Январь","Февраль","Март","Апрель","Май","Июнь","Июль","Август","Сентябрь","Октябрь","Ноябрь","Декабрь")&amp;" "&amp;YEAR(branches[[#This Row],[Дата]])</f>
        <v>Октябрь 2025</v>
      </c>
      <c r="E2332" t="s">
        <v>28</v>
      </c>
      <c r="F2332" t="s">
        <v>12</v>
      </c>
      <c r="G2332">
        <v>1</v>
      </c>
      <c r="H2332">
        <v>253</v>
      </c>
      <c r="I2332" t="s">
        <v>35</v>
      </c>
      <c r="J2332" t="str">
        <f>_xlfn.XLOOKUP(branches[[#This Row],[Филиал]], tbl_Filialy[Филиал], tbl_Filialy[Менеджер])</f>
        <v>Ольга Кузнецова</v>
      </c>
    </row>
    <row r="2333" spans="1:10" x14ac:dyDescent="0.3">
      <c r="A2333" t="str">
        <f>_xlfn.XLOOKUP(branches[[#This Row],[Филиал]], tbl_Filialy[Филиал], tbl_Filialy[Город])</f>
        <v>Новосибирск</v>
      </c>
      <c r="B2333" s="1" t="s">
        <v>37</v>
      </c>
      <c r="C2333" s="2">
        <v>45779</v>
      </c>
      <c r="D2333" s="2" t="str">
        <f>CHOOSE(MONTH(branches[[#This Row],[Дата]]),"Январь","Февраль","Март","Апрель","Май","Июнь","Июль","Август","Сентябрь","Октябрь","Ноябрь","Декабрь")&amp;" "&amp;YEAR(branches[[#This Row],[Дата]])</f>
        <v>Май 2025</v>
      </c>
      <c r="E2333" t="s">
        <v>27</v>
      </c>
      <c r="F2333" t="s">
        <v>12</v>
      </c>
      <c r="G2333">
        <v>2</v>
      </c>
      <c r="H2333">
        <v>396</v>
      </c>
      <c r="I2333" t="s">
        <v>19</v>
      </c>
      <c r="J2333" t="str">
        <f>_xlfn.XLOOKUP(branches[[#This Row],[Филиал]], tbl_Filialy[Филиал], tbl_Filialy[Менеджер])</f>
        <v>Ольга Кузнецова</v>
      </c>
    </row>
    <row r="2334" spans="1:10" x14ac:dyDescent="0.3">
      <c r="A2334" t="str">
        <f>_xlfn.XLOOKUP(branches[[#This Row],[Филиал]], tbl_Filialy[Филиал], tbl_Filialy[Город])</f>
        <v>Новосибирск</v>
      </c>
      <c r="B2334" s="1" t="s">
        <v>37</v>
      </c>
      <c r="C2334" s="2">
        <v>45849</v>
      </c>
      <c r="D2334" s="2" t="str">
        <f>CHOOSE(MONTH(branches[[#This Row],[Дата]]),"Январь","Февраль","Март","Апрель","Май","Июнь","Июль","Август","Сентябрь","Октябрь","Ноябрь","Декабрь")&amp;" "&amp;YEAR(branches[[#This Row],[Дата]])</f>
        <v>Июль 2025</v>
      </c>
      <c r="E2334" t="s">
        <v>26</v>
      </c>
      <c r="F2334" t="s">
        <v>9</v>
      </c>
      <c r="G2334">
        <v>3</v>
      </c>
      <c r="H2334">
        <v>585</v>
      </c>
      <c r="I2334" t="s">
        <v>34</v>
      </c>
      <c r="J2334" t="str">
        <f>_xlfn.XLOOKUP(branches[[#This Row],[Филиал]], tbl_Filialy[Филиал], tbl_Filialy[Менеджер])</f>
        <v>Ольга Кузнецова</v>
      </c>
    </row>
    <row r="2335" spans="1:10" x14ac:dyDescent="0.3">
      <c r="A2335" t="str">
        <f>_xlfn.XLOOKUP(branches[[#This Row],[Филиал]], tbl_Filialy[Филиал], tbl_Filialy[Город])</f>
        <v>Новосибирск</v>
      </c>
      <c r="B2335" s="1" t="s">
        <v>37</v>
      </c>
      <c r="C2335" s="2">
        <v>45936</v>
      </c>
      <c r="D2335" s="2" t="str">
        <f>CHOOSE(MONTH(branches[[#This Row],[Дата]]),"Январь","Февраль","Март","Апрель","Май","Июнь","Июль","Август","Сентябрь","Октябрь","Ноябрь","Декабрь")&amp;" "&amp;YEAR(branches[[#This Row],[Дата]])</f>
        <v>Октябрь 2025</v>
      </c>
      <c r="E2335" t="s">
        <v>18</v>
      </c>
      <c r="F2335" t="s">
        <v>12</v>
      </c>
      <c r="G2335">
        <v>3</v>
      </c>
      <c r="H2335">
        <v>459</v>
      </c>
      <c r="I2335" t="s">
        <v>32</v>
      </c>
      <c r="J2335" t="str">
        <f>_xlfn.XLOOKUP(branches[[#This Row],[Филиал]], tbl_Filialy[Филиал], tbl_Filialy[Менеджер])</f>
        <v>Ольга Кузнецова</v>
      </c>
    </row>
    <row r="2336" spans="1:10" x14ac:dyDescent="0.3">
      <c r="A2336" t="str">
        <f>_xlfn.XLOOKUP(branches[[#This Row],[Филиал]], tbl_Filialy[Филиал], tbl_Filialy[Город])</f>
        <v>Новосибирск</v>
      </c>
      <c r="B2336" s="1" t="s">
        <v>37</v>
      </c>
      <c r="C2336" s="2">
        <v>46008</v>
      </c>
      <c r="D2336" s="2" t="str">
        <f>CHOOSE(MONTH(branches[[#This Row],[Дата]]),"Январь","Февраль","Март","Апрель","Май","Июнь","Июль","Август","Сентябрь","Октябрь","Ноябрь","Декабрь")&amp;" "&amp;YEAR(branches[[#This Row],[Дата]])</f>
        <v>Декабрь 2025</v>
      </c>
      <c r="E2336" t="s">
        <v>20</v>
      </c>
      <c r="F2336" t="s">
        <v>12</v>
      </c>
      <c r="G2336">
        <v>2</v>
      </c>
      <c r="H2336">
        <v>626</v>
      </c>
      <c r="I2336" t="s">
        <v>33</v>
      </c>
      <c r="J2336" t="str">
        <f>_xlfn.XLOOKUP(branches[[#This Row],[Филиал]], tbl_Filialy[Филиал], tbl_Filialy[Менеджер])</f>
        <v>Ольга Кузнецова</v>
      </c>
    </row>
    <row r="2337" spans="1:10" x14ac:dyDescent="0.3">
      <c r="A2337" t="str">
        <f>_xlfn.XLOOKUP(branches[[#This Row],[Филиал]], tbl_Filialy[Филиал], tbl_Filialy[Город])</f>
        <v>Новосибирск</v>
      </c>
      <c r="B2337" s="1" t="s">
        <v>37</v>
      </c>
      <c r="C2337" s="2">
        <v>45928</v>
      </c>
      <c r="D2337" s="2" t="str">
        <f>CHOOSE(MONTH(branches[[#This Row],[Дата]]),"Январь","Февраль","Март","Апрель","Май","Июнь","Июль","Август","Сентябрь","Октябрь","Ноябрь","Декабрь")&amp;" "&amp;YEAR(branches[[#This Row],[Дата]])</f>
        <v>Сентябрь 2025</v>
      </c>
      <c r="E2337" t="s">
        <v>26</v>
      </c>
      <c r="F2337" t="s">
        <v>9</v>
      </c>
      <c r="G2337">
        <v>2</v>
      </c>
      <c r="H2337">
        <v>430</v>
      </c>
      <c r="I2337" t="s">
        <v>32</v>
      </c>
      <c r="J2337" t="str">
        <f>_xlfn.XLOOKUP(branches[[#This Row],[Филиал]], tbl_Filialy[Филиал], tbl_Filialy[Менеджер])</f>
        <v>Ольга Кузнецова</v>
      </c>
    </row>
    <row r="2338" spans="1:10" x14ac:dyDescent="0.3">
      <c r="A2338" t="str">
        <f>_xlfn.XLOOKUP(branches[[#This Row],[Филиал]], tbl_Filialy[Филиал], tbl_Filialy[Город])</f>
        <v>Новосибирск</v>
      </c>
      <c r="B2338" s="1" t="s">
        <v>37</v>
      </c>
      <c r="C2338" s="2">
        <v>45836</v>
      </c>
      <c r="D2338" s="2" t="str">
        <f>CHOOSE(MONTH(branches[[#This Row],[Дата]]),"Январь","Февраль","Март","Апрель","Май","Июнь","Июль","Август","Сентябрь","Октябрь","Ноябрь","Декабрь")&amp;" "&amp;YEAR(branches[[#This Row],[Дата]])</f>
        <v>Июнь 2025</v>
      </c>
      <c r="E2338" t="s">
        <v>16</v>
      </c>
      <c r="F2338" t="s">
        <v>17</v>
      </c>
      <c r="G2338">
        <v>1</v>
      </c>
      <c r="H2338">
        <v>283</v>
      </c>
      <c r="I2338" t="s">
        <v>13</v>
      </c>
      <c r="J2338" t="str">
        <f>_xlfn.XLOOKUP(branches[[#This Row],[Филиал]], tbl_Filialy[Филиал], tbl_Filialy[Менеджер])</f>
        <v>Ольга Кузнецова</v>
      </c>
    </row>
    <row r="2339" spans="1:10" x14ac:dyDescent="0.3">
      <c r="A2339" t="str">
        <f>_xlfn.XLOOKUP(branches[[#This Row],[Филиал]], tbl_Filialy[Филиал], tbl_Filialy[Город])</f>
        <v>Новосибирск</v>
      </c>
      <c r="B2339" s="1" t="s">
        <v>37</v>
      </c>
      <c r="C2339" s="2">
        <v>45890</v>
      </c>
      <c r="D2339" s="2" t="str">
        <f>CHOOSE(MONTH(branches[[#This Row],[Дата]]),"Январь","Февраль","Март","Апрель","Май","Июнь","Июль","Август","Сентябрь","Октябрь","Ноябрь","Декабрь")&amp;" "&amp;YEAR(branches[[#This Row],[Дата]])</f>
        <v>Август 2025</v>
      </c>
      <c r="E2339" t="s">
        <v>27</v>
      </c>
      <c r="F2339" t="s">
        <v>12</v>
      </c>
      <c r="G2339">
        <v>1</v>
      </c>
      <c r="H2339">
        <v>187</v>
      </c>
      <c r="I2339" t="s">
        <v>33</v>
      </c>
      <c r="J2339" t="str">
        <f>_xlfn.XLOOKUP(branches[[#This Row],[Филиал]], tbl_Filialy[Филиал], tbl_Filialy[Менеджер])</f>
        <v>Ольга Кузнецова</v>
      </c>
    </row>
    <row r="2340" spans="1:10" x14ac:dyDescent="0.3">
      <c r="A2340" t="str">
        <f>_xlfn.XLOOKUP(branches[[#This Row],[Филиал]], tbl_Filialy[Филиал], tbl_Filialy[Город])</f>
        <v>Новосибирск</v>
      </c>
      <c r="B2340" s="1" t="s">
        <v>37</v>
      </c>
      <c r="C2340" s="2">
        <v>45783</v>
      </c>
      <c r="D2340" s="2" t="str">
        <f>CHOOSE(MONTH(branches[[#This Row],[Дата]]),"Январь","Февраль","Март","Апрель","Май","Июнь","Июль","Август","Сентябрь","Октябрь","Ноябрь","Декабрь")&amp;" "&amp;YEAR(branches[[#This Row],[Дата]])</f>
        <v>Май 2025</v>
      </c>
      <c r="E2340" t="s">
        <v>28</v>
      </c>
      <c r="F2340" t="s">
        <v>12</v>
      </c>
      <c r="G2340">
        <v>2</v>
      </c>
      <c r="H2340">
        <v>436</v>
      </c>
      <c r="I2340" t="s">
        <v>29</v>
      </c>
      <c r="J2340" t="str">
        <f>_xlfn.XLOOKUP(branches[[#This Row],[Филиал]], tbl_Filialy[Филиал], tbl_Filialy[Менеджер])</f>
        <v>Ольга Кузнецова</v>
      </c>
    </row>
    <row r="2341" spans="1:10" x14ac:dyDescent="0.3">
      <c r="A2341" t="str">
        <f>_xlfn.XLOOKUP(branches[[#This Row],[Филиал]], tbl_Filialy[Филиал], tbl_Filialy[Город])</f>
        <v>Новосибирск</v>
      </c>
      <c r="B2341" s="1" t="s">
        <v>37</v>
      </c>
      <c r="C2341" s="2">
        <v>45927</v>
      </c>
      <c r="D2341" s="2" t="str">
        <f>CHOOSE(MONTH(branches[[#This Row],[Дата]]),"Январь","Февраль","Март","Апрель","Май","Июнь","Июль","Август","Сентябрь","Октябрь","Ноябрь","Декабрь")&amp;" "&amp;YEAR(branches[[#This Row],[Дата]])</f>
        <v>Сентябрь 2025</v>
      </c>
      <c r="E2341" t="s">
        <v>20</v>
      </c>
      <c r="F2341" t="s">
        <v>12</v>
      </c>
      <c r="G2341">
        <v>1</v>
      </c>
      <c r="H2341">
        <v>284</v>
      </c>
      <c r="I2341" t="s">
        <v>19</v>
      </c>
      <c r="J2341" t="str">
        <f>_xlfn.XLOOKUP(branches[[#This Row],[Филиал]], tbl_Filialy[Филиал], tbl_Filialy[Менеджер])</f>
        <v>Ольга Кузнецова</v>
      </c>
    </row>
    <row r="2342" spans="1:10" x14ac:dyDescent="0.3">
      <c r="A2342" t="str">
        <f>_xlfn.XLOOKUP(branches[[#This Row],[Филиал]], tbl_Filialy[Филиал], tbl_Filialy[Город])</f>
        <v>Новосибирск</v>
      </c>
      <c r="B2342" s="1" t="s">
        <v>37</v>
      </c>
      <c r="C2342" s="2">
        <v>45876</v>
      </c>
      <c r="D2342" s="2" t="str">
        <f>CHOOSE(MONTH(branches[[#This Row],[Дата]]),"Январь","Февраль","Март","Апрель","Май","Июнь","Июль","Август","Сентябрь","Октябрь","Ноябрь","Декабрь")&amp;" "&amp;YEAR(branches[[#This Row],[Дата]])</f>
        <v>Август 2025</v>
      </c>
      <c r="E2342" t="s">
        <v>25</v>
      </c>
      <c r="F2342" t="s">
        <v>12</v>
      </c>
      <c r="G2342">
        <v>1</v>
      </c>
      <c r="H2342">
        <v>209</v>
      </c>
      <c r="I2342" t="s">
        <v>32</v>
      </c>
      <c r="J2342" t="str">
        <f>_xlfn.XLOOKUP(branches[[#This Row],[Филиал]], tbl_Filialy[Филиал], tbl_Filialy[Менеджер])</f>
        <v>Ольга Кузнецова</v>
      </c>
    </row>
    <row r="2343" spans="1:10" x14ac:dyDescent="0.3">
      <c r="A2343" t="str">
        <f>_xlfn.XLOOKUP(branches[[#This Row],[Филиал]], tbl_Filialy[Филиал], tbl_Filialy[Город])</f>
        <v>Новосибирск</v>
      </c>
      <c r="B2343" s="1" t="s">
        <v>37</v>
      </c>
      <c r="C2343" s="2">
        <v>45893</v>
      </c>
      <c r="D2343" s="2" t="str">
        <f>CHOOSE(MONTH(branches[[#This Row],[Дата]]),"Январь","Февраль","Март","Апрель","Май","Июнь","Июль","Август","Сентябрь","Октябрь","Ноябрь","Декабрь")&amp;" "&amp;YEAR(branches[[#This Row],[Дата]])</f>
        <v>Август 2025</v>
      </c>
      <c r="E2343" t="s">
        <v>14</v>
      </c>
      <c r="F2343" t="s">
        <v>12</v>
      </c>
      <c r="G2343">
        <v>2</v>
      </c>
      <c r="H2343">
        <v>516</v>
      </c>
      <c r="I2343" t="s">
        <v>13</v>
      </c>
      <c r="J2343" t="str">
        <f>_xlfn.XLOOKUP(branches[[#This Row],[Филиал]], tbl_Filialy[Филиал], tbl_Filialy[Менеджер])</f>
        <v>Ольга Кузнецова</v>
      </c>
    </row>
    <row r="2344" spans="1:10" x14ac:dyDescent="0.3">
      <c r="A2344" t="str">
        <f>_xlfn.XLOOKUP(branches[[#This Row],[Филиал]], tbl_Filialy[Филиал], tbl_Filialy[Город])</f>
        <v>Новосибирск</v>
      </c>
      <c r="B2344" s="1" t="s">
        <v>37</v>
      </c>
      <c r="C2344" s="2">
        <v>45877</v>
      </c>
      <c r="D2344" s="2" t="str">
        <f>CHOOSE(MONTH(branches[[#This Row],[Дата]]),"Январь","Февраль","Март","Апрель","Май","Июнь","Июль","Август","Сентябрь","Октябрь","Ноябрь","Декабрь")&amp;" "&amp;YEAR(branches[[#This Row],[Дата]])</f>
        <v>Август 2025</v>
      </c>
      <c r="E2344" t="s">
        <v>24</v>
      </c>
      <c r="F2344" t="s">
        <v>17</v>
      </c>
      <c r="G2344">
        <v>3</v>
      </c>
      <c r="H2344">
        <v>1191</v>
      </c>
      <c r="I2344" t="s">
        <v>32</v>
      </c>
      <c r="J2344" t="str">
        <f>_xlfn.XLOOKUP(branches[[#This Row],[Филиал]], tbl_Filialy[Филиал], tbl_Filialy[Менеджер])</f>
        <v>Ольга Кузнецова</v>
      </c>
    </row>
    <row r="2345" spans="1:10" x14ac:dyDescent="0.3">
      <c r="A2345" t="str">
        <f>_xlfn.XLOOKUP(branches[[#This Row],[Филиал]], tbl_Filialy[Филиал], tbl_Filialy[Город])</f>
        <v>Новосибирск</v>
      </c>
      <c r="B2345" s="1" t="s">
        <v>37</v>
      </c>
      <c r="C2345" s="2">
        <v>45682</v>
      </c>
      <c r="D2345" s="2" t="str">
        <f>CHOOSE(MONTH(branches[[#This Row],[Дата]]),"Январь","Февраль","Март","Апрель","Май","Июнь","Июль","Август","Сентябрь","Октябрь","Ноябрь","Декабрь")&amp;" "&amp;YEAR(branches[[#This Row],[Дата]])</f>
        <v>Январь 2025</v>
      </c>
      <c r="E2345" t="s">
        <v>11</v>
      </c>
      <c r="F2345" t="s">
        <v>12</v>
      </c>
      <c r="G2345">
        <v>2</v>
      </c>
      <c r="H2345">
        <v>316</v>
      </c>
      <c r="I2345" t="s">
        <v>35</v>
      </c>
      <c r="J2345" t="str">
        <f>_xlfn.XLOOKUP(branches[[#This Row],[Филиал]], tbl_Filialy[Филиал], tbl_Filialy[Менеджер])</f>
        <v>Ольга Кузнецова</v>
      </c>
    </row>
    <row r="2346" spans="1:10" x14ac:dyDescent="0.3">
      <c r="A2346" t="str">
        <f>_xlfn.XLOOKUP(branches[[#This Row],[Филиал]], tbl_Filialy[Филиал], tbl_Filialy[Город])</f>
        <v>Новосибирск</v>
      </c>
      <c r="B2346" s="1" t="s">
        <v>37</v>
      </c>
      <c r="C2346" s="2">
        <v>45761</v>
      </c>
      <c r="D2346" s="2" t="str">
        <f>CHOOSE(MONTH(branches[[#This Row],[Дата]]),"Январь","Февраль","Март","Апрель","Май","Июнь","Июль","Август","Сентябрь","Октябрь","Ноябрь","Декабрь")&amp;" "&amp;YEAR(branches[[#This Row],[Дата]])</f>
        <v>Апрель 2025</v>
      </c>
      <c r="E2346" t="s">
        <v>26</v>
      </c>
      <c r="F2346" t="s">
        <v>9</v>
      </c>
      <c r="G2346">
        <v>1</v>
      </c>
      <c r="H2346">
        <v>229</v>
      </c>
      <c r="I2346" t="s">
        <v>32</v>
      </c>
      <c r="J2346" t="str">
        <f>_xlfn.XLOOKUP(branches[[#This Row],[Филиал]], tbl_Filialy[Филиал], tbl_Filialy[Менеджер])</f>
        <v>Ольга Кузнецова</v>
      </c>
    </row>
    <row r="2347" spans="1:10" x14ac:dyDescent="0.3">
      <c r="A2347" t="str">
        <f>_xlfn.XLOOKUP(branches[[#This Row],[Филиал]], tbl_Filialy[Филиал], tbl_Filialy[Город])</f>
        <v>Новосибирск</v>
      </c>
      <c r="B2347" s="1" t="s">
        <v>37</v>
      </c>
      <c r="C2347" s="2">
        <v>45829</v>
      </c>
      <c r="D2347" s="2" t="str">
        <f>CHOOSE(MONTH(branches[[#This Row],[Дата]]),"Январь","Февраль","Март","Апрель","Май","Июнь","Июль","Август","Сентябрь","Октябрь","Ноябрь","Декабрь")&amp;" "&amp;YEAR(branches[[#This Row],[Дата]])</f>
        <v>Июнь 2025</v>
      </c>
      <c r="E2347" t="s">
        <v>20</v>
      </c>
      <c r="F2347" t="s">
        <v>12</v>
      </c>
      <c r="G2347">
        <v>2</v>
      </c>
      <c r="H2347">
        <v>620</v>
      </c>
      <c r="I2347" t="s">
        <v>35</v>
      </c>
      <c r="J2347" t="str">
        <f>_xlfn.XLOOKUP(branches[[#This Row],[Филиал]], tbl_Filialy[Филиал], tbl_Filialy[Менеджер])</f>
        <v>Ольга Кузнецова</v>
      </c>
    </row>
    <row r="2348" spans="1:10" x14ac:dyDescent="0.3">
      <c r="A2348" t="str">
        <f>_xlfn.XLOOKUP(branches[[#This Row],[Филиал]], tbl_Filialy[Филиал], tbl_Filialy[Город])</f>
        <v>Новосибирск</v>
      </c>
      <c r="B2348" s="1" t="s">
        <v>37</v>
      </c>
      <c r="C2348" s="2">
        <v>45999</v>
      </c>
      <c r="D2348" s="2" t="str">
        <f>CHOOSE(MONTH(branches[[#This Row],[Дата]]),"Январь","Февраль","Март","Апрель","Май","Июнь","Июль","Август","Сентябрь","Октябрь","Ноябрь","Декабрь")&amp;" "&amp;YEAR(branches[[#This Row],[Дата]])</f>
        <v>Декабрь 2025</v>
      </c>
      <c r="E2348" t="s">
        <v>11</v>
      </c>
      <c r="F2348" t="s">
        <v>12</v>
      </c>
      <c r="G2348">
        <v>1</v>
      </c>
      <c r="H2348">
        <v>183</v>
      </c>
      <c r="I2348" t="s">
        <v>34</v>
      </c>
      <c r="J2348" t="str">
        <f>_xlfn.XLOOKUP(branches[[#This Row],[Филиал]], tbl_Filialy[Филиал], tbl_Filialy[Менеджер])</f>
        <v>Ольга Кузнецова</v>
      </c>
    </row>
    <row r="2349" spans="1:10" x14ac:dyDescent="0.3">
      <c r="A2349" t="str">
        <f>_xlfn.XLOOKUP(branches[[#This Row],[Филиал]], tbl_Filialy[Филиал], tbl_Filialy[Город])</f>
        <v>Новосибирск</v>
      </c>
      <c r="B2349" s="1" t="s">
        <v>37</v>
      </c>
      <c r="C2349" s="2">
        <v>45698</v>
      </c>
      <c r="D2349" s="2" t="str">
        <f>CHOOSE(MONTH(branches[[#This Row],[Дата]]),"Январь","Февраль","Март","Апрель","Май","Июнь","Июль","Август","Сентябрь","Октябрь","Ноябрь","Декабрь")&amp;" "&amp;YEAR(branches[[#This Row],[Дата]])</f>
        <v>Февраль 2025</v>
      </c>
      <c r="E2349" t="s">
        <v>8</v>
      </c>
      <c r="F2349" t="s">
        <v>9</v>
      </c>
      <c r="G2349">
        <v>1</v>
      </c>
      <c r="H2349">
        <v>250</v>
      </c>
      <c r="I2349" t="s">
        <v>35</v>
      </c>
      <c r="J2349" t="str">
        <f>_xlfn.XLOOKUP(branches[[#This Row],[Филиал]], tbl_Filialy[Филиал], tbl_Filialy[Менеджер])</f>
        <v>Ольга Кузнецова</v>
      </c>
    </row>
    <row r="2350" spans="1:10" x14ac:dyDescent="0.3">
      <c r="A2350" t="str">
        <f>_xlfn.XLOOKUP(branches[[#This Row],[Филиал]], tbl_Filialy[Филиал], tbl_Filialy[Город])</f>
        <v>Новосибирск</v>
      </c>
      <c r="B2350" s="1" t="s">
        <v>37</v>
      </c>
      <c r="C2350" s="2">
        <v>45964</v>
      </c>
      <c r="D2350" s="2" t="str">
        <f>CHOOSE(MONTH(branches[[#This Row],[Дата]]),"Январь","Февраль","Март","Апрель","Май","Июнь","Июль","Август","Сентябрь","Октябрь","Ноябрь","Декабрь")&amp;" "&amp;YEAR(branches[[#This Row],[Дата]])</f>
        <v>Ноябрь 2025</v>
      </c>
      <c r="E2350" t="s">
        <v>14</v>
      </c>
      <c r="F2350" t="s">
        <v>12</v>
      </c>
      <c r="G2350">
        <v>2</v>
      </c>
      <c r="H2350">
        <v>532</v>
      </c>
      <c r="I2350" t="s">
        <v>32</v>
      </c>
      <c r="J2350" t="str">
        <f>_xlfn.XLOOKUP(branches[[#This Row],[Филиал]], tbl_Filialy[Филиал], tbl_Filialy[Менеджер])</f>
        <v>Ольга Кузнецова</v>
      </c>
    </row>
    <row r="2351" spans="1:10" x14ac:dyDescent="0.3">
      <c r="A2351" t="str">
        <f>_xlfn.XLOOKUP(branches[[#This Row],[Филиал]], tbl_Filialy[Филиал], tbl_Filialy[Город])</f>
        <v>Новосибирск</v>
      </c>
      <c r="B2351" s="1" t="s">
        <v>37</v>
      </c>
      <c r="C2351" s="2">
        <v>45786</v>
      </c>
      <c r="D2351" s="2" t="str">
        <f>CHOOSE(MONTH(branches[[#This Row],[Дата]]),"Январь","Февраль","Март","Апрель","Май","Июнь","Июль","Август","Сентябрь","Октябрь","Ноябрь","Декабрь")&amp;" "&amp;YEAR(branches[[#This Row],[Дата]])</f>
        <v>Май 2025</v>
      </c>
      <c r="E2351" t="s">
        <v>16</v>
      </c>
      <c r="F2351" t="s">
        <v>17</v>
      </c>
      <c r="G2351">
        <v>1</v>
      </c>
      <c r="H2351">
        <v>315</v>
      </c>
      <c r="I2351" t="s">
        <v>33</v>
      </c>
      <c r="J2351" t="str">
        <f>_xlfn.XLOOKUP(branches[[#This Row],[Филиал]], tbl_Filialy[Филиал], tbl_Filialy[Менеджер])</f>
        <v>Ольга Кузнецова</v>
      </c>
    </row>
    <row r="2352" spans="1:10" x14ac:dyDescent="0.3">
      <c r="A2352" t="str">
        <f>_xlfn.XLOOKUP(branches[[#This Row],[Филиал]], tbl_Filialy[Филиал], tbl_Filialy[Город])</f>
        <v>Новосибирск</v>
      </c>
      <c r="B2352" s="1" t="s">
        <v>37</v>
      </c>
      <c r="C2352" s="2">
        <v>45866</v>
      </c>
      <c r="D2352" s="2" t="str">
        <f>CHOOSE(MONTH(branches[[#This Row],[Дата]]),"Январь","Февраль","Март","Апрель","Май","Июнь","Июль","Август","Сентябрь","Октябрь","Ноябрь","Декабрь")&amp;" "&amp;YEAR(branches[[#This Row],[Дата]])</f>
        <v>Июль 2025</v>
      </c>
      <c r="E2352" t="s">
        <v>18</v>
      </c>
      <c r="F2352" t="s">
        <v>12</v>
      </c>
      <c r="G2352">
        <v>1</v>
      </c>
      <c r="H2352">
        <v>150</v>
      </c>
      <c r="I2352" t="s">
        <v>32</v>
      </c>
      <c r="J2352" t="str">
        <f>_xlfn.XLOOKUP(branches[[#This Row],[Филиал]], tbl_Filialy[Филиал], tbl_Filialy[Менеджер])</f>
        <v>Ольга Кузнецова</v>
      </c>
    </row>
    <row r="2353" spans="1:10" x14ac:dyDescent="0.3">
      <c r="A2353" t="str">
        <f>_xlfn.XLOOKUP(branches[[#This Row],[Филиал]], tbl_Filialy[Филиал], tbl_Filialy[Город])</f>
        <v>Новосибирск</v>
      </c>
      <c r="B2353" s="1" t="s">
        <v>37</v>
      </c>
      <c r="C2353" s="2">
        <v>45671</v>
      </c>
      <c r="D2353" s="2" t="str">
        <f>CHOOSE(MONTH(branches[[#This Row],[Дата]]),"Январь","Февраль","Март","Апрель","Май","Июнь","Июль","Август","Сентябрь","Октябрь","Ноябрь","Декабрь")&amp;" "&amp;YEAR(branches[[#This Row],[Дата]])</f>
        <v>Январь 2025</v>
      </c>
      <c r="E2353" t="s">
        <v>24</v>
      </c>
      <c r="F2353" t="s">
        <v>17</v>
      </c>
      <c r="G2353">
        <v>1</v>
      </c>
      <c r="H2353">
        <v>392</v>
      </c>
      <c r="I2353" t="s">
        <v>35</v>
      </c>
      <c r="J2353" t="str">
        <f>_xlfn.XLOOKUP(branches[[#This Row],[Филиал]], tbl_Filialy[Филиал], tbl_Filialy[Менеджер])</f>
        <v>Ольга Кузнецова</v>
      </c>
    </row>
    <row r="2354" spans="1:10" x14ac:dyDescent="0.3">
      <c r="A2354" t="str">
        <f>_xlfn.XLOOKUP(branches[[#This Row],[Филиал]], tbl_Filialy[Филиал], tbl_Filialy[Город])</f>
        <v>Новосибирск</v>
      </c>
      <c r="B2354" s="1" t="s">
        <v>37</v>
      </c>
      <c r="C2354" s="2">
        <v>45888</v>
      </c>
      <c r="D2354" s="2" t="str">
        <f>CHOOSE(MONTH(branches[[#This Row],[Дата]]),"Январь","Февраль","Март","Апрель","Май","Июнь","Июль","Август","Сентябрь","Октябрь","Ноябрь","Декабрь")&amp;" "&amp;YEAR(branches[[#This Row],[Дата]])</f>
        <v>Август 2025</v>
      </c>
      <c r="E2354" t="s">
        <v>11</v>
      </c>
      <c r="F2354" t="s">
        <v>12</v>
      </c>
      <c r="G2354">
        <v>2</v>
      </c>
      <c r="H2354">
        <v>300</v>
      </c>
      <c r="I2354" t="s">
        <v>33</v>
      </c>
      <c r="J2354" t="str">
        <f>_xlfn.XLOOKUP(branches[[#This Row],[Филиал]], tbl_Filialy[Филиал], tbl_Filialy[Менеджер])</f>
        <v>Ольга Кузнецова</v>
      </c>
    </row>
    <row r="2355" spans="1:10" x14ac:dyDescent="0.3">
      <c r="A2355" t="str">
        <f>_xlfn.XLOOKUP(branches[[#This Row],[Филиал]], tbl_Filialy[Филиал], tbl_Filialy[Город])</f>
        <v>Новосибирск</v>
      </c>
      <c r="B2355" s="1" t="s">
        <v>37</v>
      </c>
      <c r="C2355" s="2">
        <v>45955</v>
      </c>
      <c r="D2355" s="2" t="str">
        <f>CHOOSE(MONTH(branches[[#This Row],[Дата]]),"Январь","Февраль","Март","Апрель","Май","Июнь","Июль","Август","Сентябрь","Октябрь","Ноябрь","Декабрь")&amp;" "&amp;YEAR(branches[[#This Row],[Дата]])</f>
        <v>Октябрь 2025</v>
      </c>
      <c r="E2355" t="s">
        <v>25</v>
      </c>
      <c r="F2355" t="s">
        <v>12</v>
      </c>
      <c r="G2355">
        <v>3</v>
      </c>
      <c r="H2355">
        <v>726</v>
      </c>
      <c r="I2355" t="s">
        <v>33</v>
      </c>
      <c r="J2355" t="str">
        <f>_xlfn.XLOOKUP(branches[[#This Row],[Филиал]], tbl_Filialy[Филиал], tbl_Filialy[Менеджер])</f>
        <v>Ольга Кузнецова</v>
      </c>
    </row>
    <row r="2356" spans="1:10" x14ac:dyDescent="0.3">
      <c r="A2356" t="str">
        <f>_xlfn.XLOOKUP(branches[[#This Row],[Филиал]], tbl_Filialy[Филиал], tbl_Filialy[Город])</f>
        <v>Новосибирск</v>
      </c>
      <c r="B2356" s="1" t="s">
        <v>37</v>
      </c>
      <c r="C2356" s="2">
        <v>45734</v>
      </c>
      <c r="D2356" s="2" t="str">
        <f>CHOOSE(MONTH(branches[[#This Row],[Дата]]),"Январь","Февраль","Март","Апрель","Май","Июнь","Июль","Август","Сентябрь","Октябрь","Ноябрь","Декабрь")&amp;" "&amp;YEAR(branches[[#This Row],[Дата]])</f>
        <v>Март 2025</v>
      </c>
      <c r="E2356" t="s">
        <v>14</v>
      </c>
      <c r="F2356" t="s">
        <v>12</v>
      </c>
      <c r="G2356">
        <v>3</v>
      </c>
      <c r="H2356">
        <v>711</v>
      </c>
      <c r="I2356" t="s">
        <v>33</v>
      </c>
      <c r="J2356" t="str">
        <f>_xlfn.XLOOKUP(branches[[#This Row],[Филиал]], tbl_Filialy[Филиал], tbl_Filialy[Менеджер])</f>
        <v>Ольга Кузнецова</v>
      </c>
    </row>
    <row r="2357" spans="1:10" x14ac:dyDescent="0.3">
      <c r="A2357" t="str">
        <f>_xlfn.XLOOKUP(branches[[#This Row],[Филиал]], tbl_Filialy[Филиал], tbl_Filialy[Город])</f>
        <v>Новосибирск</v>
      </c>
      <c r="B2357" s="1" t="s">
        <v>37</v>
      </c>
      <c r="C2357" s="2">
        <v>45684</v>
      </c>
      <c r="D2357" s="2" t="str">
        <f>CHOOSE(MONTH(branches[[#This Row],[Дата]]),"Январь","Февраль","Март","Апрель","Май","Июнь","Июль","Август","Сентябрь","Октябрь","Ноябрь","Декабрь")&amp;" "&amp;YEAR(branches[[#This Row],[Дата]])</f>
        <v>Январь 2025</v>
      </c>
      <c r="E2357" t="s">
        <v>28</v>
      </c>
      <c r="F2357" t="s">
        <v>12</v>
      </c>
      <c r="G2357">
        <v>1</v>
      </c>
      <c r="H2357">
        <v>235</v>
      </c>
      <c r="I2357" t="s">
        <v>34</v>
      </c>
      <c r="J2357" t="str">
        <f>_xlfn.XLOOKUP(branches[[#This Row],[Филиал]], tbl_Filialy[Филиал], tbl_Filialy[Менеджер])</f>
        <v>Ольга Кузнецова</v>
      </c>
    </row>
    <row r="2358" spans="1:10" x14ac:dyDescent="0.3">
      <c r="A2358" t="str">
        <f>_xlfn.XLOOKUP(branches[[#This Row],[Филиал]], tbl_Filialy[Филиал], tbl_Filialy[Город])</f>
        <v>Новосибирск</v>
      </c>
      <c r="B2358" s="1" t="s">
        <v>37</v>
      </c>
      <c r="C2358" s="2">
        <v>45768</v>
      </c>
      <c r="D2358" s="2" t="str">
        <f>CHOOSE(MONTH(branches[[#This Row],[Дата]]),"Январь","Февраль","Март","Апрель","Май","Июнь","Июль","Август","Сентябрь","Октябрь","Ноябрь","Декабрь")&amp;" "&amp;YEAR(branches[[#This Row],[Дата]])</f>
        <v>Апрель 2025</v>
      </c>
      <c r="E2358" t="s">
        <v>28</v>
      </c>
      <c r="F2358" t="s">
        <v>12</v>
      </c>
      <c r="G2358">
        <v>2</v>
      </c>
      <c r="H2358">
        <v>484</v>
      </c>
      <c r="I2358" t="s">
        <v>13</v>
      </c>
      <c r="J2358" t="str">
        <f>_xlfn.XLOOKUP(branches[[#This Row],[Филиал]], tbl_Filialy[Филиал], tbl_Filialy[Менеджер])</f>
        <v>Ольга Кузнецова</v>
      </c>
    </row>
    <row r="2359" spans="1:10" x14ac:dyDescent="0.3">
      <c r="A2359" t="str">
        <f>_xlfn.XLOOKUP(branches[[#This Row],[Филиал]], tbl_Filialy[Филиал], tbl_Filialy[Город])</f>
        <v>Новосибирск</v>
      </c>
      <c r="B2359" s="1" t="s">
        <v>37</v>
      </c>
      <c r="C2359" s="2">
        <v>45974</v>
      </c>
      <c r="D2359" s="2" t="str">
        <f>CHOOSE(MONTH(branches[[#This Row],[Дата]]),"Январь","Февраль","Март","Апрель","Май","Июнь","Июль","Август","Сентябрь","Октябрь","Ноябрь","Декабрь")&amp;" "&amp;YEAR(branches[[#This Row],[Дата]])</f>
        <v>Ноябрь 2025</v>
      </c>
      <c r="E2359" t="s">
        <v>20</v>
      </c>
      <c r="F2359" t="s">
        <v>12</v>
      </c>
      <c r="G2359">
        <v>1</v>
      </c>
      <c r="H2359">
        <v>257</v>
      </c>
      <c r="I2359" t="s">
        <v>34</v>
      </c>
      <c r="J2359" t="str">
        <f>_xlfn.XLOOKUP(branches[[#This Row],[Филиал]], tbl_Filialy[Филиал], tbl_Filialy[Менеджер])</f>
        <v>Ольга Кузнецова</v>
      </c>
    </row>
    <row r="2360" spans="1:10" x14ac:dyDescent="0.3">
      <c r="A2360" t="str">
        <f>_xlfn.XLOOKUP(branches[[#This Row],[Филиал]], tbl_Filialy[Филиал], tbl_Filialy[Город])</f>
        <v>Новосибирск</v>
      </c>
      <c r="B2360" s="1" t="s">
        <v>37</v>
      </c>
      <c r="C2360" s="2">
        <v>45729</v>
      </c>
      <c r="D2360" s="2" t="str">
        <f>CHOOSE(MONTH(branches[[#This Row],[Дата]]),"Январь","Февраль","Март","Апрель","Май","Июнь","Июль","Август","Сентябрь","Октябрь","Ноябрь","Декабрь")&amp;" "&amp;YEAR(branches[[#This Row],[Дата]])</f>
        <v>Март 2025</v>
      </c>
      <c r="E2360" t="s">
        <v>14</v>
      </c>
      <c r="F2360" t="s">
        <v>12</v>
      </c>
      <c r="G2360">
        <v>3</v>
      </c>
      <c r="H2360">
        <v>780</v>
      </c>
      <c r="I2360" t="s">
        <v>19</v>
      </c>
      <c r="J2360" t="str">
        <f>_xlfn.XLOOKUP(branches[[#This Row],[Филиал]], tbl_Filialy[Филиал], tbl_Filialy[Менеджер])</f>
        <v>Ольга Кузнецова</v>
      </c>
    </row>
    <row r="2361" spans="1:10" x14ac:dyDescent="0.3">
      <c r="A2361" t="str">
        <f>_xlfn.XLOOKUP(branches[[#This Row],[Филиал]], tbl_Filialy[Филиал], tbl_Filialy[Город])</f>
        <v>Новосибирск</v>
      </c>
      <c r="B2361" s="1" t="s">
        <v>37</v>
      </c>
      <c r="C2361" s="2">
        <v>45984</v>
      </c>
      <c r="D2361" s="2" t="str">
        <f>CHOOSE(MONTH(branches[[#This Row],[Дата]]),"Январь","Февраль","Март","Апрель","Май","Июнь","Июль","Август","Сентябрь","Октябрь","Ноябрь","Декабрь")&amp;" "&amp;YEAR(branches[[#This Row],[Дата]])</f>
        <v>Ноябрь 2025</v>
      </c>
      <c r="E2361" t="s">
        <v>20</v>
      </c>
      <c r="F2361" t="s">
        <v>12</v>
      </c>
      <c r="G2361">
        <v>1</v>
      </c>
      <c r="H2361">
        <v>251</v>
      </c>
      <c r="I2361" t="s">
        <v>32</v>
      </c>
      <c r="J2361" t="str">
        <f>_xlfn.XLOOKUP(branches[[#This Row],[Филиал]], tbl_Filialy[Филиал], tbl_Filialy[Менеджер])</f>
        <v>Ольга Кузнецова</v>
      </c>
    </row>
    <row r="2362" spans="1:10" x14ac:dyDescent="0.3">
      <c r="A2362" t="str">
        <f>_xlfn.XLOOKUP(branches[[#This Row],[Филиал]], tbl_Filialy[Филиал], tbl_Filialy[Город])</f>
        <v>Новосибирск</v>
      </c>
      <c r="B2362" s="1" t="s">
        <v>37</v>
      </c>
      <c r="C2362" s="2">
        <v>45855</v>
      </c>
      <c r="D2362" s="2" t="str">
        <f>CHOOSE(MONTH(branches[[#This Row],[Дата]]),"Январь","Февраль","Март","Апрель","Май","Июнь","Июль","Август","Сентябрь","Октябрь","Ноябрь","Декабрь")&amp;" "&amp;YEAR(branches[[#This Row],[Дата]])</f>
        <v>Июль 2025</v>
      </c>
      <c r="E2362" t="s">
        <v>24</v>
      </c>
      <c r="F2362" t="s">
        <v>17</v>
      </c>
      <c r="G2362">
        <v>1</v>
      </c>
      <c r="H2362">
        <v>351</v>
      </c>
      <c r="I2362" t="s">
        <v>32</v>
      </c>
      <c r="J2362" t="str">
        <f>_xlfn.XLOOKUP(branches[[#This Row],[Филиал]], tbl_Filialy[Филиал], tbl_Filialy[Менеджер])</f>
        <v>Ольга Кузнецова</v>
      </c>
    </row>
    <row r="2363" spans="1:10" x14ac:dyDescent="0.3">
      <c r="A2363" t="str">
        <f>_xlfn.XLOOKUP(branches[[#This Row],[Филиал]], tbl_Filialy[Филиал], tbl_Filialy[Город])</f>
        <v>Новосибирск</v>
      </c>
      <c r="B2363" s="1" t="s">
        <v>37</v>
      </c>
      <c r="C2363" s="2">
        <v>45744</v>
      </c>
      <c r="D2363" s="2" t="str">
        <f>CHOOSE(MONTH(branches[[#This Row],[Дата]]),"Январь","Февраль","Март","Апрель","Май","Июнь","Июль","Август","Сентябрь","Октябрь","Ноябрь","Декабрь")&amp;" "&amp;YEAR(branches[[#This Row],[Дата]])</f>
        <v>Март 2025</v>
      </c>
      <c r="E2363" t="s">
        <v>28</v>
      </c>
      <c r="F2363" t="s">
        <v>12</v>
      </c>
      <c r="G2363">
        <v>2</v>
      </c>
      <c r="H2363">
        <v>506</v>
      </c>
      <c r="I2363" t="s">
        <v>19</v>
      </c>
      <c r="J2363" t="str">
        <f>_xlfn.XLOOKUP(branches[[#This Row],[Филиал]], tbl_Filialy[Филиал], tbl_Filialy[Менеджер])</f>
        <v>Ольга Кузнецова</v>
      </c>
    </row>
    <row r="2364" spans="1:10" x14ac:dyDescent="0.3">
      <c r="A2364" t="str">
        <f>_xlfn.XLOOKUP(branches[[#This Row],[Филиал]], tbl_Filialy[Филиал], tbl_Filialy[Город])</f>
        <v>Новосибирск</v>
      </c>
      <c r="B2364" s="1" t="s">
        <v>37</v>
      </c>
      <c r="C2364" s="2">
        <v>45683</v>
      </c>
      <c r="D2364" s="2" t="str">
        <f>CHOOSE(MONTH(branches[[#This Row],[Дата]]),"Январь","Февраль","Март","Апрель","Май","Июнь","Июль","Август","Сентябрь","Октябрь","Ноябрь","Декабрь")&amp;" "&amp;YEAR(branches[[#This Row],[Дата]])</f>
        <v>Январь 2025</v>
      </c>
      <c r="E2364" t="s">
        <v>27</v>
      </c>
      <c r="F2364" t="s">
        <v>12</v>
      </c>
      <c r="G2364">
        <v>3</v>
      </c>
      <c r="H2364">
        <v>543</v>
      </c>
      <c r="I2364" t="s">
        <v>33</v>
      </c>
      <c r="J2364" t="str">
        <f>_xlfn.XLOOKUP(branches[[#This Row],[Филиал]], tbl_Filialy[Филиал], tbl_Filialy[Менеджер])</f>
        <v>Ольга Кузнецова</v>
      </c>
    </row>
    <row r="2365" spans="1:10" x14ac:dyDescent="0.3">
      <c r="A2365" t="str">
        <f>_xlfn.XLOOKUP(branches[[#This Row],[Филиал]], tbl_Filialy[Филиал], tbl_Filialy[Город])</f>
        <v>Новосибирск</v>
      </c>
      <c r="B2365" s="1" t="s">
        <v>37</v>
      </c>
      <c r="C2365" s="2">
        <v>45737</v>
      </c>
      <c r="D2365" s="2" t="str">
        <f>CHOOSE(MONTH(branches[[#This Row],[Дата]]),"Январь","Февраль","Март","Апрель","Май","Июнь","Июль","Август","Сентябрь","Октябрь","Ноябрь","Декабрь")&amp;" "&amp;YEAR(branches[[#This Row],[Дата]])</f>
        <v>Март 2025</v>
      </c>
      <c r="E2365" t="s">
        <v>24</v>
      </c>
      <c r="F2365" t="s">
        <v>17</v>
      </c>
      <c r="G2365">
        <v>1</v>
      </c>
      <c r="H2365">
        <v>370</v>
      </c>
      <c r="I2365" t="s">
        <v>19</v>
      </c>
      <c r="J2365" t="str">
        <f>_xlfn.XLOOKUP(branches[[#This Row],[Филиал]], tbl_Filialy[Филиал], tbl_Filialy[Менеджер])</f>
        <v>Ольга Кузнецова</v>
      </c>
    </row>
    <row r="2366" spans="1:10" x14ac:dyDescent="0.3">
      <c r="A2366" t="str">
        <f>_xlfn.XLOOKUP(branches[[#This Row],[Филиал]], tbl_Filialy[Филиал], tbl_Filialy[Город])</f>
        <v>Новосибирск</v>
      </c>
      <c r="B2366" s="1" t="s">
        <v>37</v>
      </c>
      <c r="C2366" s="2">
        <v>45823</v>
      </c>
      <c r="D2366" s="2" t="str">
        <f>CHOOSE(MONTH(branches[[#This Row],[Дата]]),"Январь","Февраль","Март","Апрель","Май","Июнь","Июль","Август","Сентябрь","Октябрь","Ноябрь","Декабрь")&amp;" "&amp;YEAR(branches[[#This Row],[Дата]])</f>
        <v>Июнь 2025</v>
      </c>
      <c r="E2366" t="s">
        <v>8</v>
      </c>
      <c r="F2366" t="s">
        <v>9</v>
      </c>
      <c r="G2366">
        <v>1</v>
      </c>
      <c r="H2366">
        <v>268</v>
      </c>
      <c r="I2366" t="s">
        <v>35</v>
      </c>
      <c r="J2366" t="str">
        <f>_xlfn.XLOOKUP(branches[[#This Row],[Филиал]], tbl_Filialy[Филиал], tbl_Filialy[Менеджер])</f>
        <v>Ольга Кузнецова</v>
      </c>
    </row>
    <row r="2367" spans="1:10" x14ac:dyDescent="0.3">
      <c r="A2367" t="str">
        <f>_xlfn.XLOOKUP(branches[[#This Row],[Филиал]], tbl_Filialy[Филиал], tbl_Filialy[Город])</f>
        <v>Новосибирск</v>
      </c>
      <c r="B2367" s="1" t="s">
        <v>37</v>
      </c>
      <c r="C2367" s="2">
        <v>45728</v>
      </c>
      <c r="D2367" s="2" t="str">
        <f>CHOOSE(MONTH(branches[[#This Row],[Дата]]),"Январь","Февраль","Март","Апрель","Май","Июнь","Июль","Август","Сентябрь","Октябрь","Ноябрь","Декабрь")&amp;" "&amp;YEAR(branches[[#This Row],[Дата]])</f>
        <v>Март 2025</v>
      </c>
      <c r="E2367" t="s">
        <v>14</v>
      </c>
      <c r="F2367" t="s">
        <v>12</v>
      </c>
      <c r="G2367">
        <v>1</v>
      </c>
      <c r="H2367">
        <v>265</v>
      </c>
      <c r="I2367" t="s">
        <v>19</v>
      </c>
      <c r="J2367" t="str">
        <f>_xlfn.XLOOKUP(branches[[#This Row],[Филиал]], tbl_Filialy[Филиал], tbl_Filialy[Менеджер])</f>
        <v>Ольга Кузнецова</v>
      </c>
    </row>
    <row r="2368" spans="1:10" x14ac:dyDescent="0.3">
      <c r="A2368" t="str">
        <f>_xlfn.XLOOKUP(branches[[#This Row],[Филиал]], tbl_Filialy[Филиал], tbl_Filialy[Город])</f>
        <v>Новосибирск</v>
      </c>
      <c r="B2368" s="1" t="s">
        <v>37</v>
      </c>
      <c r="C2368" s="2">
        <v>45834</v>
      </c>
      <c r="D2368" s="2" t="str">
        <f>CHOOSE(MONTH(branches[[#This Row],[Дата]]),"Январь","Февраль","Март","Апрель","Май","Июнь","Июль","Август","Сентябрь","Октябрь","Ноябрь","Декабрь")&amp;" "&amp;YEAR(branches[[#This Row],[Дата]])</f>
        <v>Июнь 2025</v>
      </c>
      <c r="E2368" t="s">
        <v>8</v>
      </c>
      <c r="F2368" t="s">
        <v>9</v>
      </c>
      <c r="G2368">
        <v>3</v>
      </c>
      <c r="H2368">
        <v>681</v>
      </c>
      <c r="I2368" t="s">
        <v>34</v>
      </c>
      <c r="J2368" t="str">
        <f>_xlfn.XLOOKUP(branches[[#This Row],[Филиал]], tbl_Filialy[Филиал], tbl_Filialy[Менеджер])</f>
        <v>Ольга Кузнецова</v>
      </c>
    </row>
    <row r="2369" spans="1:10" x14ac:dyDescent="0.3">
      <c r="A2369" t="str">
        <f>_xlfn.XLOOKUP(branches[[#This Row],[Филиал]], tbl_Filialy[Филиал], tbl_Filialy[Город])</f>
        <v>Новосибирск</v>
      </c>
      <c r="B2369" s="1" t="s">
        <v>37</v>
      </c>
      <c r="C2369" s="2">
        <v>45997</v>
      </c>
      <c r="D2369" s="2" t="str">
        <f>CHOOSE(MONTH(branches[[#This Row],[Дата]]),"Январь","Февраль","Март","Апрель","Май","Июнь","Июль","Август","Сентябрь","Октябрь","Ноябрь","Декабрь")&amp;" "&amp;YEAR(branches[[#This Row],[Дата]])</f>
        <v>Декабрь 2025</v>
      </c>
      <c r="E2369" t="s">
        <v>16</v>
      </c>
      <c r="F2369" t="s">
        <v>17</v>
      </c>
      <c r="G2369">
        <v>1</v>
      </c>
      <c r="H2369">
        <v>292</v>
      </c>
      <c r="I2369" t="s">
        <v>19</v>
      </c>
      <c r="J2369" t="str">
        <f>_xlfn.XLOOKUP(branches[[#This Row],[Филиал]], tbl_Filialy[Филиал], tbl_Filialy[Менеджер])</f>
        <v>Ольга Кузнецова</v>
      </c>
    </row>
    <row r="2370" spans="1:10" x14ac:dyDescent="0.3">
      <c r="A2370" t="str">
        <f>_xlfn.XLOOKUP(branches[[#This Row],[Филиал]], tbl_Filialy[Филиал], tbl_Filialy[Город])</f>
        <v>Новосибирск</v>
      </c>
      <c r="B2370" s="1" t="s">
        <v>37</v>
      </c>
      <c r="C2370" s="2">
        <v>45972</v>
      </c>
      <c r="D2370" s="2" t="str">
        <f>CHOOSE(MONTH(branches[[#This Row],[Дата]]),"Январь","Февраль","Март","Апрель","Май","Июнь","Июль","Август","Сентябрь","Октябрь","Ноябрь","Декабрь")&amp;" "&amp;YEAR(branches[[#This Row],[Дата]])</f>
        <v>Ноябрь 2025</v>
      </c>
      <c r="E2370" t="s">
        <v>11</v>
      </c>
      <c r="F2370" t="s">
        <v>12</v>
      </c>
      <c r="G2370">
        <v>2</v>
      </c>
      <c r="H2370">
        <v>300</v>
      </c>
      <c r="I2370" t="s">
        <v>32</v>
      </c>
      <c r="J2370" t="str">
        <f>_xlfn.XLOOKUP(branches[[#This Row],[Филиал]], tbl_Filialy[Филиал], tbl_Filialy[Менеджер])</f>
        <v>Ольга Кузнецова</v>
      </c>
    </row>
    <row r="2371" spans="1:10" x14ac:dyDescent="0.3">
      <c r="A2371" t="str">
        <f>_xlfn.XLOOKUP(branches[[#This Row],[Филиал]], tbl_Filialy[Филиал], tbl_Filialy[Город])</f>
        <v>Новосибирск</v>
      </c>
      <c r="B2371" s="1" t="s">
        <v>37</v>
      </c>
      <c r="C2371" s="2">
        <v>45771</v>
      </c>
      <c r="D2371" s="2" t="str">
        <f>CHOOSE(MONTH(branches[[#This Row],[Дата]]),"Январь","Февраль","Март","Апрель","Май","Июнь","Июль","Август","Сентябрь","Октябрь","Ноябрь","Декабрь")&amp;" "&amp;YEAR(branches[[#This Row],[Дата]])</f>
        <v>Апрель 2025</v>
      </c>
      <c r="E2371" t="s">
        <v>28</v>
      </c>
      <c r="F2371" t="s">
        <v>12</v>
      </c>
      <c r="G2371">
        <v>1</v>
      </c>
      <c r="H2371">
        <v>243</v>
      </c>
      <c r="I2371" t="s">
        <v>19</v>
      </c>
      <c r="J2371" t="str">
        <f>_xlfn.XLOOKUP(branches[[#This Row],[Филиал]], tbl_Filialy[Филиал], tbl_Filialy[Менеджер])</f>
        <v>Ольга Кузнецова</v>
      </c>
    </row>
    <row r="2372" spans="1:10" x14ac:dyDescent="0.3">
      <c r="A2372" t="str">
        <f>_xlfn.XLOOKUP(branches[[#This Row],[Филиал]], tbl_Filialy[Филиал], tbl_Filialy[Город])</f>
        <v>Новосибирск</v>
      </c>
      <c r="B2372" s="1" t="s">
        <v>37</v>
      </c>
      <c r="C2372" s="2">
        <v>45894</v>
      </c>
      <c r="D2372" s="2" t="str">
        <f>CHOOSE(MONTH(branches[[#This Row],[Дата]]),"Январь","Февраль","Март","Апрель","Май","Июнь","Июль","Август","Сентябрь","Октябрь","Ноябрь","Декабрь")&amp;" "&amp;YEAR(branches[[#This Row],[Дата]])</f>
        <v>Август 2025</v>
      </c>
      <c r="E2372" t="s">
        <v>26</v>
      </c>
      <c r="F2372" t="s">
        <v>9</v>
      </c>
      <c r="G2372">
        <v>1</v>
      </c>
      <c r="H2372">
        <v>220</v>
      </c>
      <c r="I2372" t="s">
        <v>19</v>
      </c>
      <c r="J2372" t="str">
        <f>_xlfn.XLOOKUP(branches[[#This Row],[Филиал]], tbl_Filialy[Филиал], tbl_Filialy[Менеджер])</f>
        <v>Ольга Кузнецова</v>
      </c>
    </row>
    <row r="2373" spans="1:10" x14ac:dyDescent="0.3">
      <c r="A2373" t="str">
        <f>_xlfn.XLOOKUP(branches[[#This Row],[Филиал]], tbl_Filialy[Филиал], tbl_Filialy[Город])</f>
        <v>Новосибирск</v>
      </c>
      <c r="B2373" s="1" t="s">
        <v>37</v>
      </c>
      <c r="C2373" s="2">
        <v>45716</v>
      </c>
      <c r="D2373" s="2" t="str">
        <f>CHOOSE(MONTH(branches[[#This Row],[Дата]]),"Январь","Февраль","Март","Апрель","Май","Июнь","Июль","Август","Сентябрь","Октябрь","Ноябрь","Декабрь")&amp;" "&amp;YEAR(branches[[#This Row],[Дата]])</f>
        <v>Февраль 2025</v>
      </c>
      <c r="E2373" t="s">
        <v>11</v>
      </c>
      <c r="F2373" t="s">
        <v>12</v>
      </c>
      <c r="G2373">
        <v>2</v>
      </c>
      <c r="H2373">
        <v>340</v>
      </c>
      <c r="I2373" t="s">
        <v>35</v>
      </c>
      <c r="J2373" t="str">
        <f>_xlfn.XLOOKUP(branches[[#This Row],[Филиал]], tbl_Filialy[Филиал], tbl_Filialy[Менеджер])</f>
        <v>Ольга Кузнецова</v>
      </c>
    </row>
    <row r="2374" spans="1:10" x14ac:dyDescent="0.3">
      <c r="A2374" t="str">
        <f>_xlfn.XLOOKUP(branches[[#This Row],[Филиал]], tbl_Filialy[Филиал], tbl_Filialy[Город])</f>
        <v>Новосибирск</v>
      </c>
      <c r="B2374" s="1" t="s">
        <v>37</v>
      </c>
      <c r="C2374" s="2">
        <v>46016</v>
      </c>
      <c r="D2374" s="2" t="str">
        <f>CHOOSE(MONTH(branches[[#This Row],[Дата]]),"Январь","Февраль","Март","Апрель","Май","Июнь","Июль","Август","Сентябрь","Октябрь","Ноябрь","Декабрь")&amp;" "&amp;YEAR(branches[[#This Row],[Дата]])</f>
        <v>Декабрь 2025</v>
      </c>
      <c r="E2374" t="s">
        <v>14</v>
      </c>
      <c r="F2374" t="s">
        <v>12</v>
      </c>
      <c r="G2374">
        <v>1</v>
      </c>
      <c r="H2374">
        <v>282</v>
      </c>
      <c r="I2374" t="s">
        <v>33</v>
      </c>
      <c r="J2374" t="str">
        <f>_xlfn.XLOOKUP(branches[[#This Row],[Филиал]], tbl_Filialy[Филиал], tbl_Filialy[Менеджер])</f>
        <v>Ольга Кузнецова</v>
      </c>
    </row>
    <row r="2375" spans="1:10" x14ac:dyDescent="0.3">
      <c r="A2375" t="str">
        <f>_xlfn.XLOOKUP(branches[[#This Row],[Филиал]], tbl_Filialy[Филиал], tbl_Filialy[Город])</f>
        <v>Новосибирск</v>
      </c>
      <c r="B2375" s="1" t="s">
        <v>37</v>
      </c>
      <c r="C2375" s="2">
        <v>45755</v>
      </c>
      <c r="D2375" s="2" t="str">
        <f>CHOOSE(MONTH(branches[[#This Row],[Дата]]),"Январь","Февраль","Март","Апрель","Май","Июнь","Июль","Август","Сентябрь","Октябрь","Ноябрь","Декабрь")&amp;" "&amp;YEAR(branches[[#This Row],[Дата]])</f>
        <v>Апрель 2025</v>
      </c>
      <c r="E2375" t="s">
        <v>20</v>
      </c>
      <c r="F2375" t="s">
        <v>12</v>
      </c>
      <c r="G2375">
        <v>2</v>
      </c>
      <c r="H2375">
        <v>496</v>
      </c>
      <c r="I2375" t="s">
        <v>34</v>
      </c>
      <c r="J2375" t="str">
        <f>_xlfn.XLOOKUP(branches[[#This Row],[Филиал]], tbl_Filialy[Филиал], tbl_Filialy[Менеджер])</f>
        <v>Ольга Кузнецова</v>
      </c>
    </row>
    <row r="2376" spans="1:10" x14ac:dyDescent="0.3">
      <c r="A2376" t="str">
        <f>_xlfn.XLOOKUP(branches[[#This Row],[Филиал]], tbl_Filialy[Филиал], tbl_Filialy[Город])</f>
        <v>Новосибирск</v>
      </c>
      <c r="B2376" s="1" t="s">
        <v>37</v>
      </c>
      <c r="C2376" s="2">
        <v>45727</v>
      </c>
      <c r="D2376" s="2" t="str">
        <f>CHOOSE(MONTH(branches[[#This Row],[Дата]]),"Январь","Февраль","Март","Апрель","Май","Июнь","Июль","Август","Сентябрь","Октябрь","Ноябрь","Декабрь")&amp;" "&amp;YEAR(branches[[#This Row],[Дата]])</f>
        <v>Март 2025</v>
      </c>
      <c r="E2376" t="s">
        <v>20</v>
      </c>
      <c r="F2376" t="s">
        <v>12</v>
      </c>
      <c r="G2376">
        <v>1</v>
      </c>
      <c r="H2376">
        <v>311</v>
      </c>
      <c r="I2376" t="s">
        <v>34</v>
      </c>
      <c r="J2376" t="str">
        <f>_xlfn.XLOOKUP(branches[[#This Row],[Филиал]], tbl_Filialy[Филиал], tbl_Filialy[Менеджер])</f>
        <v>Ольга Кузнецова</v>
      </c>
    </row>
    <row r="2377" spans="1:10" x14ac:dyDescent="0.3">
      <c r="A2377" t="str">
        <f>_xlfn.XLOOKUP(branches[[#This Row],[Филиал]], tbl_Filialy[Филиал], tbl_Filialy[Город])</f>
        <v>Новосибирск</v>
      </c>
      <c r="B2377" s="1" t="s">
        <v>37</v>
      </c>
      <c r="C2377" s="2">
        <v>45681</v>
      </c>
      <c r="D2377" s="2" t="str">
        <f>CHOOSE(MONTH(branches[[#This Row],[Дата]]),"Январь","Февраль","Март","Апрель","Май","Июнь","Июль","Август","Сентябрь","Октябрь","Ноябрь","Декабрь")&amp;" "&amp;YEAR(branches[[#This Row],[Дата]])</f>
        <v>Январь 2025</v>
      </c>
      <c r="E2377" t="s">
        <v>20</v>
      </c>
      <c r="F2377" t="s">
        <v>12</v>
      </c>
      <c r="G2377">
        <v>1</v>
      </c>
      <c r="H2377">
        <v>258</v>
      </c>
      <c r="I2377" t="s">
        <v>19</v>
      </c>
      <c r="J2377" t="str">
        <f>_xlfn.XLOOKUP(branches[[#This Row],[Филиал]], tbl_Filialy[Филиал], tbl_Filialy[Менеджер])</f>
        <v>Ольга Кузнецова</v>
      </c>
    </row>
    <row r="2378" spans="1:10" x14ac:dyDescent="0.3">
      <c r="A2378" t="str">
        <f>_xlfn.XLOOKUP(branches[[#This Row],[Филиал]], tbl_Filialy[Филиал], tbl_Filialy[Город])</f>
        <v>Новосибирск</v>
      </c>
      <c r="B2378" s="1" t="s">
        <v>37</v>
      </c>
      <c r="C2378" s="2">
        <v>45872</v>
      </c>
      <c r="D2378" s="2" t="str">
        <f>CHOOSE(MONTH(branches[[#This Row],[Дата]]),"Январь","Февраль","Март","Апрель","Май","Июнь","Июль","Август","Сентябрь","Октябрь","Ноябрь","Декабрь")&amp;" "&amp;YEAR(branches[[#This Row],[Дата]])</f>
        <v>Август 2025</v>
      </c>
      <c r="E2378" t="s">
        <v>26</v>
      </c>
      <c r="F2378" t="s">
        <v>9</v>
      </c>
      <c r="G2378">
        <v>1</v>
      </c>
      <c r="H2378">
        <v>225</v>
      </c>
      <c r="I2378" t="s">
        <v>35</v>
      </c>
      <c r="J2378" t="str">
        <f>_xlfn.XLOOKUP(branches[[#This Row],[Филиал]], tbl_Filialy[Филиал], tbl_Filialy[Менеджер])</f>
        <v>Ольга Кузнецова</v>
      </c>
    </row>
    <row r="2379" spans="1:10" x14ac:dyDescent="0.3">
      <c r="A2379" t="str">
        <f>_xlfn.XLOOKUP(branches[[#This Row],[Филиал]], tbl_Filialy[Филиал], tbl_Filialy[Город])</f>
        <v>Новосибирск</v>
      </c>
      <c r="B2379" s="1" t="s">
        <v>37</v>
      </c>
      <c r="C2379" s="2">
        <v>45668</v>
      </c>
      <c r="D2379" s="2" t="str">
        <f>CHOOSE(MONTH(branches[[#This Row],[Дата]]),"Январь","Февраль","Март","Апрель","Май","Июнь","Июль","Август","Сентябрь","Октябрь","Ноябрь","Декабрь")&amp;" "&amp;YEAR(branches[[#This Row],[Дата]])</f>
        <v>Январь 2025</v>
      </c>
      <c r="E2379" t="s">
        <v>18</v>
      </c>
      <c r="F2379" t="s">
        <v>12</v>
      </c>
      <c r="G2379">
        <v>3</v>
      </c>
      <c r="H2379">
        <v>372</v>
      </c>
      <c r="I2379" t="s">
        <v>13</v>
      </c>
      <c r="J2379" t="str">
        <f>_xlfn.XLOOKUP(branches[[#This Row],[Филиал]], tbl_Filialy[Филиал], tbl_Filialy[Менеджер])</f>
        <v>Ольга Кузнецова</v>
      </c>
    </row>
    <row r="2380" spans="1:10" x14ac:dyDescent="0.3">
      <c r="A2380" t="str">
        <f>_xlfn.XLOOKUP(branches[[#This Row],[Филиал]], tbl_Filialy[Филиал], tbl_Filialy[Город])</f>
        <v>Новосибирск</v>
      </c>
      <c r="B2380" s="1" t="s">
        <v>37</v>
      </c>
      <c r="C2380" s="2">
        <v>45671</v>
      </c>
      <c r="D2380" s="2" t="str">
        <f>CHOOSE(MONTH(branches[[#This Row],[Дата]]),"Январь","Февраль","Март","Апрель","Май","Июнь","Июль","Август","Сентябрь","Октябрь","Ноябрь","Декабрь")&amp;" "&amp;YEAR(branches[[#This Row],[Дата]])</f>
        <v>Январь 2025</v>
      </c>
      <c r="E2380" t="s">
        <v>27</v>
      </c>
      <c r="F2380" t="s">
        <v>12</v>
      </c>
      <c r="G2380">
        <v>1</v>
      </c>
      <c r="H2380">
        <v>208</v>
      </c>
      <c r="I2380" t="s">
        <v>13</v>
      </c>
      <c r="J2380" t="str">
        <f>_xlfn.XLOOKUP(branches[[#This Row],[Филиал]], tbl_Filialy[Филиал], tbl_Filialy[Менеджер])</f>
        <v>Ольга Кузнецова</v>
      </c>
    </row>
    <row r="2381" spans="1:10" x14ac:dyDescent="0.3">
      <c r="A2381" t="str">
        <f>_xlfn.XLOOKUP(branches[[#This Row],[Филиал]], tbl_Filialy[Филиал], tbl_Filialy[Город])</f>
        <v>Новосибирск</v>
      </c>
      <c r="B2381" s="1" t="s">
        <v>37</v>
      </c>
      <c r="C2381" s="2">
        <v>45918</v>
      </c>
      <c r="D2381" s="2" t="str">
        <f>CHOOSE(MONTH(branches[[#This Row],[Дата]]),"Январь","Февраль","Март","Апрель","Май","Июнь","Июль","Август","Сентябрь","Октябрь","Ноябрь","Декабрь")&amp;" "&amp;YEAR(branches[[#This Row],[Дата]])</f>
        <v>Сентябрь 2025</v>
      </c>
      <c r="E2381" t="s">
        <v>11</v>
      </c>
      <c r="F2381" t="s">
        <v>12</v>
      </c>
      <c r="G2381">
        <v>1</v>
      </c>
      <c r="H2381">
        <v>187</v>
      </c>
      <c r="I2381" t="s">
        <v>32</v>
      </c>
      <c r="J2381" t="str">
        <f>_xlfn.XLOOKUP(branches[[#This Row],[Филиал]], tbl_Filialy[Филиал], tbl_Filialy[Менеджер])</f>
        <v>Ольга Кузнецова</v>
      </c>
    </row>
    <row r="2382" spans="1:10" x14ac:dyDescent="0.3">
      <c r="A2382" t="str">
        <f>_xlfn.XLOOKUP(branches[[#This Row],[Филиал]], tbl_Filialy[Филиал], tbl_Filialy[Город])</f>
        <v>Новосибирск</v>
      </c>
      <c r="B2382" s="1" t="s">
        <v>37</v>
      </c>
      <c r="C2382" s="2">
        <v>45872</v>
      </c>
      <c r="D2382" s="2" t="str">
        <f>CHOOSE(MONTH(branches[[#This Row],[Дата]]),"Январь","Февраль","Март","Апрель","Май","Июнь","Июль","Август","Сентябрь","Октябрь","Ноябрь","Декабрь")&amp;" "&amp;YEAR(branches[[#This Row],[Дата]])</f>
        <v>Август 2025</v>
      </c>
      <c r="E2382" t="s">
        <v>11</v>
      </c>
      <c r="F2382" t="s">
        <v>12</v>
      </c>
      <c r="G2382">
        <v>2</v>
      </c>
      <c r="H2382">
        <v>334</v>
      </c>
      <c r="I2382" t="s">
        <v>32</v>
      </c>
      <c r="J2382" t="str">
        <f>_xlfn.XLOOKUP(branches[[#This Row],[Филиал]], tbl_Filialy[Филиал], tbl_Filialy[Менеджер])</f>
        <v>Ольга Кузнецова</v>
      </c>
    </row>
    <row r="2383" spans="1:10" x14ac:dyDescent="0.3">
      <c r="A2383" t="str">
        <f>_xlfn.XLOOKUP(branches[[#This Row],[Филиал]], tbl_Filialy[Филиал], tbl_Filialy[Город])</f>
        <v>Новосибирск</v>
      </c>
      <c r="B2383" s="1" t="s">
        <v>37</v>
      </c>
      <c r="C2383" s="2">
        <v>45851</v>
      </c>
      <c r="D2383" s="2" t="str">
        <f>CHOOSE(MONTH(branches[[#This Row],[Дата]]),"Январь","Февраль","Март","Апрель","Май","Июнь","Июль","Август","Сентябрь","Октябрь","Ноябрь","Декабрь")&amp;" "&amp;YEAR(branches[[#This Row],[Дата]])</f>
        <v>Июль 2025</v>
      </c>
      <c r="E2383" t="s">
        <v>11</v>
      </c>
      <c r="F2383" t="s">
        <v>12</v>
      </c>
      <c r="G2383">
        <v>1</v>
      </c>
      <c r="H2383">
        <v>194</v>
      </c>
      <c r="I2383" t="s">
        <v>13</v>
      </c>
      <c r="J2383" t="str">
        <f>_xlfn.XLOOKUP(branches[[#This Row],[Филиал]], tbl_Filialy[Филиал], tbl_Filialy[Менеджер])</f>
        <v>Ольга Кузнецова</v>
      </c>
    </row>
    <row r="2384" spans="1:10" x14ac:dyDescent="0.3">
      <c r="A2384" t="str">
        <f>_xlfn.XLOOKUP(branches[[#This Row],[Филиал]], tbl_Filialy[Филиал], tbl_Filialy[Город])</f>
        <v>Новосибирск</v>
      </c>
      <c r="B2384" s="1" t="s">
        <v>37</v>
      </c>
      <c r="C2384" s="2">
        <v>45976</v>
      </c>
      <c r="D2384" s="2" t="str">
        <f>CHOOSE(MONTH(branches[[#This Row],[Дата]]),"Январь","Февраль","Март","Апрель","Май","Июнь","Июль","Август","Сентябрь","Октябрь","Ноябрь","Декабрь")&amp;" "&amp;YEAR(branches[[#This Row],[Дата]])</f>
        <v>Ноябрь 2025</v>
      </c>
      <c r="E2384" t="s">
        <v>27</v>
      </c>
      <c r="F2384" t="s">
        <v>12</v>
      </c>
      <c r="G2384">
        <v>2</v>
      </c>
      <c r="H2384">
        <v>438</v>
      </c>
      <c r="I2384" t="s">
        <v>33</v>
      </c>
      <c r="J2384" t="str">
        <f>_xlfn.XLOOKUP(branches[[#This Row],[Филиал]], tbl_Filialy[Филиал], tbl_Filialy[Менеджер])</f>
        <v>Ольга Кузнецова</v>
      </c>
    </row>
    <row r="2385" spans="1:10" x14ac:dyDescent="0.3">
      <c r="A2385" t="str">
        <f>_xlfn.XLOOKUP(branches[[#This Row],[Филиал]], tbl_Filialy[Филиал], tbl_Filialy[Город])</f>
        <v>Новосибирск</v>
      </c>
      <c r="B2385" s="1" t="s">
        <v>37</v>
      </c>
      <c r="C2385" s="2">
        <v>45679</v>
      </c>
      <c r="D2385" s="2" t="str">
        <f>CHOOSE(MONTH(branches[[#This Row],[Дата]]),"Январь","Февраль","Март","Апрель","Май","Июнь","Июль","Август","Сентябрь","Октябрь","Ноябрь","Декабрь")&amp;" "&amp;YEAR(branches[[#This Row],[Дата]])</f>
        <v>Январь 2025</v>
      </c>
      <c r="E2385" t="s">
        <v>26</v>
      </c>
      <c r="F2385" t="s">
        <v>9</v>
      </c>
      <c r="G2385">
        <v>1</v>
      </c>
      <c r="H2385">
        <v>199</v>
      </c>
      <c r="I2385" t="s">
        <v>32</v>
      </c>
      <c r="J2385" t="str">
        <f>_xlfn.XLOOKUP(branches[[#This Row],[Филиал]], tbl_Filialy[Филиал], tbl_Filialy[Менеджер])</f>
        <v>Ольга Кузнецова</v>
      </c>
    </row>
    <row r="2386" spans="1:10" x14ac:dyDescent="0.3">
      <c r="A2386" t="str">
        <f>_xlfn.XLOOKUP(branches[[#This Row],[Филиал]], tbl_Filialy[Филиал], tbl_Filialy[Город])</f>
        <v>Новосибирск</v>
      </c>
      <c r="B2386" s="1" t="s">
        <v>37</v>
      </c>
      <c r="C2386" s="2">
        <v>45664</v>
      </c>
      <c r="D2386" s="2" t="str">
        <f>CHOOSE(MONTH(branches[[#This Row],[Дата]]),"Январь","Февраль","Март","Апрель","Май","Июнь","Июль","Август","Сентябрь","Октябрь","Ноябрь","Декабрь")&amp;" "&amp;YEAR(branches[[#This Row],[Дата]])</f>
        <v>Январь 2025</v>
      </c>
      <c r="E2386" t="s">
        <v>8</v>
      </c>
      <c r="F2386" t="s">
        <v>9</v>
      </c>
      <c r="G2386">
        <v>3</v>
      </c>
      <c r="H2386">
        <v>801</v>
      </c>
      <c r="I2386" t="s">
        <v>19</v>
      </c>
      <c r="J2386" t="str">
        <f>_xlfn.XLOOKUP(branches[[#This Row],[Филиал]], tbl_Filialy[Филиал], tbl_Filialy[Менеджер])</f>
        <v>Ольга Кузнецова</v>
      </c>
    </row>
    <row r="2387" spans="1:10" x14ac:dyDescent="0.3">
      <c r="A2387" t="str">
        <f>_xlfn.XLOOKUP(branches[[#This Row],[Филиал]], tbl_Filialy[Филиал], tbl_Filialy[Город])</f>
        <v>Новосибирск</v>
      </c>
      <c r="B2387" s="1" t="s">
        <v>37</v>
      </c>
      <c r="C2387" s="2">
        <v>45845</v>
      </c>
      <c r="D2387" s="2" t="str">
        <f>CHOOSE(MONTH(branches[[#This Row],[Дата]]),"Январь","Февраль","Март","Апрель","Май","Июнь","Июль","Август","Сентябрь","Октябрь","Ноябрь","Декабрь")&amp;" "&amp;YEAR(branches[[#This Row],[Дата]])</f>
        <v>Июль 2025</v>
      </c>
      <c r="E2387" t="s">
        <v>24</v>
      </c>
      <c r="F2387" t="s">
        <v>17</v>
      </c>
      <c r="G2387">
        <v>1</v>
      </c>
      <c r="H2387">
        <v>418</v>
      </c>
      <c r="I2387" t="s">
        <v>32</v>
      </c>
      <c r="J2387" t="str">
        <f>_xlfn.XLOOKUP(branches[[#This Row],[Филиал]], tbl_Filialy[Филиал], tbl_Filialy[Менеджер])</f>
        <v>Ольга Кузнецова</v>
      </c>
    </row>
    <row r="2388" spans="1:10" x14ac:dyDescent="0.3">
      <c r="A2388" t="str">
        <f>_xlfn.XLOOKUP(branches[[#This Row],[Филиал]], tbl_Filialy[Филиал], tbl_Filialy[Город])</f>
        <v>Новосибирск</v>
      </c>
      <c r="B2388" s="1" t="s">
        <v>37</v>
      </c>
      <c r="C2388" s="2">
        <v>45804</v>
      </c>
      <c r="D2388" s="2" t="str">
        <f>CHOOSE(MONTH(branches[[#This Row],[Дата]]),"Январь","Февраль","Март","Апрель","Май","Июнь","Июль","Август","Сентябрь","Октябрь","Ноябрь","Декабрь")&amp;" "&amp;YEAR(branches[[#This Row],[Дата]])</f>
        <v>Май 2025</v>
      </c>
      <c r="E2388" t="s">
        <v>24</v>
      </c>
      <c r="F2388" t="s">
        <v>17</v>
      </c>
      <c r="G2388">
        <v>3</v>
      </c>
      <c r="H2388">
        <v>1236</v>
      </c>
      <c r="I2388" t="s">
        <v>33</v>
      </c>
      <c r="J2388" t="str">
        <f>_xlfn.XLOOKUP(branches[[#This Row],[Филиал]], tbl_Filialy[Филиал], tbl_Filialy[Менеджер])</f>
        <v>Ольга Кузнецова</v>
      </c>
    </row>
    <row r="2389" spans="1:10" x14ac:dyDescent="0.3">
      <c r="A2389" t="str">
        <f>_xlfn.XLOOKUP(branches[[#This Row],[Филиал]], tbl_Filialy[Филиал], tbl_Filialy[Город])</f>
        <v>Новосибирск</v>
      </c>
      <c r="B2389" s="1" t="s">
        <v>37</v>
      </c>
      <c r="C2389" s="2">
        <v>45949</v>
      </c>
      <c r="D2389" s="2" t="str">
        <f>CHOOSE(MONTH(branches[[#This Row],[Дата]]),"Январь","Февраль","Март","Апрель","Май","Июнь","Июль","Август","Сентябрь","Октябрь","Ноябрь","Декабрь")&amp;" "&amp;YEAR(branches[[#This Row],[Дата]])</f>
        <v>Октябрь 2025</v>
      </c>
      <c r="E2389" t="s">
        <v>16</v>
      </c>
      <c r="F2389" t="s">
        <v>17</v>
      </c>
      <c r="G2389">
        <v>2</v>
      </c>
      <c r="H2389">
        <v>676</v>
      </c>
      <c r="I2389" t="s">
        <v>34</v>
      </c>
      <c r="J2389" t="str">
        <f>_xlfn.XLOOKUP(branches[[#This Row],[Филиал]], tbl_Filialy[Филиал], tbl_Filialy[Менеджер])</f>
        <v>Ольга Кузнецова</v>
      </c>
    </row>
    <row r="2390" spans="1:10" x14ac:dyDescent="0.3">
      <c r="A2390" t="str">
        <f>_xlfn.XLOOKUP(branches[[#This Row],[Филиал]], tbl_Filialy[Филиал], tbl_Filialy[Город])</f>
        <v>Новосибирск</v>
      </c>
      <c r="B2390" s="1" t="s">
        <v>37</v>
      </c>
      <c r="C2390" s="2">
        <v>45694</v>
      </c>
      <c r="D2390" s="2" t="str">
        <f>CHOOSE(MONTH(branches[[#This Row],[Дата]]),"Январь","Февраль","Март","Апрель","Май","Июнь","Июль","Август","Сентябрь","Октябрь","Ноябрь","Декабрь")&amp;" "&amp;YEAR(branches[[#This Row],[Дата]])</f>
        <v>Февраль 2025</v>
      </c>
      <c r="E2390" t="s">
        <v>27</v>
      </c>
      <c r="F2390" t="s">
        <v>12</v>
      </c>
      <c r="G2390">
        <v>2</v>
      </c>
      <c r="H2390">
        <v>422</v>
      </c>
      <c r="I2390" t="s">
        <v>35</v>
      </c>
      <c r="J2390" t="str">
        <f>_xlfn.XLOOKUP(branches[[#This Row],[Филиал]], tbl_Filialy[Филиал], tbl_Filialy[Менеджер])</f>
        <v>Ольга Кузнецова</v>
      </c>
    </row>
    <row r="2391" spans="1:10" x14ac:dyDescent="0.3">
      <c r="A2391" t="str">
        <f>_xlfn.XLOOKUP(branches[[#This Row],[Филиал]], tbl_Filialy[Филиал], tbl_Filialy[Город])</f>
        <v>Новосибирск</v>
      </c>
      <c r="B2391" s="1" t="s">
        <v>37</v>
      </c>
      <c r="C2391" s="2">
        <v>45951</v>
      </c>
      <c r="D2391" s="2" t="str">
        <f>CHOOSE(MONTH(branches[[#This Row],[Дата]]),"Январь","Февраль","Март","Апрель","Май","Июнь","Июль","Август","Сентябрь","Октябрь","Ноябрь","Декабрь")&amp;" "&amp;YEAR(branches[[#This Row],[Дата]])</f>
        <v>Октябрь 2025</v>
      </c>
      <c r="E2391" t="s">
        <v>28</v>
      </c>
      <c r="F2391" t="s">
        <v>12</v>
      </c>
      <c r="G2391">
        <v>3</v>
      </c>
      <c r="H2391">
        <v>630</v>
      </c>
      <c r="I2391" t="s">
        <v>35</v>
      </c>
      <c r="J2391" t="str">
        <f>_xlfn.XLOOKUP(branches[[#This Row],[Филиал]], tbl_Filialy[Филиал], tbl_Filialy[Менеджер])</f>
        <v>Ольга Кузнецова</v>
      </c>
    </row>
    <row r="2392" spans="1:10" x14ac:dyDescent="0.3">
      <c r="A2392" t="str">
        <f>_xlfn.XLOOKUP(branches[[#This Row],[Филиал]], tbl_Filialy[Филиал], tbl_Filialy[Город])</f>
        <v>Новосибирск</v>
      </c>
      <c r="B2392" s="1" t="s">
        <v>37</v>
      </c>
      <c r="C2392" s="2">
        <v>45733</v>
      </c>
      <c r="D2392" s="2" t="str">
        <f>CHOOSE(MONTH(branches[[#This Row],[Дата]]),"Январь","Февраль","Март","Апрель","Май","Июнь","Июль","Август","Сентябрь","Октябрь","Ноябрь","Декабрь")&amp;" "&amp;YEAR(branches[[#This Row],[Дата]])</f>
        <v>Март 2025</v>
      </c>
      <c r="E2392" t="s">
        <v>18</v>
      </c>
      <c r="F2392" t="s">
        <v>12</v>
      </c>
      <c r="G2392">
        <v>2</v>
      </c>
      <c r="H2392">
        <v>286</v>
      </c>
      <c r="I2392" t="s">
        <v>13</v>
      </c>
      <c r="J2392" t="str">
        <f>_xlfn.XLOOKUP(branches[[#This Row],[Филиал]], tbl_Filialy[Филиал], tbl_Filialy[Менеджер])</f>
        <v>Ольга Кузнецова</v>
      </c>
    </row>
    <row r="2393" spans="1:10" x14ac:dyDescent="0.3">
      <c r="A2393" t="str">
        <f>_xlfn.XLOOKUP(branches[[#This Row],[Филиал]], tbl_Filialy[Филиал], tbl_Filialy[Город])</f>
        <v>Новосибирск</v>
      </c>
      <c r="B2393" s="1" t="s">
        <v>37</v>
      </c>
      <c r="C2393" s="2">
        <v>45977</v>
      </c>
      <c r="D2393" s="2" t="str">
        <f>CHOOSE(MONTH(branches[[#This Row],[Дата]]),"Январь","Февраль","Март","Апрель","Май","Июнь","Июль","Август","Сентябрь","Октябрь","Ноябрь","Декабрь")&amp;" "&amp;YEAR(branches[[#This Row],[Дата]])</f>
        <v>Ноябрь 2025</v>
      </c>
      <c r="E2393" t="s">
        <v>25</v>
      </c>
      <c r="F2393" t="s">
        <v>12</v>
      </c>
      <c r="G2393">
        <v>1</v>
      </c>
      <c r="H2393">
        <v>234</v>
      </c>
      <c r="I2393" t="s">
        <v>35</v>
      </c>
      <c r="J2393" t="str">
        <f>_xlfn.XLOOKUP(branches[[#This Row],[Филиал]], tbl_Filialy[Филиал], tbl_Filialy[Менеджер])</f>
        <v>Ольга Кузнецова</v>
      </c>
    </row>
    <row r="2394" spans="1:10" x14ac:dyDescent="0.3">
      <c r="A2394" t="str">
        <f>_xlfn.XLOOKUP(branches[[#This Row],[Филиал]], tbl_Filialy[Филиал], tbl_Filialy[Город])</f>
        <v>Новосибирск</v>
      </c>
      <c r="B2394" s="1" t="s">
        <v>37</v>
      </c>
      <c r="C2394" s="2">
        <v>45866</v>
      </c>
      <c r="D2394" s="2" t="str">
        <f>CHOOSE(MONTH(branches[[#This Row],[Дата]]),"Январь","Февраль","Март","Апрель","Май","Июнь","Июль","Август","Сентябрь","Октябрь","Ноябрь","Декабрь")&amp;" "&amp;YEAR(branches[[#This Row],[Дата]])</f>
        <v>Июль 2025</v>
      </c>
      <c r="E2394" t="s">
        <v>16</v>
      </c>
      <c r="F2394" t="s">
        <v>17</v>
      </c>
      <c r="G2394">
        <v>1</v>
      </c>
      <c r="H2394">
        <v>313</v>
      </c>
      <c r="I2394" t="s">
        <v>34</v>
      </c>
      <c r="J2394" t="str">
        <f>_xlfn.XLOOKUP(branches[[#This Row],[Филиал]], tbl_Filialy[Филиал], tbl_Filialy[Менеджер])</f>
        <v>Ольга Кузнецова</v>
      </c>
    </row>
    <row r="2395" spans="1:10" x14ac:dyDescent="0.3">
      <c r="A2395" t="str">
        <f>_xlfn.XLOOKUP(branches[[#This Row],[Филиал]], tbl_Filialy[Филиал], tbl_Filialy[Город])</f>
        <v>Новосибирск</v>
      </c>
      <c r="B2395" s="1" t="s">
        <v>37</v>
      </c>
      <c r="C2395" s="2">
        <v>45948</v>
      </c>
      <c r="D2395" s="2" t="str">
        <f>CHOOSE(MONTH(branches[[#This Row],[Дата]]),"Январь","Февраль","Март","Апрель","Май","Июнь","Июль","Август","Сентябрь","Октябрь","Ноябрь","Декабрь")&amp;" "&amp;YEAR(branches[[#This Row],[Дата]])</f>
        <v>Октябрь 2025</v>
      </c>
      <c r="E2395" t="s">
        <v>22</v>
      </c>
      <c r="F2395" t="s">
        <v>9</v>
      </c>
      <c r="G2395">
        <v>1</v>
      </c>
      <c r="H2395">
        <v>167</v>
      </c>
      <c r="I2395" t="s">
        <v>35</v>
      </c>
      <c r="J2395" t="str">
        <f>_xlfn.XLOOKUP(branches[[#This Row],[Филиал]], tbl_Filialy[Филиал], tbl_Filialy[Менеджер])</f>
        <v>Ольга Кузнецова</v>
      </c>
    </row>
    <row r="2396" spans="1:10" x14ac:dyDescent="0.3">
      <c r="A2396" t="str">
        <f>_xlfn.XLOOKUP(branches[[#This Row],[Филиал]], tbl_Filialy[Филиал], tbl_Filialy[Город])</f>
        <v>Новосибирск</v>
      </c>
      <c r="B2396" s="1" t="s">
        <v>37</v>
      </c>
      <c r="C2396" s="2">
        <v>46002</v>
      </c>
      <c r="D2396" s="2" t="str">
        <f>CHOOSE(MONTH(branches[[#This Row],[Дата]]),"Январь","Февраль","Март","Апрель","Май","Июнь","Июль","Август","Сентябрь","Октябрь","Ноябрь","Декабрь")&amp;" "&amp;YEAR(branches[[#This Row],[Дата]])</f>
        <v>Декабрь 2025</v>
      </c>
      <c r="E2396" t="s">
        <v>8</v>
      </c>
      <c r="F2396" t="s">
        <v>9</v>
      </c>
      <c r="G2396">
        <v>1</v>
      </c>
      <c r="H2396">
        <v>261</v>
      </c>
      <c r="I2396" t="s">
        <v>35</v>
      </c>
      <c r="J2396" t="str">
        <f>_xlfn.XLOOKUP(branches[[#This Row],[Филиал]], tbl_Filialy[Филиал], tbl_Filialy[Менеджер])</f>
        <v>Ольга Кузнецова</v>
      </c>
    </row>
    <row r="2397" spans="1:10" x14ac:dyDescent="0.3">
      <c r="A2397" t="str">
        <f>_xlfn.XLOOKUP(branches[[#This Row],[Филиал]], tbl_Filialy[Филиал], tbl_Filialy[Город])</f>
        <v>Новосибирск</v>
      </c>
      <c r="B2397" s="1" t="s">
        <v>37</v>
      </c>
      <c r="C2397" s="2">
        <v>45761</v>
      </c>
      <c r="D2397" s="2" t="str">
        <f>CHOOSE(MONTH(branches[[#This Row],[Дата]]),"Январь","Февраль","Март","Апрель","Май","Июнь","Июль","Август","Сентябрь","Октябрь","Ноябрь","Декабрь")&amp;" "&amp;YEAR(branches[[#This Row],[Дата]])</f>
        <v>Апрель 2025</v>
      </c>
      <c r="E2397" t="s">
        <v>26</v>
      </c>
      <c r="F2397" t="s">
        <v>9</v>
      </c>
      <c r="G2397">
        <v>2</v>
      </c>
      <c r="H2397">
        <v>458</v>
      </c>
      <c r="I2397" t="s">
        <v>35</v>
      </c>
      <c r="J2397" t="str">
        <f>_xlfn.XLOOKUP(branches[[#This Row],[Филиал]], tbl_Filialy[Филиал], tbl_Filialy[Менеджер])</f>
        <v>Ольга Кузнецова</v>
      </c>
    </row>
    <row r="2398" spans="1:10" x14ac:dyDescent="0.3">
      <c r="A2398" t="str">
        <f>_xlfn.XLOOKUP(branches[[#This Row],[Филиал]], tbl_Filialy[Филиал], tbl_Filialy[Город])</f>
        <v>Новосибирск</v>
      </c>
      <c r="B2398" s="1" t="s">
        <v>37</v>
      </c>
      <c r="C2398" s="2">
        <v>45907</v>
      </c>
      <c r="D2398" s="2" t="str">
        <f>CHOOSE(MONTH(branches[[#This Row],[Дата]]),"Январь","Февраль","Март","Апрель","Май","Июнь","Июль","Август","Сентябрь","Октябрь","Ноябрь","Декабрь")&amp;" "&amp;YEAR(branches[[#This Row],[Дата]])</f>
        <v>Сентябрь 2025</v>
      </c>
      <c r="E2398" t="s">
        <v>22</v>
      </c>
      <c r="F2398" t="s">
        <v>9</v>
      </c>
      <c r="G2398">
        <v>2</v>
      </c>
      <c r="H2398">
        <v>344</v>
      </c>
      <c r="I2398" t="s">
        <v>33</v>
      </c>
      <c r="J2398" t="str">
        <f>_xlfn.XLOOKUP(branches[[#This Row],[Филиал]], tbl_Filialy[Филиал], tbl_Filialy[Менеджер])</f>
        <v>Ольга Кузнецова</v>
      </c>
    </row>
    <row r="2399" spans="1:10" x14ac:dyDescent="0.3">
      <c r="A2399" t="str">
        <f>_xlfn.XLOOKUP(branches[[#This Row],[Филиал]], tbl_Filialy[Филиал], tbl_Filialy[Город])</f>
        <v>Новосибирск</v>
      </c>
      <c r="B2399" s="1" t="s">
        <v>37</v>
      </c>
      <c r="C2399" s="2">
        <v>46004</v>
      </c>
      <c r="D2399" s="2" t="str">
        <f>CHOOSE(MONTH(branches[[#This Row],[Дата]]),"Январь","Февраль","Март","Апрель","Май","Июнь","Июль","Август","Сентябрь","Октябрь","Ноябрь","Декабрь")&amp;" "&amp;YEAR(branches[[#This Row],[Дата]])</f>
        <v>Декабрь 2025</v>
      </c>
      <c r="E2399" t="s">
        <v>27</v>
      </c>
      <c r="F2399" t="s">
        <v>12</v>
      </c>
      <c r="G2399">
        <v>1</v>
      </c>
      <c r="H2399">
        <v>239</v>
      </c>
      <c r="I2399" t="s">
        <v>13</v>
      </c>
      <c r="J2399" t="str">
        <f>_xlfn.XLOOKUP(branches[[#This Row],[Филиал]], tbl_Filialy[Филиал], tbl_Filialy[Менеджер])</f>
        <v>Ольга Кузнецова</v>
      </c>
    </row>
    <row r="2400" spans="1:10" x14ac:dyDescent="0.3">
      <c r="A2400" t="str">
        <f>_xlfn.XLOOKUP(branches[[#This Row],[Филиал]], tbl_Filialy[Филиал], tbl_Filialy[Город])</f>
        <v>Новосибирск</v>
      </c>
      <c r="B2400" s="1" t="s">
        <v>37</v>
      </c>
      <c r="C2400" s="2">
        <v>46014</v>
      </c>
      <c r="D2400" s="2" t="str">
        <f>CHOOSE(MONTH(branches[[#This Row],[Дата]]),"Январь","Февраль","Март","Апрель","Май","Июнь","Июль","Август","Сентябрь","Октябрь","Ноябрь","Декабрь")&amp;" "&amp;YEAR(branches[[#This Row],[Дата]])</f>
        <v>Декабрь 2025</v>
      </c>
      <c r="E2400" t="s">
        <v>26</v>
      </c>
      <c r="F2400" t="s">
        <v>9</v>
      </c>
      <c r="G2400">
        <v>1</v>
      </c>
      <c r="H2400">
        <v>225</v>
      </c>
      <c r="I2400" t="s">
        <v>33</v>
      </c>
      <c r="J2400" t="str">
        <f>_xlfn.XLOOKUP(branches[[#This Row],[Филиал]], tbl_Filialy[Филиал], tbl_Filialy[Менеджер])</f>
        <v>Ольга Кузнецова</v>
      </c>
    </row>
    <row r="2401" spans="1:10" x14ac:dyDescent="0.3">
      <c r="A2401" t="str">
        <f>_xlfn.XLOOKUP(branches[[#This Row],[Филиал]], tbl_Filialy[Филиал], tbl_Filialy[Город])</f>
        <v>Новосибирск</v>
      </c>
      <c r="B2401" s="1" t="s">
        <v>37</v>
      </c>
      <c r="C2401" s="2">
        <v>45894</v>
      </c>
      <c r="D2401" s="2" t="str">
        <f>CHOOSE(MONTH(branches[[#This Row],[Дата]]),"Январь","Февраль","Март","Апрель","Май","Июнь","Июль","Август","Сентябрь","Октябрь","Ноябрь","Декабрь")&amp;" "&amp;YEAR(branches[[#This Row],[Дата]])</f>
        <v>Август 2025</v>
      </c>
      <c r="E2401" t="s">
        <v>26</v>
      </c>
      <c r="F2401" t="s">
        <v>9</v>
      </c>
      <c r="G2401">
        <v>2</v>
      </c>
      <c r="H2401">
        <v>374</v>
      </c>
      <c r="I2401" t="s">
        <v>35</v>
      </c>
      <c r="J2401" t="str">
        <f>_xlfn.XLOOKUP(branches[[#This Row],[Филиал]], tbl_Filialy[Филиал], tbl_Filialy[Менеджер])</f>
        <v>Ольга Кузнецова</v>
      </c>
    </row>
    <row r="2402" spans="1:10" x14ac:dyDescent="0.3">
      <c r="A2402" t="str">
        <f>_xlfn.XLOOKUP(branches[[#This Row],[Филиал]], tbl_Filialy[Филиал], tbl_Filialy[Город])</f>
        <v>Новосибирск</v>
      </c>
      <c r="B2402" s="1" t="s">
        <v>37</v>
      </c>
      <c r="C2402" s="2">
        <v>45682</v>
      </c>
      <c r="D2402" s="2" t="str">
        <f>CHOOSE(MONTH(branches[[#This Row],[Дата]]),"Январь","Февраль","Март","Апрель","Май","Июнь","Июль","Август","Сентябрь","Октябрь","Ноябрь","Декабрь")&amp;" "&amp;YEAR(branches[[#This Row],[Дата]])</f>
        <v>Январь 2025</v>
      </c>
      <c r="E2402" t="s">
        <v>24</v>
      </c>
      <c r="F2402" t="s">
        <v>17</v>
      </c>
      <c r="G2402">
        <v>2</v>
      </c>
      <c r="H2402">
        <v>744</v>
      </c>
      <c r="I2402" t="s">
        <v>33</v>
      </c>
      <c r="J2402" t="str">
        <f>_xlfn.XLOOKUP(branches[[#This Row],[Филиал]], tbl_Filialy[Филиал], tbl_Filialy[Менеджер])</f>
        <v>Ольга Кузнецова</v>
      </c>
    </row>
    <row r="2403" spans="1:10" x14ac:dyDescent="0.3">
      <c r="A2403" t="str">
        <f>_xlfn.XLOOKUP(branches[[#This Row],[Филиал]], tbl_Filialy[Филиал], tbl_Filialy[Город])</f>
        <v>Новосибирск</v>
      </c>
      <c r="B2403" s="1" t="s">
        <v>37</v>
      </c>
      <c r="C2403" s="2">
        <v>45979</v>
      </c>
      <c r="D2403" s="2" t="str">
        <f>CHOOSE(MONTH(branches[[#This Row],[Дата]]),"Январь","Февраль","Март","Апрель","Май","Июнь","Июль","Август","Сентябрь","Октябрь","Ноябрь","Декабрь")&amp;" "&amp;YEAR(branches[[#This Row],[Дата]])</f>
        <v>Ноябрь 2025</v>
      </c>
      <c r="E2403" t="s">
        <v>8</v>
      </c>
      <c r="F2403" t="s">
        <v>9</v>
      </c>
      <c r="G2403">
        <v>3</v>
      </c>
      <c r="H2403">
        <v>750</v>
      </c>
      <c r="I2403" t="s">
        <v>32</v>
      </c>
      <c r="J2403" t="str">
        <f>_xlfn.XLOOKUP(branches[[#This Row],[Филиал]], tbl_Filialy[Филиал], tbl_Filialy[Менеджер])</f>
        <v>Ольга Кузнецова</v>
      </c>
    </row>
    <row r="2404" spans="1:10" x14ac:dyDescent="0.3">
      <c r="A2404" t="str">
        <f>_xlfn.XLOOKUP(branches[[#This Row],[Филиал]], tbl_Filialy[Филиал], tbl_Filialy[Город])</f>
        <v>Новосибирск</v>
      </c>
      <c r="B2404" s="1" t="s">
        <v>37</v>
      </c>
      <c r="C2404" s="2">
        <v>45683</v>
      </c>
      <c r="D2404" s="2" t="str">
        <f>CHOOSE(MONTH(branches[[#This Row],[Дата]]),"Январь","Февраль","Март","Апрель","Май","Июнь","Июль","Август","Сентябрь","Октябрь","Ноябрь","Декабрь")&amp;" "&amp;YEAR(branches[[#This Row],[Дата]])</f>
        <v>Январь 2025</v>
      </c>
      <c r="E2404" t="s">
        <v>16</v>
      </c>
      <c r="F2404" t="s">
        <v>17</v>
      </c>
      <c r="G2404">
        <v>1</v>
      </c>
      <c r="H2404">
        <v>325</v>
      </c>
      <c r="I2404" t="s">
        <v>19</v>
      </c>
      <c r="J2404" t="str">
        <f>_xlfn.XLOOKUP(branches[[#This Row],[Филиал]], tbl_Filialy[Филиал], tbl_Filialy[Менеджер])</f>
        <v>Ольга Кузнецова</v>
      </c>
    </row>
    <row r="2405" spans="1:10" x14ac:dyDescent="0.3">
      <c r="A2405" t="str">
        <f>_xlfn.XLOOKUP(branches[[#This Row],[Филиал]], tbl_Filialy[Филиал], tbl_Filialy[Город])</f>
        <v>Новосибирск</v>
      </c>
      <c r="B2405" s="1" t="s">
        <v>37</v>
      </c>
      <c r="C2405" s="2">
        <v>45783</v>
      </c>
      <c r="D2405" s="2" t="str">
        <f>CHOOSE(MONTH(branches[[#This Row],[Дата]]),"Январь","Февраль","Март","Апрель","Май","Июнь","Июль","Август","Сентябрь","Октябрь","Ноябрь","Декабрь")&amp;" "&amp;YEAR(branches[[#This Row],[Дата]])</f>
        <v>Май 2025</v>
      </c>
      <c r="E2405" t="s">
        <v>24</v>
      </c>
      <c r="F2405" t="s">
        <v>17</v>
      </c>
      <c r="G2405">
        <v>2</v>
      </c>
      <c r="H2405">
        <v>732</v>
      </c>
      <c r="I2405" t="s">
        <v>29</v>
      </c>
      <c r="J2405" t="str">
        <f>_xlfn.XLOOKUP(branches[[#This Row],[Филиал]], tbl_Filialy[Филиал], tbl_Filialy[Менеджер])</f>
        <v>Ольга Кузнецова</v>
      </c>
    </row>
    <row r="2406" spans="1:10" x14ac:dyDescent="0.3">
      <c r="A2406" t="str">
        <f>_xlfn.XLOOKUP(branches[[#This Row],[Филиал]], tbl_Filialy[Филиал], tbl_Filialy[Город])</f>
        <v>Новосибирск</v>
      </c>
      <c r="B2406" s="1" t="s">
        <v>37</v>
      </c>
      <c r="C2406" s="2">
        <v>45954</v>
      </c>
      <c r="D2406" s="2" t="str">
        <f>CHOOSE(MONTH(branches[[#This Row],[Дата]]),"Январь","Февраль","Март","Апрель","Май","Июнь","Июль","Август","Сентябрь","Октябрь","Ноябрь","Декабрь")&amp;" "&amp;YEAR(branches[[#This Row],[Дата]])</f>
        <v>Октябрь 2025</v>
      </c>
      <c r="E2406" t="s">
        <v>18</v>
      </c>
      <c r="F2406" t="s">
        <v>12</v>
      </c>
      <c r="G2406">
        <v>1</v>
      </c>
      <c r="H2406">
        <v>132</v>
      </c>
      <c r="I2406" t="s">
        <v>35</v>
      </c>
      <c r="J2406" t="str">
        <f>_xlfn.XLOOKUP(branches[[#This Row],[Филиал]], tbl_Filialy[Филиал], tbl_Filialy[Менеджер])</f>
        <v>Ольга Кузнецова</v>
      </c>
    </row>
    <row r="2407" spans="1:10" x14ac:dyDescent="0.3">
      <c r="A2407" t="str">
        <f>_xlfn.XLOOKUP(branches[[#This Row],[Филиал]], tbl_Filialy[Филиал], tbl_Filialy[Город])</f>
        <v>Новосибирск</v>
      </c>
      <c r="B2407" s="1" t="s">
        <v>37</v>
      </c>
      <c r="C2407" s="2">
        <v>45857</v>
      </c>
      <c r="D2407" s="2" t="str">
        <f>CHOOSE(MONTH(branches[[#This Row],[Дата]]),"Январь","Февраль","Март","Апрель","Май","Июнь","Июль","Август","Сентябрь","Октябрь","Ноябрь","Декабрь")&amp;" "&amp;YEAR(branches[[#This Row],[Дата]])</f>
        <v>Июль 2025</v>
      </c>
      <c r="E2407" t="s">
        <v>28</v>
      </c>
      <c r="F2407" t="s">
        <v>12</v>
      </c>
      <c r="G2407">
        <v>1</v>
      </c>
      <c r="H2407">
        <v>228</v>
      </c>
      <c r="I2407" t="s">
        <v>34</v>
      </c>
      <c r="J2407" t="str">
        <f>_xlfn.XLOOKUP(branches[[#This Row],[Филиал]], tbl_Filialy[Филиал], tbl_Filialy[Менеджер])</f>
        <v>Ольга Кузнецова</v>
      </c>
    </row>
    <row r="2408" spans="1:10" x14ac:dyDescent="0.3">
      <c r="A2408" t="str">
        <f>_xlfn.XLOOKUP(branches[[#This Row],[Филиал]], tbl_Filialy[Филиал], tbl_Filialy[Город])</f>
        <v>Новосибирск</v>
      </c>
      <c r="B2408" s="1" t="s">
        <v>37</v>
      </c>
      <c r="C2408" s="2">
        <v>46017</v>
      </c>
      <c r="D2408" s="2" t="str">
        <f>CHOOSE(MONTH(branches[[#This Row],[Дата]]),"Январь","Февраль","Март","Апрель","Май","Июнь","Июль","Август","Сентябрь","Октябрь","Ноябрь","Декабрь")&amp;" "&amp;YEAR(branches[[#This Row],[Дата]])</f>
        <v>Декабрь 2025</v>
      </c>
      <c r="E2408" t="s">
        <v>26</v>
      </c>
      <c r="F2408" t="s">
        <v>9</v>
      </c>
      <c r="G2408">
        <v>1</v>
      </c>
      <c r="H2408">
        <v>219</v>
      </c>
      <c r="I2408" t="s">
        <v>19</v>
      </c>
      <c r="J2408" t="str">
        <f>_xlfn.XLOOKUP(branches[[#This Row],[Филиал]], tbl_Filialy[Филиал], tbl_Filialy[Менеджер])</f>
        <v>Ольга Кузнецова</v>
      </c>
    </row>
    <row r="2409" spans="1:10" x14ac:dyDescent="0.3">
      <c r="A2409" t="str">
        <f>_xlfn.XLOOKUP(branches[[#This Row],[Филиал]], tbl_Filialy[Филиал], tbl_Filialy[Город])</f>
        <v>Новосибирск</v>
      </c>
      <c r="B2409" s="1" t="s">
        <v>37</v>
      </c>
      <c r="C2409" s="2">
        <v>46018</v>
      </c>
      <c r="D2409" s="2" t="str">
        <f>CHOOSE(MONTH(branches[[#This Row],[Дата]]),"Январь","Февраль","Март","Апрель","Май","Июнь","Июль","Август","Сентябрь","Октябрь","Ноябрь","Декабрь")&amp;" "&amp;YEAR(branches[[#This Row],[Дата]])</f>
        <v>Декабрь 2025</v>
      </c>
      <c r="E2409" t="s">
        <v>28</v>
      </c>
      <c r="F2409" t="s">
        <v>12</v>
      </c>
      <c r="G2409">
        <v>1</v>
      </c>
      <c r="H2409">
        <v>225</v>
      </c>
      <c r="I2409" t="s">
        <v>13</v>
      </c>
      <c r="J2409" t="str">
        <f>_xlfn.XLOOKUP(branches[[#This Row],[Филиал]], tbl_Filialy[Филиал], tbl_Filialy[Менеджер])</f>
        <v>Ольга Кузнецова</v>
      </c>
    </row>
    <row r="2410" spans="1:10" x14ac:dyDescent="0.3">
      <c r="A2410" t="str">
        <f>_xlfn.XLOOKUP(branches[[#This Row],[Филиал]], tbl_Filialy[Филиал], tbl_Filialy[Город])</f>
        <v>Новосибирск</v>
      </c>
      <c r="B2410" s="1" t="s">
        <v>37</v>
      </c>
      <c r="C2410" s="2">
        <v>45844</v>
      </c>
      <c r="D2410" s="2" t="str">
        <f>CHOOSE(MONTH(branches[[#This Row],[Дата]]),"Январь","Февраль","Март","Апрель","Май","Июнь","Июль","Август","Сентябрь","Октябрь","Ноябрь","Декабрь")&amp;" "&amp;YEAR(branches[[#This Row],[Дата]])</f>
        <v>Июль 2025</v>
      </c>
      <c r="E2410" t="s">
        <v>18</v>
      </c>
      <c r="F2410" t="s">
        <v>12</v>
      </c>
      <c r="G2410">
        <v>3</v>
      </c>
      <c r="H2410">
        <v>447</v>
      </c>
      <c r="I2410" t="s">
        <v>19</v>
      </c>
      <c r="J2410" t="str">
        <f>_xlfn.XLOOKUP(branches[[#This Row],[Филиал]], tbl_Filialy[Филиал], tbl_Filialy[Менеджер])</f>
        <v>Ольга Кузнецова</v>
      </c>
    </row>
    <row r="2411" spans="1:10" x14ac:dyDescent="0.3">
      <c r="A2411" t="str">
        <f>_xlfn.XLOOKUP(branches[[#This Row],[Филиал]], tbl_Filialy[Филиал], tbl_Filialy[Город])</f>
        <v>Новосибирск</v>
      </c>
      <c r="B2411" s="1" t="s">
        <v>37</v>
      </c>
      <c r="C2411" s="2">
        <v>45719</v>
      </c>
      <c r="D2411" s="2" t="str">
        <f>CHOOSE(MONTH(branches[[#This Row],[Дата]]),"Январь","Февраль","Март","Апрель","Май","Июнь","Июль","Август","Сентябрь","Октябрь","Ноябрь","Декабрь")&amp;" "&amp;YEAR(branches[[#This Row],[Дата]])</f>
        <v>Март 2025</v>
      </c>
      <c r="E2411" t="s">
        <v>22</v>
      </c>
      <c r="F2411" t="s">
        <v>9</v>
      </c>
      <c r="G2411">
        <v>2</v>
      </c>
      <c r="H2411">
        <v>340</v>
      </c>
      <c r="I2411" t="s">
        <v>32</v>
      </c>
      <c r="J2411" t="str">
        <f>_xlfn.XLOOKUP(branches[[#This Row],[Филиал]], tbl_Filialy[Филиал], tbl_Filialy[Менеджер])</f>
        <v>Ольга Кузнецова</v>
      </c>
    </row>
    <row r="2412" spans="1:10" x14ac:dyDescent="0.3">
      <c r="A2412" t="str">
        <f>_xlfn.XLOOKUP(branches[[#This Row],[Филиал]], tbl_Filialy[Филиал], tbl_Filialy[Город])</f>
        <v>Новосибирск</v>
      </c>
      <c r="B2412" s="1" t="s">
        <v>37</v>
      </c>
      <c r="C2412" s="2">
        <v>45670</v>
      </c>
      <c r="D2412" s="2" t="str">
        <f>CHOOSE(MONTH(branches[[#This Row],[Дата]]),"Январь","Февраль","Март","Апрель","Май","Июнь","Июль","Август","Сентябрь","Октябрь","Ноябрь","Декабрь")&amp;" "&amp;YEAR(branches[[#This Row],[Дата]])</f>
        <v>Январь 2025</v>
      </c>
      <c r="E2412" t="s">
        <v>25</v>
      </c>
      <c r="F2412" t="s">
        <v>12</v>
      </c>
      <c r="G2412">
        <v>2</v>
      </c>
      <c r="H2412">
        <v>444</v>
      </c>
      <c r="I2412" t="s">
        <v>32</v>
      </c>
      <c r="J2412" t="str">
        <f>_xlfn.XLOOKUP(branches[[#This Row],[Филиал]], tbl_Filialy[Филиал], tbl_Filialy[Менеджер])</f>
        <v>Ольга Кузнецова</v>
      </c>
    </row>
    <row r="2413" spans="1:10" x14ac:dyDescent="0.3">
      <c r="A2413" t="str">
        <f>_xlfn.XLOOKUP(branches[[#This Row],[Филиал]], tbl_Filialy[Филиал], tbl_Filialy[Город])</f>
        <v>Новосибирск</v>
      </c>
      <c r="B2413" s="1" t="s">
        <v>37</v>
      </c>
      <c r="C2413" s="2">
        <v>45672</v>
      </c>
      <c r="D2413" s="2" t="str">
        <f>CHOOSE(MONTH(branches[[#This Row],[Дата]]),"Январь","Февраль","Март","Апрель","Май","Июнь","Июль","Август","Сентябрь","Октябрь","Ноябрь","Декабрь")&amp;" "&amp;YEAR(branches[[#This Row],[Дата]])</f>
        <v>Январь 2025</v>
      </c>
      <c r="E2413" t="s">
        <v>8</v>
      </c>
      <c r="F2413" t="s">
        <v>9</v>
      </c>
      <c r="G2413">
        <v>1</v>
      </c>
      <c r="H2413">
        <v>273</v>
      </c>
      <c r="I2413" t="s">
        <v>32</v>
      </c>
      <c r="J2413" t="str">
        <f>_xlfn.XLOOKUP(branches[[#This Row],[Филиал]], tbl_Filialy[Филиал], tbl_Filialy[Менеджер])</f>
        <v>Ольга Кузнецова</v>
      </c>
    </row>
    <row r="2414" spans="1:10" x14ac:dyDescent="0.3">
      <c r="A2414" t="str">
        <f>_xlfn.XLOOKUP(branches[[#This Row],[Филиал]], tbl_Filialy[Филиал], tbl_Filialy[Город])</f>
        <v>Новосибирск</v>
      </c>
      <c r="B2414" s="1" t="s">
        <v>37</v>
      </c>
      <c r="C2414" s="2">
        <v>45712</v>
      </c>
      <c r="D2414" s="2" t="str">
        <f>CHOOSE(MONTH(branches[[#This Row],[Дата]]),"Январь","Февраль","Март","Апрель","Май","Июнь","Июль","Август","Сентябрь","Октябрь","Ноябрь","Декабрь")&amp;" "&amp;YEAR(branches[[#This Row],[Дата]])</f>
        <v>Февраль 2025</v>
      </c>
      <c r="E2414" t="s">
        <v>26</v>
      </c>
      <c r="F2414" t="s">
        <v>9</v>
      </c>
      <c r="G2414">
        <v>1</v>
      </c>
      <c r="H2414">
        <v>191</v>
      </c>
      <c r="I2414" t="s">
        <v>34</v>
      </c>
      <c r="J2414" t="str">
        <f>_xlfn.XLOOKUP(branches[[#This Row],[Филиал]], tbl_Filialy[Филиал], tbl_Filialy[Менеджер])</f>
        <v>Ольга Кузнецова</v>
      </c>
    </row>
    <row r="2415" spans="1:10" x14ac:dyDescent="0.3">
      <c r="A2415" t="str">
        <f>_xlfn.XLOOKUP(branches[[#This Row],[Филиал]], tbl_Filialy[Филиал], tbl_Filialy[Город])</f>
        <v>Новосибирск</v>
      </c>
      <c r="B2415" s="1" t="s">
        <v>37</v>
      </c>
      <c r="C2415" s="2">
        <v>45912</v>
      </c>
      <c r="D2415" s="2" t="str">
        <f>CHOOSE(MONTH(branches[[#This Row],[Дата]]),"Январь","Февраль","Март","Апрель","Май","Июнь","Июль","Август","Сентябрь","Октябрь","Ноябрь","Декабрь")&amp;" "&amp;YEAR(branches[[#This Row],[Дата]])</f>
        <v>Сентябрь 2025</v>
      </c>
      <c r="E2415" t="s">
        <v>24</v>
      </c>
      <c r="F2415" t="s">
        <v>17</v>
      </c>
      <c r="G2415">
        <v>3</v>
      </c>
      <c r="H2415">
        <v>1074</v>
      </c>
      <c r="I2415" t="s">
        <v>19</v>
      </c>
      <c r="J2415" t="str">
        <f>_xlfn.XLOOKUP(branches[[#This Row],[Филиал]], tbl_Filialy[Филиал], tbl_Filialy[Менеджер])</f>
        <v>Ольга Кузнецова</v>
      </c>
    </row>
    <row r="2416" spans="1:10" x14ac:dyDescent="0.3">
      <c r="A2416" t="str">
        <f>_xlfn.XLOOKUP(branches[[#This Row],[Филиал]], tbl_Filialy[Филиал], tbl_Filialy[Город])</f>
        <v>Новосибирск</v>
      </c>
      <c r="B2416" s="1" t="s">
        <v>37</v>
      </c>
      <c r="C2416" s="2">
        <v>45887</v>
      </c>
      <c r="D2416" s="2" t="str">
        <f>CHOOSE(MONTH(branches[[#This Row],[Дата]]),"Январь","Февраль","Март","Апрель","Май","Июнь","Июль","Август","Сентябрь","Октябрь","Ноябрь","Декабрь")&amp;" "&amp;YEAR(branches[[#This Row],[Дата]])</f>
        <v>Август 2025</v>
      </c>
      <c r="E2416" t="s">
        <v>18</v>
      </c>
      <c r="F2416" t="s">
        <v>12</v>
      </c>
      <c r="G2416">
        <v>1</v>
      </c>
      <c r="H2416">
        <v>156</v>
      </c>
      <c r="I2416" t="s">
        <v>35</v>
      </c>
      <c r="J2416" t="str">
        <f>_xlfn.XLOOKUP(branches[[#This Row],[Филиал]], tbl_Filialy[Филиал], tbl_Filialy[Менеджер])</f>
        <v>Ольга Кузнецова</v>
      </c>
    </row>
    <row r="2417" spans="1:10" x14ac:dyDescent="0.3">
      <c r="A2417" t="str">
        <f>_xlfn.XLOOKUP(branches[[#This Row],[Филиал]], tbl_Filialy[Филиал], tbl_Filialy[Город])</f>
        <v>Новосибирск</v>
      </c>
      <c r="B2417" s="1" t="s">
        <v>37</v>
      </c>
      <c r="C2417" s="2">
        <v>45917</v>
      </c>
      <c r="D2417" s="2" t="str">
        <f>CHOOSE(MONTH(branches[[#This Row],[Дата]]),"Январь","Февраль","Март","Апрель","Май","Июнь","Июль","Август","Сентябрь","Октябрь","Ноябрь","Декабрь")&amp;" "&amp;YEAR(branches[[#This Row],[Дата]])</f>
        <v>Сентябрь 2025</v>
      </c>
      <c r="E2417" t="s">
        <v>28</v>
      </c>
      <c r="F2417" t="s">
        <v>12</v>
      </c>
      <c r="G2417">
        <v>1</v>
      </c>
      <c r="H2417">
        <v>211</v>
      </c>
      <c r="I2417" t="s">
        <v>34</v>
      </c>
      <c r="J2417" t="str">
        <f>_xlfn.XLOOKUP(branches[[#This Row],[Филиал]], tbl_Filialy[Филиал], tbl_Filialy[Менеджер])</f>
        <v>Ольга Кузнецова</v>
      </c>
    </row>
    <row r="2418" spans="1:10" x14ac:dyDescent="0.3">
      <c r="A2418" t="str">
        <f>_xlfn.XLOOKUP(branches[[#This Row],[Филиал]], tbl_Filialy[Филиал], tbl_Filialy[Город])</f>
        <v>Новосибирск</v>
      </c>
      <c r="B2418" s="1" t="s">
        <v>37</v>
      </c>
      <c r="C2418" s="2">
        <v>45677</v>
      </c>
      <c r="D2418" s="2" t="str">
        <f>CHOOSE(MONTH(branches[[#This Row],[Дата]]),"Январь","Февраль","Март","Апрель","Май","Июнь","Июль","Август","Сентябрь","Октябрь","Ноябрь","Декабрь")&amp;" "&amp;YEAR(branches[[#This Row],[Дата]])</f>
        <v>Январь 2025</v>
      </c>
      <c r="E2418" t="s">
        <v>28</v>
      </c>
      <c r="F2418" t="s">
        <v>12</v>
      </c>
      <c r="G2418">
        <v>2</v>
      </c>
      <c r="H2418">
        <v>470</v>
      </c>
      <c r="I2418" t="s">
        <v>13</v>
      </c>
      <c r="J2418" t="str">
        <f>_xlfn.XLOOKUP(branches[[#This Row],[Филиал]], tbl_Filialy[Филиал], tbl_Filialy[Менеджер])</f>
        <v>Ольга Кузнецова</v>
      </c>
    </row>
    <row r="2419" spans="1:10" x14ac:dyDescent="0.3">
      <c r="A2419" t="str">
        <f>_xlfn.XLOOKUP(branches[[#This Row],[Филиал]], tbl_Filialy[Филиал], tbl_Filialy[Город])</f>
        <v>Новосибирск</v>
      </c>
      <c r="B2419" s="1" t="s">
        <v>37</v>
      </c>
      <c r="C2419" s="2">
        <v>45973</v>
      </c>
      <c r="D2419" s="2" t="str">
        <f>CHOOSE(MONTH(branches[[#This Row],[Дата]]),"Январь","Февраль","Март","Апрель","Май","Июнь","Июль","Август","Сентябрь","Октябрь","Ноябрь","Декабрь")&amp;" "&amp;YEAR(branches[[#This Row],[Дата]])</f>
        <v>Ноябрь 2025</v>
      </c>
      <c r="E2419" t="s">
        <v>26</v>
      </c>
      <c r="F2419" t="s">
        <v>9</v>
      </c>
      <c r="G2419">
        <v>1</v>
      </c>
      <c r="H2419">
        <v>231</v>
      </c>
      <c r="I2419" t="s">
        <v>35</v>
      </c>
      <c r="J2419" t="str">
        <f>_xlfn.XLOOKUP(branches[[#This Row],[Филиал]], tbl_Filialy[Филиал], tbl_Filialy[Менеджер])</f>
        <v>Ольга Кузнецова</v>
      </c>
    </row>
    <row r="2420" spans="1:10" x14ac:dyDescent="0.3">
      <c r="A2420" t="str">
        <f>_xlfn.XLOOKUP(branches[[#This Row],[Филиал]], tbl_Filialy[Филиал], tbl_Filialy[Город])</f>
        <v>Новосибирск</v>
      </c>
      <c r="B2420" s="1" t="s">
        <v>37</v>
      </c>
      <c r="C2420" s="2">
        <v>45940</v>
      </c>
      <c r="D2420" s="2" t="str">
        <f>CHOOSE(MONTH(branches[[#This Row],[Дата]]),"Январь","Февраль","Март","Апрель","Май","Июнь","Июль","Август","Сентябрь","Октябрь","Ноябрь","Декабрь")&amp;" "&amp;YEAR(branches[[#This Row],[Дата]])</f>
        <v>Октябрь 2025</v>
      </c>
      <c r="E2420" t="s">
        <v>24</v>
      </c>
      <c r="F2420" t="s">
        <v>17</v>
      </c>
      <c r="G2420">
        <v>2</v>
      </c>
      <c r="H2420">
        <v>840</v>
      </c>
      <c r="I2420" t="s">
        <v>13</v>
      </c>
      <c r="J2420" t="str">
        <f>_xlfn.XLOOKUP(branches[[#This Row],[Филиал]], tbl_Filialy[Филиал], tbl_Filialy[Менеджер])</f>
        <v>Ольга Кузнецова</v>
      </c>
    </row>
    <row r="2421" spans="1:10" x14ac:dyDescent="0.3">
      <c r="A2421" t="str">
        <f>_xlfn.XLOOKUP(branches[[#This Row],[Филиал]], tbl_Filialy[Филиал], tbl_Filialy[Город])</f>
        <v>Новосибирск</v>
      </c>
      <c r="B2421" s="1" t="s">
        <v>37</v>
      </c>
      <c r="C2421" s="2">
        <v>45684</v>
      </c>
      <c r="D2421" s="2" t="str">
        <f>CHOOSE(MONTH(branches[[#This Row],[Дата]]),"Январь","Февраль","Март","Апрель","Май","Июнь","Июль","Август","Сентябрь","Октябрь","Ноябрь","Декабрь")&amp;" "&amp;YEAR(branches[[#This Row],[Дата]])</f>
        <v>Январь 2025</v>
      </c>
      <c r="E2421" t="s">
        <v>22</v>
      </c>
      <c r="F2421" t="s">
        <v>9</v>
      </c>
      <c r="G2421">
        <v>1</v>
      </c>
      <c r="H2421">
        <v>191</v>
      </c>
      <c r="I2421" t="s">
        <v>13</v>
      </c>
      <c r="J2421" t="str">
        <f>_xlfn.XLOOKUP(branches[[#This Row],[Филиал]], tbl_Filialy[Филиал], tbl_Filialy[Менеджер])</f>
        <v>Ольга Кузнецова</v>
      </c>
    </row>
    <row r="2422" spans="1:10" x14ac:dyDescent="0.3">
      <c r="A2422" t="str">
        <f>_xlfn.XLOOKUP(branches[[#This Row],[Филиал]], tbl_Filialy[Филиал], tbl_Filialy[Город])</f>
        <v>Новосибирск</v>
      </c>
      <c r="B2422" s="1" t="s">
        <v>37</v>
      </c>
      <c r="C2422" s="2">
        <v>45717</v>
      </c>
      <c r="D2422" s="2" t="str">
        <f>CHOOSE(MONTH(branches[[#This Row],[Дата]]),"Январь","Февраль","Март","Апрель","Май","Июнь","Июль","Август","Сентябрь","Октябрь","Ноябрь","Декабрь")&amp;" "&amp;YEAR(branches[[#This Row],[Дата]])</f>
        <v>Март 2025</v>
      </c>
      <c r="E2422" t="s">
        <v>24</v>
      </c>
      <c r="F2422" t="s">
        <v>17</v>
      </c>
      <c r="G2422">
        <v>1</v>
      </c>
      <c r="H2422">
        <v>401</v>
      </c>
      <c r="I2422" t="s">
        <v>35</v>
      </c>
      <c r="J2422" t="str">
        <f>_xlfn.XLOOKUP(branches[[#This Row],[Филиал]], tbl_Filialy[Филиал], tbl_Filialy[Менеджер])</f>
        <v>Ольга Кузнецова</v>
      </c>
    </row>
    <row r="2423" spans="1:10" x14ac:dyDescent="0.3">
      <c r="A2423" t="str">
        <f>_xlfn.XLOOKUP(branches[[#This Row],[Филиал]], tbl_Filialy[Филиал], tbl_Filialy[Город])</f>
        <v>Новосибирск</v>
      </c>
      <c r="B2423" s="1" t="s">
        <v>37</v>
      </c>
      <c r="C2423" s="2">
        <v>45792</v>
      </c>
      <c r="D2423" s="2" t="str">
        <f>CHOOSE(MONTH(branches[[#This Row],[Дата]]),"Январь","Февраль","Март","Апрель","Май","Июнь","Июль","Август","Сентябрь","Октябрь","Ноябрь","Декабрь")&amp;" "&amp;YEAR(branches[[#This Row],[Дата]])</f>
        <v>Май 2025</v>
      </c>
      <c r="E2423" t="s">
        <v>20</v>
      </c>
      <c r="F2423" t="s">
        <v>12</v>
      </c>
      <c r="G2423">
        <v>2</v>
      </c>
      <c r="H2423">
        <v>528</v>
      </c>
      <c r="I2423" t="s">
        <v>35</v>
      </c>
      <c r="J2423" t="str">
        <f>_xlfn.XLOOKUP(branches[[#This Row],[Филиал]], tbl_Filialy[Филиал], tbl_Filialy[Менеджер])</f>
        <v>Ольга Кузнецова</v>
      </c>
    </row>
    <row r="2424" spans="1:10" x14ac:dyDescent="0.3">
      <c r="A2424" t="str">
        <f>_xlfn.XLOOKUP(branches[[#This Row],[Филиал]], tbl_Filialy[Филиал], tbl_Filialy[Город])</f>
        <v>Новосибирск</v>
      </c>
      <c r="B2424" s="1" t="s">
        <v>37</v>
      </c>
      <c r="C2424" s="2">
        <v>45955</v>
      </c>
      <c r="D2424" s="2" t="str">
        <f>CHOOSE(MONTH(branches[[#This Row],[Дата]]),"Январь","Февраль","Март","Апрель","Май","Июнь","Июль","Август","Сентябрь","Октябрь","Ноябрь","Декабрь")&amp;" "&amp;YEAR(branches[[#This Row],[Дата]])</f>
        <v>Октябрь 2025</v>
      </c>
      <c r="E2424" t="s">
        <v>11</v>
      </c>
      <c r="F2424" t="s">
        <v>12</v>
      </c>
      <c r="G2424">
        <v>2</v>
      </c>
      <c r="H2424">
        <v>310</v>
      </c>
      <c r="I2424" t="s">
        <v>13</v>
      </c>
      <c r="J2424" t="str">
        <f>_xlfn.XLOOKUP(branches[[#This Row],[Филиал]], tbl_Filialy[Филиал], tbl_Filialy[Менеджер])</f>
        <v>Ольга Кузнецова</v>
      </c>
    </row>
    <row r="2425" spans="1:10" x14ac:dyDescent="0.3">
      <c r="A2425" t="str">
        <f>_xlfn.XLOOKUP(branches[[#This Row],[Филиал]], tbl_Filialy[Филиал], tbl_Filialy[Город])</f>
        <v>Новосибирск</v>
      </c>
      <c r="B2425" s="1" t="s">
        <v>37</v>
      </c>
      <c r="C2425" s="2">
        <v>45818</v>
      </c>
      <c r="D2425" s="2" t="str">
        <f>CHOOSE(MONTH(branches[[#This Row],[Дата]]),"Январь","Февраль","Март","Апрель","Май","Июнь","Июль","Август","Сентябрь","Октябрь","Ноябрь","Декабрь")&amp;" "&amp;YEAR(branches[[#This Row],[Дата]])</f>
        <v>Июнь 2025</v>
      </c>
      <c r="E2425" t="s">
        <v>11</v>
      </c>
      <c r="F2425" t="s">
        <v>12</v>
      </c>
      <c r="G2425">
        <v>1</v>
      </c>
      <c r="H2425">
        <v>183</v>
      </c>
      <c r="I2425" t="s">
        <v>33</v>
      </c>
      <c r="J2425" t="str">
        <f>_xlfn.XLOOKUP(branches[[#This Row],[Филиал]], tbl_Filialy[Филиал], tbl_Filialy[Менеджер])</f>
        <v>Ольга Кузнецова</v>
      </c>
    </row>
    <row r="2426" spans="1:10" x14ac:dyDescent="0.3">
      <c r="A2426" t="str">
        <f>_xlfn.XLOOKUP(branches[[#This Row],[Филиал]], tbl_Filialy[Филиал], tbl_Filialy[Город])</f>
        <v>Новосибирск</v>
      </c>
      <c r="B2426" s="1" t="s">
        <v>37</v>
      </c>
      <c r="C2426" s="2">
        <v>45783</v>
      </c>
      <c r="D2426" s="2" t="str">
        <f>CHOOSE(MONTH(branches[[#This Row],[Дата]]),"Январь","Февраль","Март","Апрель","Май","Июнь","Июль","Август","Сентябрь","Октябрь","Ноябрь","Декабрь")&amp;" "&amp;YEAR(branches[[#This Row],[Дата]])</f>
        <v>Май 2025</v>
      </c>
      <c r="E2426" t="s">
        <v>25</v>
      </c>
      <c r="F2426" t="s">
        <v>12</v>
      </c>
      <c r="G2426">
        <v>2</v>
      </c>
      <c r="H2426">
        <v>392</v>
      </c>
      <c r="I2426" t="s">
        <v>35</v>
      </c>
      <c r="J2426" t="str">
        <f>_xlfn.XLOOKUP(branches[[#This Row],[Филиал]], tbl_Filialy[Филиал], tbl_Filialy[Менеджер])</f>
        <v>Ольга Кузнецова</v>
      </c>
    </row>
    <row r="2427" spans="1:10" x14ac:dyDescent="0.3">
      <c r="A2427" t="str">
        <f>_xlfn.XLOOKUP(branches[[#This Row],[Филиал]], tbl_Filialy[Филиал], tbl_Filialy[Город])</f>
        <v>Новосибирск</v>
      </c>
      <c r="B2427" s="1" t="s">
        <v>37</v>
      </c>
      <c r="C2427" s="2">
        <v>46008</v>
      </c>
      <c r="D2427" s="2" t="str">
        <f>CHOOSE(MONTH(branches[[#This Row],[Дата]]),"Январь","Февраль","Март","Апрель","Май","Июнь","Июль","Август","Сентябрь","Октябрь","Ноябрь","Декабрь")&amp;" "&amp;YEAR(branches[[#This Row],[Дата]])</f>
        <v>Декабрь 2025</v>
      </c>
      <c r="E2427" t="s">
        <v>22</v>
      </c>
      <c r="F2427" t="s">
        <v>9</v>
      </c>
      <c r="G2427">
        <v>1</v>
      </c>
      <c r="H2427">
        <v>163</v>
      </c>
      <c r="I2427" t="s">
        <v>19</v>
      </c>
      <c r="J2427" t="str">
        <f>_xlfn.XLOOKUP(branches[[#This Row],[Филиал]], tbl_Filialy[Филиал], tbl_Filialy[Менеджер])</f>
        <v>Ольга Кузнецова</v>
      </c>
    </row>
    <row r="2428" spans="1:10" x14ac:dyDescent="0.3">
      <c r="A2428" t="str">
        <f>_xlfn.XLOOKUP(branches[[#This Row],[Филиал]], tbl_Filialy[Филиал], tbl_Filialy[Город])</f>
        <v>Новосибирск</v>
      </c>
      <c r="B2428" s="1" t="s">
        <v>37</v>
      </c>
      <c r="C2428" s="2">
        <v>45769</v>
      </c>
      <c r="D2428" s="2" t="str">
        <f>CHOOSE(MONTH(branches[[#This Row],[Дата]]),"Январь","Февраль","Март","Апрель","Май","Июнь","Июль","Август","Сентябрь","Октябрь","Ноябрь","Декабрь")&amp;" "&amp;YEAR(branches[[#This Row],[Дата]])</f>
        <v>Апрель 2025</v>
      </c>
      <c r="E2428" t="s">
        <v>24</v>
      </c>
      <c r="F2428" t="s">
        <v>17</v>
      </c>
      <c r="G2428">
        <v>1</v>
      </c>
      <c r="H2428">
        <v>395</v>
      </c>
      <c r="I2428" t="s">
        <v>33</v>
      </c>
      <c r="J2428" t="str">
        <f>_xlfn.XLOOKUP(branches[[#This Row],[Филиал]], tbl_Filialy[Филиал], tbl_Filialy[Менеджер])</f>
        <v>Ольга Кузнецова</v>
      </c>
    </row>
    <row r="2429" spans="1:10" x14ac:dyDescent="0.3">
      <c r="A2429" t="str">
        <f>_xlfn.XLOOKUP(branches[[#This Row],[Филиал]], tbl_Filialy[Филиал], tbl_Filialy[Город])</f>
        <v>Новосибирск</v>
      </c>
      <c r="B2429" s="1" t="s">
        <v>37</v>
      </c>
      <c r="C2429" s="2">
        <v>45723</v>
      </c>
      <c r="D2429" s="2" t="str">
        <f>CHOOSE(MONTH(branches[[#This Row],[Дата]]),"Январь","Февраль","Март","Апрель","Май","Июнь","Июль","Август","Сентябрь","Октябрь","Ноябрь","Декабрь")&amp;" "&amp;YEAR(branches[[#This Row],[Дата]])</f>
        <v>Март 2025</v>
      </c>
      <c r="E2429" t="s">
        <v>16</v>
      </c>
      <c r="F2429" t="s">
        <v>17</v>
      </c>
      <c r="G2429">
        <v>1</v>
      </c>
      <c r="H2429">
        <v>334</v>
      </c>
      <c r="I2429" t="s">
        <v>34</v>
      </c>
      <c r="J2429" t="str">
        <f>_xlfn.XLOOKUP(branches[[#This Row],[Филиал]], tbl_Filialy[Филиал], tbl_Filialy[Менеджер])</f>
        <v>Ольга Кузнецова</v>
      </c>
    </row>
    <row r="2430" spans="1:10" x14ac:dyDescent="0.3">
      <c r="A2430" t="str">
        <f>_xlfn.XLOOKUP(branches[[#This Row],[Филиал]], tbl_Filialy[Филиал], tbl_Filialy[Город])</f>
        <v>Новосибирск</v>
      </c>
      <c r="B2430" s="1" t="s">
        <v>37</v>
      </c>
      <c r="C2430" s="2">
        <v>45977</v>
      </c>
      <c r="D2430" s="2" t="str">
        <f>CHOOSE(MONTH(branches[[#This Row],[Дата]]),"Январь","Февраль","Март","Апрель","Май","Июнь","Июль","Август","Сентябрь","Октябрь","Ноябрь","Декабрь")&amp;" "&amp;YEAR(branches[[#This Row],[Дата]])</f>
        <v>Ноябрь 2025</v>
      </c>
      <c r="E2430" t="s">
        <v>11</v>
      </c>
      <c r="F2430" t="s">
        <v>12</v>
      </c>
      <c r="G2430">
        <v>1</v>
      </c>
      <c r="H2430">
        <v>186</v>
      </c>
      <c r="I2430" t="s">
        <v>35</v>
      </c>
      <c r="J2430" t="str">
        <f>_xlfn.XLOOKUP(branches[[#This Row],[Филиал]], tbl_Filialy[Филиал], tbl_Filialy[Менеджер])</f>
        <v>Ольга Кузнецова</v>
      </c>
    </row>
    <row r="2431" spans="1:10" x14ac:dyDescent="0.3">
      <c r="A2431" t="str">
        <f>_xlfn.XLOOKUP(branches[[#This Row],[Филиал]], tbl_Filialy[Филиал], tbl_Filialy[Город])</f>
        <v>Новосибирск</v>
      </c>
      <c r="B2431" s="1" t="s">
        <v>37</v>
      </c>
      <c r="C2431" s="2">
        <v>46004</v>
      </c>
      <c r="D2431" s="2" t="str">
        <f>CHOOSE(MONTH(branches[[#This Row],[Дата]]),"Январь","Февраль","Март","Апрель","Май","Июнь","Июль","Август","Сентябрь","Октябрь","Ноябрь","Декабрь")&amp;" "&amp;YEAR(branches[[#This Row],[Дата]])</f>
        <v>Декабрь 2025</v>
      </c>
      <c r="E2431" t="s">
        <v>27</v>
      </c>
      <c r="F2431" t="s">
        <v>12</v>
      </c>
      <c r="G2431">
        <v>1</v>
      </c>
      <c r="H2431">
        <v>200</v>
      </c>
      <c r="I2431" t="s">
        <v>32</v>
      </c>
      <c r="J2431" t="str">
        <f>_xlfn.XLOOKUP(branches[[#This Row],[Филиал]], tbl_Filialy[Филиал], tbl_Filialy[Менеджер])</f>
        <v>Ольга Кузнецова</v>
      </c>
    </row>
    <row r="2432" spans="1:10" x14ac:dyDescent="0.3">
      <c r="A2432" t="str">
        <f>_xlfn.XLOOKUP(branches[[#This Row],[Филиал]], tbl_Filialy[Филиал], tbl_Filialy[Город])</f>
        <v>Новосибирск</v>
      </c>
      <c r="B2432" s="1" t="s">
        <v>37</v>
      </c>
      <c r="C2432" s="2">
        <v>45931</v>
      </c>
      <c r="D2432" s="2" t="str">
        <f>CHOOSE(MONTH(branches[[#This Row],[Дата]]),"Январь","Февраль","Март","Апрель","Май","Июнь","Июль","Август","Сентябрь","Октябрь","Ноябрь","Декабрь")&amp;" "&amp;YEAR(branches[[#This Row],[Дата]])</f>
        <v>Октябрь 2025</v>
      </c>
      <c r="E2432" t="s">
        <v>14</v>
      </c>
      <c r="F2432" t="s">
        <v>12</v>
      </c>
      <c r="G2432">
        <v>1</v>
      </c>
      <c r="H2432">
        <v>235</v>
      </c>
      <c r="I2432" t="s">
        <v>19</v>
      </c>
      <c r="J2432" t="str">
        <f>_xlfn.XLOOKUP(branches[[#This Row],[Филиал]], tbl_Filialy[Филиал], tbl_Filialy[Менеджер])</f>
        <v>Ольга Кузнецова</v>
      </c>
    </row>
    <row r="2433" spans="1:10" x14ac:dyDescent="0.3">
      <c r="A2433" t="str">
        <f>_xlfn.XLOOKUP(branches[[#This Row],[Филиал]], tbl_Filialy[Филиал], tbl_Filialy[Город])</f>
        <v>Новосибирск</v>
      </c>
      <c r="B2433" s="1" t="s">
        <v>37</v>
      </c>
      <c r="C2433" s="2">
        <v>45909</v>
      </c>
      <c r="D2433" s="2" t="str">
        <f>CHOOSE(MONTH(branches[[#This Row],[Дата]]),"Январь","Февраль","Март","Апрель","Май","Июнь","Июль","Август","Сентябрь","Октябрь","Ноябрь","Декабрь")&amp;" "&amp;YEAR(branches[[#This Row],[Дата]])</f>
        <v>Сентябрь 2025</v>
      </c>
      <c r="E2433" t="s">
        <v>8</v>
      </c>
      <c r="F2433" t="s">
        <v>9</v>
      </c>
      <c r="G2433">
        <v>2</v>
      </c>
      <c r="H2433">
        <v>552</v>
      </c>
      <c r="I2433" t="s">
        <v>13</v>
      </c>
      <c r="J2433" t="str">
        <f>_xlfn.XLOOKUP(branches[[#This Row],[Филиал]], tbl_Filialy[Филиал], tbl_Filialy[Менеджер])</f>
        <v>Ольга Кузнецова</v>
      </c>
    </row>
    <row r="2434" spans="1:10" x14ac:dyDescent="0.3">
      <c r="A2434" t="str">
        <f>_xlfn.XLOOKUP(branches[[#This Row],[Филиал]], tbl_Filialy[Филиал], tbl_Filialy[Город])</f>
        <v>Новосибирск</v>
      </c>
      <c r="B2434" s="1" t="s">
        <v>37</v>
      </c>
      <c r="C2434" s="2">
        <v>45893</v>
      </c>
      <c r="D2434" s="2" t="str">
        <f>CHOOSE(MONTH(branches[[#This Row],[Дата]]),"Январь","Февраль","Март","Апрель","Май","Июнь","Июль","Август","Сентябрь","Октябрь","Ноябрь","Декабрь")&amp;" "&amp;YEAR(branches[[#This Row],[Дата]])</f>
        <v>Август 2025</v>
      </c>
      <c r="E2434" t="s">
        <v>20</v>
      </c>
      <c r="F2434" t="s">
        <v>12</v>
      </c>
      <c r="G2434">
        <v>1</v>
      </c>
      <c r="H2434">
        <v>302</v>
      </c>
      <c r="I2434" t="s">
        <v>13</v>
      </c>
      <c r="J2434" t="str">
        <f>_xlfn.XLOOKUP(branches[[#This Row],[Филиал]], tbl_Filialy[Филиал], tbl_Filialy[Менеджер])</f>
        <v>Ольга Кузнецова</v>
      </c>
    </row>
    <row r="2435" spans="1:10" x14ac:dyDescent="0.3">
      <c r="A2435" t="str">
        <f>_xlfn.XLOOKUP(branches[[#This Row],[Филиал]], tbl_Filialy[Филиал], tbl_Filialy[Город])</f>
        <v>Новосибирск</v>
      </c>
      <c r="B2435" s="1" t="s">
        <v>37</v>
      </c>
      <c r="C2435" s="2">
        <v>45739</v>
      </c>
      <c r="D2435" s="2" t="str">
        <f>CHOOSE(MONTH(branches[[#This Row],[Дата]]),"Январь","Февраль","Март","Апрель","Май","Июнь","Июль","Август","Сентябрь","Октябрь","Ноябрь","Декабрь")&amp;" "&amp;YEAR(branches[[#This Row],[Дата]])</f>
        <v>Март 2025</v>
      </c>
      <c r="E2435" t="s">
        <v>14</v>
      </c>
      <c r="F2435" t="s">
        <v>12</v>
      </c>
      <c r="G2435">
        <v>1</v>
      </c>
      <c r="H2435">
        <v>254</v>
      </c>
      <c r="I2435" t="s">
        <v>32</v>
      </c>
      <c r="J2435" t="str">
        <f>_xlfn.XLOOKUP(branches[[#This Row],[Филиал]], tbl_Filialy[Филиал], tbl_Filialy[Менеджер])</f>
        <v>Ольга Кузнецова</v>
      </c>
    </row>
    <row r="2436" spans="1:10" x14ac:dyDescent="0.3">
      <c r="A2436" t="str">
        <f>_xlfn.XLOOKUP(branches[[#This Row],[Филиал]], tbl_Filialy[Филиал], tbl_Filialy[Город])</f>
        <v>Новосибирск</v>
      </c>
      <c r="B2436" s="1" t="s">
        <v>37</v>
      </c>
      <c r="C2436" s="2">
        <v>45818</v>
      </c>
      <c r="D2436" s="2" t="str">
        <f>CHOOSE(MONTH(branches[[#This Row],[Дата]]),"Январь","Февраль","Март","Апрель","Май","Июнь","Июль","Август","Сентябрь","Октябрь","Ноябрь","Декабрь")&amp;" "&amp;YEAR(branches[[#This Row],[Дата]])</f>
        <v>Июнь 2025</v>
      </c>
      <c r="E2436" t="s">
        <v>11</v>
      </c>
      <c r="F2436" t="s">
        <v>12</v>
      </c>
      <c r="G2436">
        <v>2</v>
      </c>
      <c r="H2436">
        <v>370</v>
      </c>
      <c r="I2436" t="s">
        <v>33</v>
      </c>
      <c r="J2436" t="str">
        <f>_xlfn.XLOOKUP(branches[[#This Row],[Филиал]], tbl_Filialy[Филиал], tbl_Filialy[Менеджер])</f>
        <v>Ольга Кузнецова</v>
      </c>
    </row>
    <row r="2437" spans="1:10" x14ac:dyDescent="0.3">
      <c r="A2437" t="str">
        <f>_xlfn.XLOOKUP(branches[[#This Row],[Филиал]], tbl_Filialy[Филиал], tbl_Filialy[Город])</f>
        <v>Новосибирск</v>
      </c>
      <c r="B2437" s="1" t="s">
        <v>37</v>
      </c>
      <c r="C2437" s="2">
        <v>46002</v>
      </c>
      <c r="D2437" s="2" t="str">
        <f>CHOOSE(MONTH(branches[[#This Row],[Дата]]),"Январь","Февраль","Март","Апрель","Май","Июнь","Июль","Август","Сентябрь","Октябрь","Ноябрь","Декабрь")&amp;" "&amp;YEAR(branches[[#This Row],[Дата]])</f>
        <v>Декабрь 2025</v>
      </c>
      <c r="E2437" t="s">
        <v>26</v>
      </c>
      <c r="F2437" t="s">
        <v>9</v>
      </c>
      <c r="G2437">
        <v>1</v>
      </c>
      <c r="H2437">
        <v>224</v>
      </c>
      <c r="I2437" t="s">
        <v>33</v>
      </c>
      <c r="J2437" t="str">
        <f>_xlfn.XLOOKUP(branches[[#This Row],[Филиал]], tbl_Filialy[Филиал], tbl_Filialy[Менеджер])</f>
        <v>Ольга Кузнецова</v>
      </c>
    </row>
    <row r="2438" spans="1:10" x14ac:dyDescent="0.3">
      <c r="A2438" t="str">
        <f>_xlfn.XLOOKUP(branches[[#This Row],[Филиал]], tbl_Filialy[Филиал], tbl_Filialy[Город])</f>
        <v>Новосибирск</v>
      </c>
      <c r="B2438" s="1" t="s">
        <v>37</v>
      </c>
      <c r="C2438" s="2">
        <v>45937</v>
      </c>
      <c r="D2438" s="2" t="str">
        <f>CHOOSE(MONTH(branches[[#This Row],[Дата]]),"Январь","Февраль","Март","Апрель","Май","Июнь","Июль","Август","Сентябрь","Октябрь","Ноябрь","Декабрь")&amp;" "&amp;YEAR(branches[[#This Row],[Дата]])</f>
        <v>Октябрь 2025</v>
      </c>
      <c r="E2438" t="s">
        <v>11</v>
      </c>
      <c r="F2438" t="s">
        <v>12</v>
      </c>
      <c r="G2438">
        <v>2</v>
      </c>
      <c r="H2438">
        <v>354</v>
      </c>
      <c r="I2438" t="s">
        <v>13</v>
      </c>
      <c r="J2438" t="str">
        <f>_xlfn.XLOOKUP(branches[[#This Row],[Филиал]], tbl_Filialy[Филиал], tbl_Filialy[Менеджер])</f>
        <v>Ольга Кузнецова</v>
      </c>
    </row>
    <row r="2439" spans="1:10" x14ac:dyDescent="0.3">
      <c r="A2439" t="str">
        <f>_xlfn.XLOOKUP(branches[[#This Row],[Филиал]], tbl_Filialy[Филиал], tbl_Filialy[Город])</f>
        <v>Новосибирск</v>
      </c>
      <c r="B2439" s="1" t="s">
        <v>37</v>
      </c>
      <c r="C2439" s="2">
        <v>45827</v>
      </c>
      <c r="D2439" s="2" t="str">
        <f>CHOOSE(MONTH(branches[[#This Row],[Дата]]),"Январь","Февраль","Март","Апрель","Май","Июнь","Июль","Август","Сентябрь","Октябрь","Ноябрь","Декабрь")&amp;" "&amp;YEAR(branches[[#This Row],[Дата]])</f>
        <v>Июнь 2025</v>
      </c>
      <c r="E2439" t="s">
        <v>26</v>
      </c>
      <c r="F2439" t="s">
        <v>9</v>
      </c>
      <c r="G2439">
        <v>1</v>
      </c>
      <c r="H2439">
        <v>195</v>
      </c>
      <c r="I2439" t="s">
        <v>35</v>
      </c>
      <c r="J2439" t="str">
        <f>_xlfn.XLOOKUP(branches[[#This Row],[Филиал]], tbl_Filialy[Филиал], tbl_Filialy[Менеджер])</f>
        <v>Ольга Кузнецова</v>
      </c>
    </row>
    <row r="2440" spans="1:10" x14ac:dyDescent="0.3">
      <c r="A2440" t="str">
        <f>_xlfn.XLOOKUP(branches[[#This Row],[Филиал]], tbl_Filialy[Филиал], tbl_Filialy[Город])</f>
        <v>Новосибирск</v>
      </c>
      <c r="B2440" s="1" t="s">
        <v>37</v>
      </c>
      <c r="C2440" s="2">
        <v>45914</v>
      </c>
      <c r="D2440" s="2" t="str">
        <f>CHOOSE(MONTH(branches[[#This Row],[Дата]]),"Январь","Февраль","Март","Апрель","Май","Июнь","Июль","Август","Сентябрь","Октябрь","Ноябрь","Декабрь")&amp;" "&amp;YEAR(branches[[#This Row],[Дата]])</f>
        <v>Сентябрь 2025</v>
      </c>
      <c r="E2440" t="s">
        <v>27</v>
      </c>
      <c r="F2440" t="s">
        <v>12</v>
      </c>
      <c r="G2440">
        <v>2</v>
      </c>
      <c r="H2440">
        <v>462</v>
      </c>
      <c r="I2440" t="s">
        <v>33</v>
      </c>
      <c r="J2440" t="str">
        <f>_xlfn.XLOOKUP(branches[[#This Row],[Филиал]], tbl_Filialy[Филиал], tbl_Filialy[Менеджер])</f>
        <v>Ольга Кузнецова</v>
      </c>
    </row>
    <row r="2441" spans="1:10" x14ac:dyDescent="0.3">
      <c r="A2441" t="str">
        <f>_xlfn.XLOOKUP(branches[[#This Row],[Филиал]], tbl_Filialy[Филиал], tbl_Filialy[Город])</f>
        <v>Новосибирск</v>
      </c>
      <c r="B2441" s="1" t="s">
        <v>37</v>
      </c>
      <c r="C2441" s="2">
        <v>45962</v>
      </c>
      <c r="D2441" s="2" t="str">
        <f>CHOOSE(MONTH(branches[[#This Row],[Дата]]),"Январь","Февраль","Март","Апрель","Май","Июнь","Июль","Август","Сентябрь","Октябрь","Ноябрь","Декабрь")&amp;" "&amp;YEAR(branches[[#This Row],[Дата]])</f>
        <v>Ноябрь 2025</v>
      </c>
      <c r="E2441" t="s">
        <v>25</v>
      </c>
      <c r="F2441" t="s">
        <v>12</v>
      </c>
      <c r="G2441">
        <v>1</v>
      </c>
      <c r="H2441">
        <v>205</v>
      </c>
      <c r="I2441" t="s">
        <v>34</v>
      </c>
      <c r="J2441" t="str">
        <f>_xlfn.XLOOKUP(branches[[#This Row],[Филиал]], tbl_Filialy[Филиал], tbl_Filialy[Менеджер])</f>
        <v>Ольга Кузнецова</v>
      </c>
    </row>
    <row r="2442" spans="1:10" x14ac:dyDescent="0.3">
      <c r="A2442" t="str">
        <f>_xlfn.XLOOKUP(branches[[#This Row],[Филиал]], tbl_Filialy[Филиал], tbl_Filialy[Город])</f>
        <v>Новосибирск</v>
      </c>
      <c r="B2442" s="1" t="s">
        <v>37</v>
      </c>
      <c r="C2442" s="2">
        <v>45847</v>
      </c>
      <c r="D2442" s="2" t="str">
        <f>CHOOSE(MONTH(branches[[#This Row],[Дата]]),"Январь","Февраль","Март","Апрель","Май","Июнь","Июль","Август","Сентябрь","Октябрь","Ноябрь","Декабрь")&amp;" "&amp;YEAR(branches[[#This Row],[Дата]])</f>
        <v>Июль 2025</v>
      </c>
      <c r="E2442" t="s">
        <v>14</v>
      </c>
      <c r="F2442" t="s">
        <v>12</v>
      </c>
      <c r="G2442">
        <v>2</v>
      </c>
      <c r="H2442">
        <v>536</v>
      </c>
      <c r="I2442" t="s">
        <v>33</v>
      </c>
      <c r="J2442" t="str">
        <f>_xlfn.XLOOKUP(branches[[#This Row],[Филиал]], tbl_Filialy[Филиал], tbl_Filialy[Менеджер])</f>
        <v>Ольга Кузнецова</v>
      </c>
    </row>
    <row r="2443" spans="1:10" x14ac:dyDescent="0.3">
      <c r="A2443" t="str">
        <f>_xlfn.XLOOKUP(branches[[#This Row],[Филиал]], tbl_Filialy[Филиал], tbl_Filialy[Город])</f>
        <v>Новосибирск</v>
      </c>
      <c r="B2443" s="1" t="s">
        <v>37</v>
      </c>
      <c r="C2443" s="2">
        <v>45722</v>
      </c>
      <c r="D2443" s="2" t="str">
        <f>CHOOSE(MONTH(branches[[#This Row],[Дата]]),"Январь","Февраль","Март","Апрель","Май","Июнь","Июль","Август","Сентябрь","Октябрь","Ноябрь","Декабрь")&amp;" "&amp;YEAR(branches[[#This Row],[Дата]])</f>
        <v>Март 2025</v>
      </c>
      <c r="E2443" t="s">
        <v>16</v>
      </c>
      <c r="F2443" t="s">
        <v>17</v>
      </c>
      <c r="G2443">
        <v>2</v>
      </c>
      <c r="H2443">
        <v>612</v>
      </c>
      <c r="I2443" t="s">
        <v>19</v>
      </c>
      <c r="J2443" t="str">
        <f>_xlfn.XLOOKUP(branches[[#This Row],[Филиал]], tbl_Filialy[Филиал], tbl_Filialy[Менеджер])</f>
        <v>Ольга Кузнецова</v>
      </c>
    </row>
    <row r="2444" spans="1:10" x14ac:dyDescent="0.3">
      <c r="A2444" t="str">
        <f>_xlfn.XLOOKUP(branches[[#This Row],[Филиал]], tbl_Filialy[Филиал], tbl_Filialy[Город])</f>
        <v>Новосибирск</v>
      </c>
      <c r="B2444" s="1" t="s">
        <v>37</v>
      </c>
      <c r="C2444" s="2">
        <v>45720</v>
      </c>
      <c r="D2444" s="2" t="str">
        <f>CHOOSE(MONTH(branches[[#This Row],[Дата]]),"Январь","Февраль","Март","Апрель","Май","Июнь","Июль","Август","Сентябрь","Октябрь","Ноябрь","Декабрь")&amp;" "&amp;YEAR(branches[[#This Row],[Дата]])</f>
        <v>Март 2025</v>
      </c>
      <c r="E2444" t="s">
        <v>14</v>
      </c>
      <c r="F2444" t="s">
        <v>12</v>
      </c>
      <c r="G2444">
        <v>2</v>
      </c>
      <c r="H2444">
        <v>556</v>
      </c>
      <c r="I2444" t="s">
        <v>13</v>
      </c>
      <c r="J2444" t="str">
        <f>_xlfn.XLOOKUP(branches[[#This Row],[Филиал]], tbl_Filialy[Филиал], tbl_Filialy[Менеджер])</f>
        <v>Ольга Кузнецова</v>
      </c>
    </row>
    <row r="2445" spans="1:10" x14ac:dyDescent="0.3">
      <c r="A2445" t="str">
        <f>_xlfn.XLOOKUP(branches[[#This Row],[Филиал]], tbl_Filialy[Филиал], tbl_Filialy[Город])</f>
        <v>Новосибирск</v>
      </c>
      <c r="B2445" s="1" t="s">
        <v>37</v>
      </c>
      <c r="C2445" s="2">
        <v>45782</v>
      </c>
      <c r="D2445" s="2" t="str">
        <f>CHOOSE(MONTH(branches[[#This Row],[Дата]]),"Январь","Февраль","Март","Апрель","Май","Июнь","Июль","Август","Сентябрь","Октябрь","Ноябрь","Декабрь")&amp;" "&amp;YEAR(branches[[#This Row],[Дата]])</f>
        <v>Май 2025</v>
      </c>
      <c r="E2445" t="s">
        <v>28</v>
      </c>
      <c r="F2445" t="s">
        <v>12</v>
      </c>
      <c r="G2445">
        <v>1</v>
      </c>
      <c r="H2445">
        <v>246</v>
      </c>
      <c r="I2445" t="s">
        <v>35</v>
      </c>
      <c r="J2445" t="str">
        <f>_xlfn.XLOOKUP(branches[[#This Row],[Филиал]], tbl_Filialy[Филиал], tbl_Filialy[Менеджер])</f>
        <v>Ольга Кузнецова</v>
      </c>
    </row>
    <row r="2446" spans="1:10" x14ac:dyDescent="0.3">
      <c r="A2446" t="str">
        <f>_xlfn.XLOOKUP(branches[[#This Row],[Филиал]], tbl_Filialy[Филиал], tbl_Filialy[Город])</f>
        <v>Новосибирск</v>
      </c>
      <c r="B2446" s="1" t="s">
        <v>37</v>
      </c>
      <c r="C2446" s="2">
        <v>45788</v>
      </c>
      <c r="D2446" s="2" t="str">
        <f>CHOOSE(MONTH(branches[[#This Row],[Дата]]),"Январь","Февраль","Март","Апрель","Май","Июнь","Июль","Август","Сентябрь","Октябрь","Ноябрь","Декабрь")&amp;" "&amp;YEAR(branches[[#This Row],[Дата]])</f>
        <v>Май 2025</v>
      </c>
      <c r="E2446" t="s">
        <v>25</v>
      </c>
      <c r="F2446" t="s">
        <v>12</v>
      </c>
      <c r="G2446">
        <v>3</v>
      </c>
      <c r="H2446">
        <v>699</v>
      </c>
      <c r="I2446" t="s">
        <v>34</v>
      </c>
      <c r="J2446" t="str">
        <f>_xlfn.XLOOKUP(branches[[#This Row],[Филиал]], tbl_Filialy[Филиал], tbl_Filialy[Менеджер])</f>
        <v>Ольга Кузнецова</v>
      </c>
    </row>
    <row r="2447" spans="1:10" x14ac:dyDescent="0.3">
      <c r="A2447" t="str">
        <f>_xlfn.XLOOKUP(branches[[#This Row],[Филиал]], tbl_Filialy[Филиал], tbl_Filialy[Город])</f>
        <v>Новосибирск</v>
      </c>
      <c r="B2447" s="1" t="s">
        <v>37</v>
      </c>
      <c r="C2447" s="2">
        <v>46019</v>
      </c>
      <c r="D2447" s="2" t="str">
        <f>CHOOSE(MONTH(branches[[#This Row],[Дата]]),"Январь","Февраль","Март","Апрель","Май","Июнь","Июль","Август","Сентябрь","Октябрь","Ноябрь","Декабрь")&amp;" "&amp;YEAR(branches[[#This Row],[Дата]])</f>
        <v>Декабрь 2025</v>
      </c>
      <c r="E2447" t="s">
        <v>26</v>
      </c>
      <c r="F2447" t="s">
        <v>9</v>
      </c>
      <c r="G2447">
        <v>2</v>
      </c>
      <c r="H2447">
        <v>416</v>
      </c>
      <c r="I2447" t="s">
        <v>19</v>
      </c>
      <c r="J2447" t="str">
        <f>_xlfn.XLOOKUP(branches[[#This Row],[Филиал]], tbl_Filialy[Филиал], tbl_Filialy[Менеджер])</f>
        <v>Ольга Кузнецова</v>
      </c>
    </row>
    <row r="2448" spans="1:10" x14ac:dyDescent="0.3">
      <c r="A2448" t="str">
        <f>_xlfn.XLOOKUP(branches[[#This Row],[Филиал]], tbl_Filialy[Филиал], tbl_Filialy[Город])</f>
        <v>Новосибирск</v>
      </c>
      <c r="B2448" s="1" t="s">
        <v>37</v>
      </c>
      <c r="C2448" s="2">
        <v>46013</v>
      </c>
      <c r="D2448" s="2" t="str">
        <f>CHOOSE(MONTH(branches[[#This Row],[Дата]]),"Январь","Февраль","Март","Апрель","Май","Июнь","Июль","Август","Сентябрь","Октябрь","Ноябрь","Декабрь")&amp;" "&amp;YEAR(branches[[#This Row],[Дата]])</f>
        <v>Декабрь 2025</v>
      </c>
      <c r="E2448" t="s">
        <v>24</v>
      </c>
      <c r="F2448" t="s">
        <v>17</v>
      </c>
      <c r="G2448">
        <v>2</v>
      </c>
      <c r="H2448">
        <v>702</v>
      </c>
      <c r="I2448" t="s">
        <v>35</v>
      </c>
      <c r="J2448" t="str">
        <f>_xlfn.XLOOKUP(branches[[#This Row],[Филиал]], tbl_Filialy[Филиал], tbl_Filialy[Менеджер])</f>
        <v>Ольга Кузнецова</v>
      </c>
    </row>
    <row r="2449" spans="1:10" x14ac:dyDescent="0.3">
      <c r="A2449" t="str">
        <f>_xlfn.XLOOKUP(branches[[#This Row],[Филиал]], tbl_Filialy[Филиал], tbl_Filialy[Город])</f>
        <v>Новосибирск</v>
      </c>
      <c r="B2449" s="1" t="s">
        <v>37</v>
      </c>
      <c r="C2449" s="2">
        <v>45916</v>
      </c>
      <c r="D2449" s="2" t="str">
        <f>CHOOSE(MONTH(branches[[#This Row],[Дата]]),"Январь","Февраль","Март","Апрель","Май","Июнь","Июль","Август","Сентябрь","Октябрь","Ноябрь","Декабрь")&amp;" "&amp;YEAR(branches[[#This Row],[Дата]])</f>
        <v>Сентябрь 2025</v>
      </c>
      <c r="E2449" t="s">
        <v>16</v>
      </c>
      <c r="F2449" t="s">
        <v>17</v>
      </c>
      <c r="G2449">
        <v>3</v>
      </c>
      <c r="H2449">
        <v>876</v>
      </c>
      <c r="I2449" t="s">
        <v>33</v>
      </c>
      <c r="J2449" t="str">
        <f>_xlfn.XLOOKUP(branches[[#This Row],[Филиал]], tbl_Filialy[Филиал], tbl_Filialy[Менеджер])</f>
        <v>Ольга Кузнецова</v>
      </c>
    </row>
    <row r="2450" spans="1:10" x14ac:dyDescent="0.3">
      <c r="A2450" t="str">
        <f>_xlfn.XLOOKUP(branches[[#This Row],[Филиал]], tbl_Filialy[Филиал], tbl_Filialy[Город])</f>
        <v>Новосибирск</v>
      </c>
      <c r="B2450" s="1" t="s">
        <v>37</v>
      </c>
      <c r="C2450" s="2">
        <v>45849</v>
      </c>
      <c r="D2450" s="2" t="str">
        <f>CHOOSE(MONTH(branches[[#This Row],[Дата]]),"Январь","Февраль","Март","Апрель","Май","Июнь","Июль","Август","Сентябрь","Октябрь","Ноябрь","Декабрь")&amp;" "&amp;YEAR(branches[[#This Row],[Дата]])</f>
        <v>Июль 2025</v>
      </c>
      <c r="E2450" t="s">
        <v>25</v>
      </c>
      <c r="F2450" t="s">
        <v>12</v>
      </c>
      <c r="G2450">
        <v>3</v>
      </c>
      <c r="H2450">
        <v>603</v>
      </c>
      <c r="I2450" t="s">
        <v>34</v>
      </c>
      <c r="J2450" t="str">
        <f>_xlfn.XLOOKUP(branches[[#This Row],[Филиал]], tbl_Filialy[Филиал], tbl_Filialy[Менеджер])</f>
        <v>Ольга Кузнецова</v>
      </c>
    </row>
    <row r="2451" spans="1:10" x14ac:dyDescent="0.3">
      <c r="A2451" t="str">
        <f>_xlfn.XLOOKUP(branches[[#This Row],[Филиал]], tbl_Filialy[Филиал], tbl_Filialy[Город])</f>
        <v>Новосибирск</v>
      </c>
      <c r="B2451" s="1" t="s">
        <v>37</v>
      </c>
      <c r="C2451" s="2">
        <v>45737</v>
      </c>
      <c r="D2451" s="2" t="str">
        <f>CHOOSE(MONTH(branches[[#This Row],[Дата]]),"Январь","Февраль","Март","Апрель","Май","Июнь","Июль","Август","Сентябрь","Октябрь","Ноябрь","Декабрь")&amp;" "&amp;YEAR(branches[[#This Row],[Дата]])</f>
        <v>Март 2025</v>
      </c>
      <c r="E2451" t="s">
        <v>8</v>
      </c>
      <c r="F2451" t="s">
        <v>9</v>
      </c>
      <c r="G2451">
        <v>1</v>
      </c>
      <c r="H2451">
        <v>242</v>
      </c>
      <c r="I2451" t="s">
        <v>19</v>
      </c>
      <c r="J2451" t="str">
        <f>_xlfn.XLOOKUP(branches[[#This Row],[Филиал]], tbl_Filialy[Филиал], tbl_Filialy[Менеджер])</f>
        <v>Ольга Кузнецова</v>
      </c>
    </row>
    <row r="2452" spans="1:10" x14ac:dyDescent="0.3">
      <c r="A2452" t="str">
        <f>_xlfn.XLOOKUP(branches[[#This Row],[Филиал]], tbl_Filialy[Филиал], tbl_Filialy[Город])</f>
        <v>Новосибирск</v>
      </c>
      <c r="B2452" s="1" t="s">
        <v>37</v>
      </c>
      <c r="C2452" s="2">
        <v>45754</v>
      </c>
      <c r="D2452" s="2" t="str">
        <f>CHOOSE(MONTH(branches[[#This Row],[Дата]]),"Январь","Февраль","Март","Апрель","Май","Июнь","Июль","Август","Сентябрь","Октябрь","Ноябрь","Декабрь")&amp;" "&amp;YEAR(branches[[#This Row],[Дата]])</f>
        <v>Апрель 2025</v>
      </c>
      <c r="E2452" t="s">
        <v>18</v>
      </c>
      <c r="F2452" t="s">
        <v>12</v>
      </c>
      <c r="G2452">
        <v>1</v>
      </c>
      <c r="H2452">
        <v>151</v>
      </c>
      <c r="I2452" t="s">
        <v>19</v>
      </c>
      <c r="J2452" t="str">
        <f>_xlfn.XLOOKUP(branches[[#This Row],[Филиал]], tbl_Filialy[Филиал], tbl_Filialy[Менеджер])</f>
        <v>Ольга Кузнецова</v>
      </c>
    </row>
    <row r="2453" spans="1:10" x14ac:dyDescent="0.3">
      <c r="A2453" t="str">
        <f>_xlfn.XLOOKUP(branches[[#This Row],[Филиал]], tbl_Filialy[Филиал], tbl_Filialy[Город])</f>
        <v>Новосибирск</v>
      </c>
      <c r="B2453" s="1" t="s">
        <v>37</v>
      </c>
      <c r="C2453" s="2">
        <v>45741</v>
      </c>
      <c r="D2453" s="2" t="str">
        <f>CHOOSE(MONTH(branches[[#This Row],[Дата]]),"Январь","Февраль","Март","Апрель","Май","Июнь","Июль","Август","Сентябрь","Октябрь","Ноябрь","Декабрь")&amp;" "&amp;YEAR(branches[[#This Row],[Дата]])</f>
        <v>Март 2025</v>
      </c>
      <c r="E2453" t="s">
        <v>20</v>
      </c>
      <c r="F2453" t="s">
        <v>12</v>
      </c>
      <c r="G2453">
        <v>2</v>
      </c>
      <c r="H2453">
        <v>494</v>
      </c>
      <c r="I2453" t="s">
        <v>13</v>
      </c>
      <c r="J2453" t="str">
        <f>_xlfn.XLOOKUP(branches[[#This Row],[Филиал]], tbl_Filialy[Филиал], tbl_Filialy[Менеджер])</f>
        <v>Ольга Кузнецова</v>
      </c>
    </row>
    <row r="2454" spans="1:10" x14ac:dyDescent="0.3">
      <c r="A2454" t="str">
        <f>_xlfn.XLOOKUP(branches[[#This Row],[Филиал]], tbl_Filialy[Филиал], tbl_Filialy[Город])</f>
        <v>Новосибирск</v>
      </c>
      <c r="B2454" s="1" t="s">
        <v>37</v>
      </c>
      <c r="C2454" s="2">
        <v>45997</v>
      </c>
      <c r="D2454" s="2" t="str">
        <f>CHOOSE(MONTH(branches[[#This Row],[Дата]]),"Январь","Февраль","Март","Апрель","Май","Июнь","Июль","Август","Сентябрь","Октябрь","Ноябрь","Декабрь")&amp;" "&amp;YEAR(branches[[#This Row],[Дата]])</f>
        <v>Декабрь 2025</v>
      </c>
      <c r="E2454" t="s">
        <v>26</v>
      </c>
      <c r="F2454" t="s">
        <v>9</v>
      </c>
      <c r="G2454">
        <v>1</v>
      </c>
      <c r="H2454">
        <v>221</v>
      </c>
      <c r="I2454" t="s">
        <v>33</v>
      </c>
      <c r="J2454" t="str">
        <f>_xlfn.XLOOKUP(branches[[#This Row],[Филиал]], tbl_Filialy[Филиал], tbl_Filialy[Менеджер])</f>
        <v>Ольга Кузнецова</v>
      </c>
    </row>
    <row r="2455" spans="1:10" x14ac:dyDescent="0.3">
      <c r="A2455" t="str">
        <f>_xlfn.XLOOKUP(branches[[#This Row],[Филиал]], tbl_Filialy[Филиал], tbl_Filialy[Город])</f>
        <v>Новосибирск</v>
      </c>
      <c r="B2455" s="1" t="s">
        <v>37</v>
      </c>
      <c r="C2455" s="2">
        <v>45962</v>
      </c>
      <c r="D2455" s="2" t="str">
        <f>CHOOSE(MONTH(branches[[#This Row],[Дата]]),"Январь","Февраль","Март","Апрель","Май","Июнь","Июль","Август","Сентябрь","Октябрь","Ноябрь","Декабрь")&amp;" "&amp;YEAR(branches[[#This Row],[Дата]])</f>
        <v>Ноябрь 2025</v>
      </c>
      <c r="E2455" t="s">
        <v>27</v>
      </c>
      <c r="F2455" t="s">
        <v>12</v>
      </c>
      <c r="G2455">
        <v>1</v>
      </c>
      <c r="H2455">
        <v>195</v>
      </c>
      <c r="I2455" t="s">
        <v>34</v>
      </c>
      <c r="J2455" t="str">
        <f>_xlfn.XLOOKUP(branches[[#This Row],[Филиал]], tbl_Filialy[Филиал], tbl_Filialy[Менеджер])</f>
        <v>Ольга Кузнецова</v>
      </c>
    </row>
    <row r="2456" spans="1:10" x14ac:dyDescent="0.3">
      <c r="A2456" t="str">
        <f>_xlfn.XLOOKUP(branches[[#This Row],[Филиал]], tbl_Filialy[Филиал], tbl_Filialy[Город])</f>
        <v>Новосибирск</v>
      </c>
      <c r="B2456" s="1" t="s">
        <v>37</v>
      </c>
      <c r="C2456" s="2">
        <v>45819</v>
      </c>
      <c r="D2456" s="2" t="str">
        <f>CHOOSE(MONTH(branches[[#This Row],[Дата]]),"Январь","Февраль","Март","Апрель","Май","Июнь","Июль","Август","Сентябрь","Октябрь","Ноябрь","Декабрь")&amp;" "&amp;YEAR(branches[[#This Row],[Дата]])</f>
        <v>Июнь 2025</v>
      </c>
      <c r="E2456" t="s">
        <v>20</v>
      </c>
      <c r="F2456" t="s">
        <v>12</v>
      </c>
      <c r="G2456">
        <v>1</v>
      </c>
      <c r="H2456">
        <v>301</v>
      </c>
      <c r="I2456" t="s">
        <v>33</v>
      </c>
      <c r="J2456" t="str">
        <f>_xlfn.XLOOKUP(branches[[#This Row],[Филиал]], tbl_Filialy[Филиал], tbl_Filialy[Менеджер])</f>
        <v>Ольга Кузнецова</v>
      </c>
    </row>
    <row r="2457" spans="1:10" x14ac:dyDescent="0.3">
      <c r="A2457" t="str">
        <f>_xlfn.XLOOKUP(branches[[#This Row],[Филиал]], tbl_Filialy[Филиал], tbl_Filialy[Город])</f>
        <v>Новосибирск</v>
      </c>
      <c r="B2457" s="1" t="s">
        <v>37</v>
      </c>
      <c r="C2457" s="2">
        <v>45950</v>
      </c>
      <c r="D2457" s="2" t="str">
        <f>CHOOSE(MONTH(branches[[#This Row],[Дата]]),"Январь","Февраль","Март","Апрель","Май","Июнь","Июль","Август","Сентябрь","Октябрь","Ноябрь","Декабрь")&amp;" "&amp;YEAR(branches[[#This Row],[Дата]])</f>
        <v>Октябрь 2025</v>
      </c>
      <c r="E2457" t="s">
        <v>28</v>
      </c>
      <c r="F2457" t="s">
        <v>12</v>
      </c>
      <c r="G2457">
        <v>3</v>
      </c>
      <c r="H2457">
        <v>714</v>
      </c>
      <c r="I2457" t="s">
        <v>32</v>
      </c>
      <c r="J2457" t="str">
        <f>_xlfn.XLOOKUP(branches[[#This Row],[Филиал]], tbl_Filialy[Филиал], tbl_Filialy[Менеджер])</f>
        <v>Ольга Кузнецова</v>
      </c>
    </row>
    <row r="2458" spans="1:10" x14ac:dyDescent="0.3">
      <c r="A2458" t="str">
        <f>_xlfn.XLOOKUP(branches[[#This Row],[Филиал]], tbl_Filialy[Филиал], tbl_Filialy[Город])</f>
        <v>Новосибирск</v>
      </c>
      <c r="B2458" s="1" t="s">
        <v>37</v>
      </c>
      <c r="C2458" s="2">
        <v>45947</v>
      </c>
      <c r="D2458" s="2" t="str">
        <f>CHOOSE(MONTH(branches[[#This Row],[Дата]]),"Январь","Февраль","Март","Апрель","Май","Июнь","Июль","Август","Сентябрь","Октябрь","Ноябрь","Декабрь")&amp;" "&amp;YEAR(branches[[#This Row],[Дата]])</f>
        <v>Октябрь 2025</v>
      </c>
      <c r="E2458" t="s">
        <v>20</v>
      </c>
      <c r="F2458" t="s">
        <v>12</v>
      </c>
      <c r="G2458">
        <v>1</v>
      </c>
      <c r="H2458">
        <v>260</v>
      </c>
      <c r="I2458" t="s">
        <v>32</v>
      </c>
      <c r="J2458" t="str">
        <f>_xlfn.XLOOKUP(branches[[#This Row],[Филиал]], tbl_Filialy[Филиал], tbl_Filialy[Менеджер])</f>
        <v>Ольга Кузнецова</v>
      </c>
    </row>
    <row r="2459" spans="1:10" x14ac:dyDescent="0.3">
      <c r="A2459" t="str">
        <f>_xlfn.XLOOKUP(branches[[#This Row],[Филиал]], tbl_Filialy[Филиал], tbl_Filialy[Город])</f>
        <v>Новосибирск</v>
      </c>
      <c r="B2459" s="1" t="s">
        <v>37</v>
      </c>
      <c r="C2459" s="2">
        <v>45897</v>
      </c>
      <c r="D2459" s="2" t="str">
        <f>CHOOSE(MONTH(branches[[#This Row],[Дата]]),"Январь","Февраль","Март","Апрель","Май","Июнь","Июль","Август","Сентябрь","Октябрь","Ноябрь","Декабрь")&amp;" "&amp;YEAR(branches[[#This Row],[Дата]])</f>
        <v>Август 2025</v>
      </c>
      <c r="E2459" t="s">
        <v>24</v>
      </c>
      <c r="F2459" t="s">
        <v>17</v>
      </c>
      <c r="G2459">
        <v>2</v>
      </c>
      <c r="H2459">
        <v>708</v>
      </c>
      <c r="I2459" t="s">
        <v>13</v>
      </c>
      <c r="J2459" t="str">
        <f>_xlfn.XLOOKUP(branches[[#This Row],[Филиал]], tbl_Filialy[Филиал], tbl_Filialy[Менеджер])</f>
        <v>Ольга Кузнецова</v>
      </c>
    </row>
    <row r="2460" spans="1:10" x14ac:dyDescent="0.3">
      <c r="A2460" t="str">
        <f>_xlfn.XLOOKUP(branches[[#This Row],[Филиал]], tbl_Filialy[Филиал], tbl_Filialy[Город])</f>
        <v>Новосибирск</v>
      </c>
      <c r="B2460" s="1" t="s">
        <v>37</v>
      </c>
      <c r="C2460" s="2">
        <v>45775</v>
      </c>
      <c r="D2460" s="2" t="str">
        <f>CHOOSE(MONTH(branches[[#This Row],[Дата]]),"Январь","Февраль","Март","Апрель","Май","Июнь","Июль","Август","Сентябрь","Октябрь","Ноябрь","Декабрь")&amp;" "&amp;YEAR(branches[[#This Row],[Дата]])</f>
        <v>Апрель 2025</v>
      </c>
      <c r="E2460" t="s">
        <v>28</v>
      </c>
      <c r="F2460" t="s">
        <v>12</v>
      </c>
      <c r="G2460">
        <v>3</v>
      </c>
      <c r="H2460">
        <v>666</v>
      </c>
      <c r="I2460" t="s">
        <v>19</v>
      </c>
      <c r="J2460" t="str">
        <f>_xlfn.XLOOKUP(branches[[#This Row],[Филиал]], tbl_Filialy[Филиал], tbl_Filialy[Менеджер])</f>
        <v>Ольга Кузнецова</v>
      </c>
    </row>
    <row r="2461" spans="1:10" x14ac:dyDescent="0.3">
      <c r="A2461" t="str">
        <f>_xlfn.XLOOKUP(branches[[#This Row],[Филиал]], tbl_Filialy[Филиал], tbl_Filialy[Город])</f>
        <v>Новосибирск</v>
      </c>
      <c r="B2461" s="1" t="s">
        <v>37</v>
      </c>
      <c r="C2461" s="2">
        <v>45682</v>
      </c>
      <c r="D2461" s="2" t="str">
        <f>CHOOSE(MONTH(branches[[#This Row],[Дата]]),"Январь","Февраль","Март","Апрель","Май","Июнь","Июль","Август","Сентябрь","Октябрь","Ноябрь","Декабрь")&amp;" "&amp;YEAR(branches[[#This Row],[Дата]])</f>
        <v>Январь 2025</v>
      </c>
      <c r="E2461" t="s">
        <v>20</v>
      </c>
      <c r="F2461" t="s">
        <v>12</v>
      </c>
      <c r="G2461">
        <v>2</v>
      </c>
      <c r="H2461">
        <v>570</v>
      </c>
      <c r="I2461" t="s">
        <v>13</v>
      </c>
      <c r="J2461" t="str">
        <f>_xlfn.XLOOKUP(branches[[#This Row],[Филиал]], tbl_Filialy[Филиал], tbl_Filialy[Менеджер])</f>
        <v>Ольга Кузнецова</v>
      </c>
    </row>
    <row r="2462" spans="1:10" x14ac:dyDescent="0.3">
      <c r="A2462" t="str">
        <f>_xlfn.XLOOKUP(branches[[#This Row],[Филиал]], tbl_Filialy[Филиал], tbl_Filialy[Город])</f>
        <v>Новосибирск</v>
      </c>
      <c r="B2462" s="1" t="s">
        <v>37</v>
      </c>
      <c r="C2462" s="2">
        <v>45670</v>
      </c>
      <c r="D2462" s="2" t="str">
        <f>CHOOSE(MONTH(branches[[#This Row],[Дата]]),"Январь","Февраль","Март","Апрель","Май","Июнь","Июль","Август","Сентябрь","Октябрь","Ноябрь","Декабрь")&amp;" "&amp;YEAR(branches[[#This Row],[Дата]])</f>
        <v>Январь 2025</v>
      </c>
      <c r="E2462" t="s">
        <v>20</v>
      </c>
      <c r="F2462" t="s">
        <v>12</v>
      </c>
      <c r="G2462">
        <v>3</v>
      </c>
      <c r="H2462">
        <v>909</v>
      </c>
      <c r="I2462" t="s">
        <v>32</v>
      </c>
      <c r="J2462" t="str">
        <f>_xlfn.XLOOKUP(branches[[#This Row],[Филиал]], tbl_Filialy[Филиал], tbl_Filialy[Менеджер])</f>
        <v>Ольга Кузнецова</v>
      </c>
    </row>
    <row r="2463" spans="1:10" x14ac:dyDescent="0.3">
      <c r="A2463" t="str">
        <f>_xlfn.XLOOKUP(branches[[#This Row],[Филиал]], tbl_Filialy[Филиал], tbl_Filialy[Город])</f>
        <v>Новосибирск</v>
      </c>
      <c r="B2463" s="1" t="s">
        <v>37</v>
      </c>
      <c r="C2463" s="2">
        <v>45998</v>
      </c>
      <c r="D2463" s="2" t="str">
        <f>CHOOSE(MONTH(branches[[#This Row],[Дата]]),"Январь","Февраль","Март","Апрель","Май","Июнь","Июль","Август","Сентябрь","Октябрь","Ноябрь","Декабрь")&amp;" "&amp;YEAR(branches[[#This Row],[Дата]])</f>
        <v>Декабрь 2025</v>
      </c>
      <c r="E2463" t="s">
        <v>8</v>
      </c>
      <c r="F2463" t="s">
        <v>9</v>
      </c>
      <c r="G2463">
        <v>1</v>
      </c>
      <c r="H2463">
        <v>269</v>
      </c>
      <c r="I2463" t="s">
        <v>35</v>
      </c>
      <c r="J2463" t="str">
        <f>_xlfn.XLOOKUP(branches[[#This Row],[Филиал]], tbl_Filialy[Филиал], tbl_Filialy[Менеджер])</f>
        <v>Ольга Кузнецова</v>
      </c>
    </row>
    <row r="2464" spans="1:10" x14ac:dyDescent="0.3">
      <c r="A2464" t="str">
        <f>_xlfn.XLOOKUP(branches[[#This Row],[Филиал]], tbl_Filialy[Филиал], tbl_Filialy[Город])</f>
        <v>Новосибирск</v>
      </c>
      <c r="B2464" s="1" t="s">
        <v>37</v>
      </c>
      <c r="C2464" s="2">
        <v>45659</v>
      </c>
      <c r="D2464" s="2" t="str">
        <f>CHOOSE(MONTH(branches[[#This Row],[Дата]]),"Январь","Февраль","Март","Апрель","Май","Июнь","Июль","Август","Сентябрь","Октябрь","Ноябрь","Декабрь")&amp;" "&amp;YEAR(branches[[#This Row],[Дата]])</f>
        <v>Январь 2025</v>
      </c>
      <c r="E2464" t="s">
        <v>27</v>
      </c>
      <c r="F2464" t="s">
        <v>12</v>
      </c>
      <c r="G2464">
        <v>2</v>
      </c>
      <c r="H2464">
        <v>474</v>
      </c>
      <c r="I2464" t="s">
        <v>34</v>
      </c>
      <c r="J2464" t="str">
        <f>_xlfn.XLOOKUP(branches[[#This Row],[Филиал]], tbl_Filialy[Филиал], tbl_Filialy[Менеджер])</f>
        <v>Ольга Кузнецова</v>
      </c>
    </row>
    <row r="2465" spans="1:10" x14ac:dyDescent="0.3">
      <c r="A2465" t="str">
        <f>_xlfn.XLOOKUP(branches[[#This Row],[Филиал]], tbl_Filialy[Филиал], tbl_Filialy[Город])</f>
        <v>Новосибирск</v>
      </c>
      <c r="B2465" s="1" t="s">
        <v>37</v>
      </c>
      <c r="C2465" s="2">
        <v>45765</v>
      </c>
      <c r="D2465" s="2" t="str">
        <f>CHOOSE(MONTH(branches[[#This Row],[Дата]]),"Январь","Февраль","Март","Апрель","Май","Июнь","Июль","Август","Сентябрь","Октябрь","Ноябрь","Декабрь")&amp;" "&amp;YEAR(branches[[#This Row],[Дата]])</f>
        <v>Апрель 2025</v>
      </c>
      <c r="E2465" t="s">
        <v>20</v>
      </c>
      <c r="F2465" t="s">
        <v>12</v>
      </c>
      <c r="G2465">
        <v>1</v>
      </c>
      <c r="H2465">
        <v>305</v>
      </c>
      <c r="I2465" t="s">
        <v>35</v>
      </c>
      <c r="J2465" t="str">
        <f>_xlfn.XLOOKUP(branches[[#This Row],[Филиал]], tbl_Filialy[Филиал], tbl_Filialy[Менеджер])</f>
        <v>Ольга Кузнецова</v>
      </c>
    </row>
    <row r="2466" spans="1:10" x14ac:dyDescent="0.3">
      <c r="A2466" t="str">
        <f>_xlfn.XLOOKUP(branches[[#This Row],[Филиал]], tbl_Filialy[Филиал], tbl_Filialy[Город])</f>
        <v>Новосибирск</v>
      </c>
      <c r="B2466" s="1" t="s">
        <v>37</v>
      </c>
      <c r="C2466" s="2">
        <v>45684</v>
      </c>
      <c r="D2466" s="2" t="str">
        <f>CHOOSE(MONTH(branches[[#This Row],[Дата]]),"Январь","Февраль","Март","Апрель","Май","Июнь","Июль","Август","Сентябрь","Октябрь","Ноябрь","Декабрь")&amp;" "&amp;YEAR(branches[[#This Row],[Дата]])</f>
        <v>Январь 2025</v>
      </c>
      <c r="E2466" t="s">
        <v>24</v>
      </c>
      <c r="F2466" t="s">
        <v>17</v>
      </c>
      <c r="G2466">
        <v>1</v>
      </c>
      <c r="H2466">
        <v>396</v>
      </c>
      <c r="I2466" t="s">
        <v>33</v>
      </c>
      <c r="J2466" t="str">
        <f>_xlfn.XLOOKUP(branches[[#This Row],[Филиал]], tbl_Filialy[Филиал], tbl_Filialy[Менеджер])</f>
        <v>Ольга Кузнецова</v>
      </c>
    </row>
    <row r="2467" spans="1:10" x14ac:dyDescent="0.3">
      <c r="A2467" t="str">
        <f>_xlfn.XLOOKUP(branches[[#This Row],[Филиал]], tbl_Filialy[Филиал], tbl_Filialy[Город])</f>
        <v>Новосибирск</v>
      </c>
      <c r="B2467" s="1" t="s">
        <v>37</v>
      </c>
      <c r="C2467" s="2">
        <v>45824</v>
      </c>
      <c r="D2467" s="2" t="str">
        <f>CHOOSE(MONTH(branches[[#This Row],[Дата]]),"Январь","Февраль","Март","Апрель","Май","Июнь","Июль","Август","Сентябрь","Октябрь","Ноябрь","Декабрь")&amp;" "&amp;YEAR(branches[[#This Row],[Дата]])</f>
        <v>Июнь 2025</v>
      </c>
      <c r="E2467" t="s">
        <v>25</v>
      </c>
      <c r="F2467" t="s">
        <v>12</v>
      </c>
      <c r="G2467">
        <v>1</v>
      </c>
      <c r="H2467">
        <v>220</v>
      </c>
      <c r="I2467" t="s">
        <v>33</v>
      </c>
      <c r="J2467" t="str">
        <f>_xlfn.XLOOKUP(branches[[#This Row],[Филиал]], tbl_Filialy[Филиал], tbl_Filialy[Менеджер])</f>
        <v>Ольга Кузнецова</v>
      </c>
    </row>
    <row r="2468" spans="1:10" x14ac:dyDescent="0.3">
      <c r="A2468" t="str">
        <f>_xlfn.XLOOKUP(branches[[#This Row],[Филиал]], tbl_Filialy[Филиал], tbl_Filialy[Город])</f>
        <v>Новосибирск</v>
      </c>
      <c r="B2468" s="1" t="s">
        <v>37</v>
      </c>
      <c r="C2468" s="2">
        <v>45948</v>
      </c>
      <c r="D2468" s="2" t="str">
        <f>CHOOSE(MONTH(branches[[#This Row],[Дата]]),"Январь","Февраль","Март","Апрель","Май","Июнь","Июль","Август","Сентябрь","Октябрь","Ноябрь","Декабрь")&amp;" "&amp;YEAR(branches[[#This Row],[Дата]])</f>
        <v>Октябрь 2025</v>
      </c>
      <c r="E2468" t="s">
        <v>14</v>
      </c>
      <c r="F2468" t="s">
        <v>12</v>
      </c>
      <c r="G2468">
        <v>2</v>
      </c>
      <c r="H2468">
        <v>514</v>
      </c>
      <c r="I2468" t="s">
        <v>19</v>
      </c>
      <c r="J2468" t="str">
        <f>_xlfn.XLOOKUP(branches[[#This Row],[Филиал]], tbl_Filialy[Филиал], tbl_Filialy[Менеджер])</f>
        <v>Ольга Кузнецова</v>
      </c>
    </row>
    <row r="2469" spans="1:10" x14ac:dyDescent="0.3">
      <c r="A2469" t="str">
        <f>_xlfn.XLOOKUP(branches[[#This Row],[Филиал]], tbl_Filialy[Филиал], tbl_Filialy[Город])</f>
        <v>Новосибирск</v>
      </c>
      <c r="B2469" s="1" t="s">
        <v>37</v>
      </c>
      <c r="C2469" s="2">
        <v>46018</v>
      </c>
      <c r="D2469" s="2" t="str">
        <f>CHOOSE(MONTH(branches[[#This Row],[Дата]]),"Январь","Февраль","Март","Апрель","Май","Июнь","Июль","Август","Сентябрь","Октябрь","Ноябрь","Декабрь")&amp;" "&amp;YEAR(branches[[#This Row],[Дата]])</f>
        <v>Декабрь 2025</v>
      </c>
      <c r="E2469" t="s">
        <v>11</v>
      </c>
      <c r="F2469" t="s">
        <v>12</v>
      </c>
      <c r="G2469">
        <v>2</v>
      </c>
      <c r="H2469">
        <v>308</v>
      </c>
      <c r="I2469" t="s">
        <v>33</v>
      </c>
      <c r="J2469" t="str">
        <f>_xlfn.XLOOKUP(branches[[#This Row],[Филиал]], tbl_Filialy[Филиал], tbl_Filialy[Менеджер])</f>
        <v>Ольга Кузнецова</v>
      </c>
    </row>
    <row r="2470" spans="1:10" x14ac:dyDescent="0.3">
      <c r="A2470" t="str">
        <f>_xlfn.XLOOKUP(branches[[#This Row],[Филиал]], tbl_Filialy[Филиал], tbl_Filialy[Город])</f>
        <v>Новосибирск</v>
      </c>
      <c r="B2470" s="1" t="s">
        <v>37</v>
      </c>
      <c r="C2470" s="2">
        <v>45954</v>
      </c>
      <c r="D2470" s="2" t="str">
        <f>CHOOSE(MONTH(branches[[#This Row],[Дата]]),"Январь","Февраль","Март","Апрель","Май","Июнь","Июль","Август","Сентябрь","Октябрь","Ноябрь","Декабрь")&amp;" "&amp;YEAR(branches[[#This Row],[Дата]])</f>
        <v>Октябрь 2025</v>
      </c>
      <c r="E2470" t="s">
        <v>25</v>
      </c>
      <c r="F2470" t="s">
        <v>12</v>
      </c>
      <c r="G2470">
        <v>1</v>
      </c>
      <c r="H2470">
        <v>241</v>
      </c>
      <c r="I2470" t="s">
        <v>34</v>
      </c>
      <c r="J2470" t="str">
        <f>_xlfn.XLOOKUP(branches[[#This Row],[Филиал]], tbl_Filialy[Филиал], tbl_Filialy[Менеджер])</f>
        <v>Ольга Кузнецова</v>
      </c>
    </row>
    <row r="2471" spans="1:10" x14ac:dyDescent="0.3">
      <c r="A2471" t="str">
        <f>_xlfn.XLOOKUP(branches[[#This Row],[Филиал]], tbl_Filialy[Филиал], tbl_Filialy[Город])</f>
        <v>Новосибирск</v>
      </c>
      <c r="B2471" s="1" t="s">
        <v>37</v>
      </c>
      <c r="C2471" s="2">
        <v>45931</v>
      </c>
      <c r="D2471" s="2" t="str">
        <f>CHOOSE(MONTH(branches[[#This Row],[Дата]]),"Январь","Февраль","Март","Апрель","Май","Июнь","Июль","Август","Сентябрь","Октябрь","Ноябрь","Декабрь")&amp;" "&amp;YEAR(branches[[#This Row],[Дата]])</f>
        <v>Октябрь 2025</v>
      </c>
      <c r="E2471" t="s">
        <v>11</v>
      </c>
      <c r="F2471" t="s">
        <v>12</v>
      </c>
      <c r="G2471">
        <v>3</v>
      </c>
      <c r="H2471">
        <v>492</v>
      </c>
      <c r="I2471" t="s">
        <v>19</v>
      </c>
      <c r="J2471" t="str">
        <f>_xlfn.XLOOKUP(branches[[#This Row],[Филиал]], tbl_Filialy[Филиал], tbl_Filialy[Менеджер])</f>
        <v>Ольга Кузнецова</v>
      </c>
    </row>
    <row r="2472" spans="1:10" x14ac:dyDescent="0.3">
      <c r="A2472" t="str">
        <f>_xlfn.XLOOKUP(branches[[#This Row],[Филиал]], tbl_Filialy[Филиал], tbl_Filialy[Город])</f>
        <v>Новосибирск</v>
      </c>
      <c r="B2472" s="1" t="s">
        <v>37</v>
      </c>
      <c r="C2472" s="2">
        <v>45922</v>
      </c>
      <c r="D2472" s="2" t="str">
        <f>CHOOSE(MONTH(branches[[#This Row],[Дата]]),"Январь","Февраль","Март","Апрель","Май","Июнь","Июль","Август","Сентябрь","Октябрь","Ноябрь","Декабрь")&amp;" "&amp;YEAR(branches[[#This Row],[Дата]])</f>
        <v>Сентябрь 2025</v>
      </c>
      <c r="E2472" t="s">
        <v>20</v>
      </c>
      <c r="F2472" t="s">
        <v>12</v>
      </c>
      <c r="G2472">
        <v>3</v>
      </c>
      <c r="H2472">
        <v>912</v>
      </c>
      <c r="I2472" t="s">
        <v>34</v>
      </c>
      <c r="J2472" t="str">
        <f>_xlfn.XLOOKUP(branches[[#This Row],[Филиал]], tbl_Filialy[Филиал], tbl_Filialy[Менеджер])</f>
        <v>Ольга Кузнецова</v>
      </c>
    </row>
    <row r="2473" spans="1:10" x14ac:dyDescent="0.3">
      <c r="A2473" t="str">
        <f>_xlfn.XLOOKUP(branches[[#This Row],[Филиал]], tbl_Filialy[Филиал], tbl_Filialy[Город])</f>
        <v>Новосибирск</v>
      </c>
      <c r="B2473" s="1" t="s">
        <v>37</v>
      </c>
      <c r="C2473" s="2">
        <v>45737</v>
      </c>
      <c r="D2473" s="2" t="str">
        <f>CHOOSE(MONTH(branches[[#This Row],[Дата]]),"Январь","Февраль","Март","Апрель","Май","Июнь","Июль","Август","Сентябрь","Октябрь","Ноябрь","Декабрь")&amp;" "&amp;YEAR(branches[[#This Row],[Дата]])</f>
        <v>Март 2025</v>
      </c>
      <c r="E2473" t="s">
        <v>8</v>
      </c>
      <c r="F2473" t="s">
        <v>9</v>
      </c>
      <c r="G2473">
        <v>2</v>
      </c>
      <c r="H2473">
        <v>462</v>
      </c>
      <c r="I2473" t="s">
        <v>35</v>
      </c>
      <c r="J2473" t="str">
        <f>_xlfn.XLOOKUP(branches[[#This Row],[Филиал]], tbl_Filialy[Филиал], tbl_Filialy[Менеджер])</f>
        <v>Ольга Кузнецова</v>
      </c>
    </row>
    <row r="2474" spans="1:10" x14ac:dyDescent="0.3">
      <c r="A2474" t="str">
        <f>_xlfn.XLOOKUP(branches[[#This Row],[Филиал]], tbl_Filialy[Филиал], tbl_Filialy[Город])</f>
        <v>Новосибирск</v>
      </c>
      <c r="B2474" s="1" t="s">
        <v>37</v>
      </c>
      <c r="C2474" s="2">
        <v>45753</v>
      </c>
      <c r="D2474" s="2" t="str">
        <f>CHOOSE(MONTH(branches[[#This Row],[Дата]]),"Январь","Февраль","Март","Апрель","Май","Июнь","Июль","Август","Сентябрь","Октябрь","Ноябрь","Декабрь")&amp;" "&amp;YEAR(branches[[#This Row],[Дата]])</f>
        <v>Апрель 2025</v>
      </c>
      <c r="E2474" t="s">
        <v>11</v>
      </c>
      <c r="F2474" t="s">
        <v>12</v>
      </c>
      <c r="G2474">
        <v>1</v>
      </c>
      <c r="H2474">
        <v>164</v>
      </c>
      <c r="I2474" t="s">
        <v>33</v>
      </c>
      <c r="J2474" t="str">
        <f>_xlfn.XLOOKUP(branches[[#This Row],[Филиал]], tbl_Filialy[Филиал], tbl_Filialy[Менеджер])</f>
        <v>Ольга Кузнецова</v>
      </c>
    </row>
    <row r="2475" spans="1:10" x14ac:dyDescent="0.3">
      <c r="A2475" t="str">
        <f>_xlfn.XLOOKUP(branches[[#This Row],[Филиал]], tbl_Filialy[Филиал], tbl_Filialy[Город])</f>
        <v>Новосибирск</v>
      </c>
      <c r="B2475" s="1" t="s">
        <v>37</v>
      </c>
      <c r="C2475" s="2">
        <v>46012</v>
      </c>
      <c r="D2475" s="2" t="str">
        <f>CHOOSE(MONTH(branches[[#This Row],[Дата]]),"Январь","Февраль","Март","Апрель","Май","Июнь","Июль","Август","Сентябрь","Октябрь","Ноябрь","Декабрь")&amp;" "&amp;YEAR(branches[[#This Row],[Дата]])</f>
        <v>Декабрь 2025</v>
      </c>
      <c r="E2475" t="s">
        <v>14</v>
      </c>
      <c r="F2475" t="s">
        <v>12</v>
      </c>
      <c r="G2475">
        <v>1</v>
      </c>
      <c r="H2475">
        <v>290</v>
      </c>
      <c r="I2475" t="s">
        <v>35</v>
      </c>
      <c r="J2475" t="str">
        <f>_xlfn.XLOOKUP(branches[[#This Row],[Филиал]], tbl_Filialy[Филиал], tbl_Filialy[Менеджер])</f>
        <v>Ольга Кузнецова</v>
      </c>
    </row>
    <row r="2476" spans="1:10" x14ac:dyDescent="0.3">
      <c r="A2476" t="str">
        <f>_xlfn.XLOOKUP(branches[[#This Row],[Филиал]], tbl_Filialy[Филиал], tbl_Filialy[Город])</f>
        <v>Новосибирск</v>
      </c>
      <c r="B2476" s="1" t="s">
        <v>37</v>
      </c>
      <c r="C2476" s="2">
        <v>45946</v>
      </c>
      <c r="D2476" s="2" t="str">
        <f>CHOOSE(MONTH(branches[[#This Row],[Дата]]),"Январь","Февраль","Март","Апрель","Май","Июнь","Июль","Август","Сентябрь","Октябрь","Ноябрь","Декабрь")&amp;" "&amp;YEAR(branches[[#This Row],[Дата]])</f>
        <v>Октябрь 2025</v>
      </c>
      <c r="E2476" t="s">
        <v>28</v>
      </c>
      <c r="F2476" t="s">
        <v>12</v>
      </c>
      <c r="G2476">
        <v>3</v>
      </c>
      <c r="H2476">
        <v>714</v>
      </c>
      <c r="I2476" t="s">
        <v>13</v>
      </c>
      <c r="J2476" t="str">
        <f>_xlfn.XLOOKUP(branches[[#This Row],[Филиал]], tbl_Filialy[Филиал], tbl_Filialy[Менеджер])</f>
        <v>Ольга Кузнецова</v>
      </c>
    </row>
    <row r="2477" spans="1:10" x14ac:dyDescent="0.3">
      <c r="A2477" t="str">
        <f>_xlfn.XLOOKUP(branches[[#This Row],[Филиал]], tbl_Filialy[Филиал], tbl_Filialy[Город])</f>
        <v>Новосибирск</v>
      </c>
      <c r="B2477" s="1" t="s">
        <v>37</v>
      </c>
      <c r="C2477" s="2">
        <v>45702</v>
      </c>
      <c r="D2477" s="2" t="str">
        <f>CHOOSE(MONTH(branches[[#This Row],[Дата]]),"Январь","Февраль","Март","Апрель","Май","Июнь","Июль","Август","Сентябрь","Октябрь","Ноябрь","Декабрь")&amp;" "&amp;YEAR(branches[[#This Row],[Дата]])</f>
        <v>Февраль 2025</v>
      </c>
      <c r="E2477" t="s">
        <v>22</v>
      </c>
      <c r="F2477" t="s">
        <v>9</v>
      </c>
      <c r="G2477">
        <v>1</v>
      </c>
      <c r="H2477">
        <v>195</v>
      </c>
      <c r="I2477" t="s">
        <v>33</v>
      </c>
      <c r="J2477" t="str">
        <f>_xlfn.XLOOKUP(branches[[#This Row],[Филиал]], tbl_Filialy[Филиал], tbl_Filialy[Менеджер])</f>
        <v>Ольга Кузнецова</v>
      </c>
    </row>
    <row r="2478" spans="1:10" x14ac:dyDescent="0.3">
      <c r="A2478" t="str">
        <f>_xlfn.XLOOKUP(branches[[#This Row],[Филиал]], tbl_Filialy[Филиал], tbl_Filialy[Город])</f>
        <v>Новосибирск</v>
      </c>
      <c r="B2478" s="1" t="s">
        <v>37</v>
      </c>
      <c r="C2478" s="2">
        <v>45764</v>
      </c>
      <c r="D2478" s="2" t="str">
        <f>CHOOSE(MONTH(branches[[#This Row],[Дата]]),"Январь","Февраль","Март","Апрель","Май","Июнь","Июль","Август","Сентябрь","Октябрь","Ноябрь","Декабрь")&amp;" "&amp;YEAR(branches[[#This Row],[Дата]])</f>
        <v>Апрель 2025</v>
      </c>
      <c r="E2478" t="s">
        <v>14</v>
      </c>
      <c r="F2478" t="s">
        <v>12</v>
      </c>
      <c r="G2478">
        <v>2</v>
      </c>
      <c r="H2478">
        <v>548</v>
      </c>
      <c r="I2478" t="s">
        <v>13</v>
      </c>
      <c r="J2478" t="str">
        <f>_xlfn.XLOOKUP(branches[[#This Row],[Филиал]], tbl_Filialy[Филиал], tbl_Filialy[Менеджер])</f>
        <v>Ольга Кузнецова</v>
      </c>
    </row>
    <row r="2479" spans="1:10" x14ac:dyDescent="0.3">
      <c r="A2479" t="str">
        <f>_xlfn.XLOOKUP(branches[[#This Row],[Филиал]], tbl_Filialy[Филиал], tbl_Filialy[Город])</f>
        <v>Новосибирск</v>
      </c>
      <c r="B2479" s="1" t="s">
        <v>37</v>
      </c>
      <c r="C2479" s="2">
        <v>45830</v>
      </c>
      <c r="D2479" s="2" t="str">
        <f>CHOOSE(MONTH(branches[[#This Row],[Дата]]),"Январь","Февраль","Март","Апрель","Май","Июнь","Июль","Август","Сентябрь","Октябрь","Ноябрь","Декабрь")&amp;" "&amp;YEAR(branches[[#This Row],[Дата]])</f>
        <v>Июнь 2025</v>
      </c>
      <c r="E2479" t="s">
        <v>24</v>
      </c>
      <c r="F2479" t="s">
        <v>17</v>
      </c>
      <c r="G2479">
        <v>1</v>
      </c>
      <c r="H2479">
        <v>422</v>
      </c>
      <c r="I2479" t="s">
        <v>33</v>
      </c>
      <c r="J2479" t="str">
        <f>_xlfn.XLOOKUP(branches[[#This Row],[Филиал]], tbl_Filialy[Филиал], tbl_Filialy[Менеджер])</f>
        <v>Ольга Кузнецова</v>
      </c>
    </row>
    <row r="2480" spans="1:10" x14ac:dyDescent="0.3">
      <c r="A2480" t="str">
        <f>_xlfn.XLOOKUP(branches[[#This Row],[Филиал]], tbl_Filialy[Филиал], tbl_Filialy[Город])</f>
        <v>Новосибирск</v>
      </c>
      <c r="B2480" s="1" t="s">
        <v>37</v>
      </c>
      <c r="C2480" s="2">
        <v>45948</v>
      </c>
      <c r="D2480" s="2" t="str">
        <f>CHOOSE(MONTH(branches[[#This Row],[Дата]]),"Январь","Февраль","Март","Апрель","Май","Июнь","Июль","Август","Сентябрь","Октябрь","Ноябрь","Декабрь")&amp;" "&amp;YEAR(branches[[#This Row],[Дата]])</f>
        <v>Октябрь 2025</v>
      </c>
      <c r="E2480" t="s">
        <v>18</v>
      </c>
      <c r="F2480" t="s">
        <v>12</v>
      </c>
      <c r="G2480">
        <v>3</v>
      </c>
      <c r="H2480">
        <v>387</v>
      </c>
      <c r="I2480" t="s">
        <v>34</v>
      </c>
      <c r="J2480" t="str">
        <f>_xlfn.XLOOKUP(branches[[#This Row],[Филиал]], tbl_Filialy[Филиал], tbl_Filialy[Менеджер])</f>
        <v>Ольга Кузнецова</v>
      </c>
    </row>
    <row r="2481" spans="1:10" x14ac:dyDescent="0.3">
      <c r="A2481" t="str">
        <f>_xlfn.XLOOKUP(branches[[#This Row],[Филиал]], tbl_Filialy[Филиал], tbl_Filialy[Город])</f>
        <v>Новосибирск</v>
      </c>
      <c r="B2481" s="1" t="s">
        <v>37</v>
      </c>
      <c r="C2481" s="2">
        <v>45813</v>
      </c>
      <c r="D2481" s="2" t="str">
        <f>CHOOSE(MONTH(branches[[#This Row],[Дата]]),"Январь","Февраль","Март","Апрель","Май","Июнь","Июль","Август","Сентябрь","Октябрь","Ноябрь","Декабрь")&amp;" "&amp;YEAR(branches[[#This Row],[Дата]])</f>
        <v>Июнь 2025</v>
      </c>
      <c r="E2481" t="s">
        <v>22</v>
      </c>
      <c r="F2481" t="s">
        <v>9</v>
      </c>
      <c r="G2481">
        <v>3</v>
      </c>
      <c r="H2481">
        <v>534</v>
      </c>
      <c r="I2481" t="s">
        <v>35</v>
      </c>
      <c r="J2481" t="str">
        <f>_xlfn.XLOOKUP(branches[[#This Row],[Филиал]], tbl_Filialy[Филиал], tbl_Filialy[Менеджер])</f>
        <v>Ольга Кузнецова</v>
      </c>
    </row>
    <row r="2482" spans="1:10" x14ac:dyDescent="0.3">
      <c r="A2482" t="str">
        <f>_xlfn.XLOOKUP(branches[[#This Row],[Филиал]], tbl_Filialy[Филиал], tbl_Filialy[Город])</f>
        <v>Новосибирск</v>
      </c>
      <c r="B2482" s="1" t="s">
        <v>37</v>
      </c>
      <c r="C2482" s="2">
        <v>45888</v>
      </c>
      <c r="D2482" s="2" t="str">
        <f>CHOOSE(MONTH(branches[[#This Row],[Дата]]),"Январь","Февраль","Март","Апрель","Май","Июнь","Июль","Август","Сентябрь","Октябрь","Ноябрь","Декабрь")&amp;" "&amp;YEAR(branches[[#This Row],[Дата]])</f>
        <v>Август 2025</v>
      </c>
      <c r="E2482" t="s">
        <v>8</v>
      </c>
      <c r="F2482" t="s">
        <v>9</v>
      </c>
      <c r="G2482">
        <v>1</v>
      </c>
      <c r="H2482">
        <v>221</v>
      </c>
      <c r="I2482" t="s">
        <v>33</v>
      </c>
      <c r="J2482" t="str">
        <f>_xlfn.XLOOKUP(branches[[#This Row],[Филиал]], tbl_Filialy[Филиал], tbl_Filialy[Менеджер])</f>
        <v>Ольга Кузнецова</v>
      </c>
    </row>
    <row r="2483" spans="1:10" x14ac:dyDescent="0.3">
      <c r="A2483" t="str">
        <f>_xlfn.XLOOKUP(branches[[#This Row],[Филиал]], tbl_Filialy[Филиал], tbl_Filialy[Город])</f>
        <v>Новосибирск</v>
      </c>
      <c r="B2483" s="1" t="s">
        <v>37</v>
      </c>
      <c r="C2483" s="2">
        <v>45828</v>
      </c>
      <c r="D2483" s="2" t="str">
        <f>CHOOSE(MONTH(branches[[#This Row],[Дата]]),"Январь","Февраль","Март","Апрель","Май","Июнь","Июль","Август","Сентябрь","Октябрь","Ноябрь","Декабрь")&amp;" "&amp;YEAR(branches[[#This Row],[Дата]])</f>
        <v>Июнь 2025</v>
      </c>
      <c r="E2483" t="s">
        <v>14</v>
      </c>
      <c r="F2483" t="s">
        <v>12</v>
      </c>
      <c r="G2483">
        <v>2</v>
      </c>
      <c r="H2483">
        <v>494</v>
      </c>
      <c r="I2483" t="s">
        <v>19</v>
      </c>
      <c r="J2483" t="str">
        <f>_xlfn.XLOOKUP(branches[[#This Row],[Филиал]], tbl_Filialy[Филиал], tbl_Filialy[Менеджер])</f>
        <v>Ольга Кузнецова</v>
      </c>
    </row>
    <row r="2484" spans="1:10" x14ac:dyDescent="0.3">
      <c r="A2484" t="str">
        <f>_xlfn.XLOOKUP(branches[[#This Row],[Филиал]], tbl_Filialy[Филиал], tbl_Filialy[Город])</f>
        <v>Новосибирск</v>
      </c>
      <c r="B2484" s="1" t="s">
        <v>37</v>
      </c>
      <c r="C2484" s="2">
        <v>45736</v>
      </c>
      <c r="D2484" s="2" t="str">
        <f>CHOOSE(MONTH(branches[[#This Row],[Дата]]),"Январь","Февраль","Март","Апрель","Май","Июнь","Июль","Август","Сентябрь","Октябрь","Ноябрь","Декабрь")&amp;" "&amp;YEAR(branches[[#This Row],[Дата]])</f>
        <v>Март 2025</v>
      </c>
      <c r="E2484" t="s">
        <v>24</v>
      </c>
      <c r="F2484" t="s">
        <v>17</v>
      </c>
      <c r="G2484">
        <v>1</v>
      </c>
      <c r="H2484">
        <v>382</v>
      </c>
      <c r="I2484" t="s">
        <v>33</v>
      </c>
      <c r="J2484" t="str">
        <f>_xlfn.XLOOKUP(branches[[#This Row],[Филиал]], tbl_Filialy[Филиал], tbl_Filialy[Менеджер])</f>
        <v>Ольга Кузнецова</v>
      </c>
    </row>
    <row r="2485" spans="1:10" x14ac:dyDescent="0.3">
      <c r="A2485" t="str">
        <f>_xlfn.XLOOKUP(branches[[#This Row],[Филиал]], tbl_Filialy[Филиал], tbl_Filialy[Город])</f>
        <v>Новосибирск</v>
      </c>
      <c r="B2485" s="1" t="s">
        <v>37</v>
      </c>
      <c r="C2485" s="2">
        <v>45739</v>
      </c>
      <c r="D2485" s="2" t="str">
        <f>CHOOSE(MONTH(branches[[#This Row],[Дата]]),"Январь","Февраль","Март","Апрель","Май","Июнь","Июль","Август","Сентябрь","Октябрь","Ноябрь","Декабрь")&amp;" "&amp;YEAR(branches[[#This Row],[Дата]])</f>
        <v>Март 2025</v>
      </c>
      <c r="E2485" t="s">
        <v>20</v>
      </c>
      <c r="F2485" t="s">
        <v>12</v>
      </c>
      <c r="G2485">
        <v>3</v>
      </c>
      <c r="H2485">
        <v>855</v>
      </c>
      <c r="I2485" t="s">
        <v>13</v>
      </c>
      <c r="J2485" t="str">
        <f>_xlfn.XLOOKUP(branches[[#This Row],[Филиал]], tbl_Filialy[Филиал], tbl_Filialy[Менеджер])</f>
        <v>Ольга Кузнецова</v>
      </c>
    </row>
    <row r="2486" spans="1:10" x14ac:dyDescent="0.3">
      <c r="A2486" t="str">
        <f>_xlfn.XLOOKUP(branches[[#This Row],[Филиал]], tbl_Filialy[Филиал], tbl_Filialy[Город])</f>
        <v>Новосибирск</v>
      </c>
      <c r="B2486" s="1" t="s">
        <v>37</v>
      </c>
      <c r="C2486" s="2">
        <v>45944</v>
      </c>
      <c r="D2486" s="2" t="str">
        <f>CHOOSE(MONTH(branches[[#This Row],[Дата]]),"Январь","Февраль","Март","Апрель","Май","Июнь","Июль","Август","Сентябрь","Октябрь","Ноябрь","Декабрь")&amp;" "&amp;YEAR(branches[[#This Row],[Дата]])</f>
        <v>Октябрь 2025</v>
      </c>
      <c r="E2486" t="s">
        <v>20</v>
      </c>
      <c r="F2486" t="s">
        <v>12</v>
      </c>
      <c r="G2486">
        <v>1</v>
      </c>
      <c r="H2486">
        <v>282</v>
      </c>
      <c r="I2486" t="s">
        <v>19</v>
      </c>
      <c r="J2486" t="str">
        <f>_xlfn.XLOOKUP(branches[[#This Row],[Филиал]], tbl_Filialy[Филиал], tbl_Filialy[Менеджер])</f>
        <v>Ольга Кузнецова</v>
      </c>
    </row>
    <row r="2487" spans="1:10" x14ac:dyDescent="0.3">
      <c r="A2487" t="str">
        <f>_xlfn.XLOOKUP(branches[[#This Row],[Филиал]], tbl_Filialy[Филиал], tbl_Filialy[Город])</f>
        <v>Новосибирск</v>
      </c>
      <c r="B2487" s="1" t="s">
        <v>37</v>
      </c>
      <c r="C2487" s="2">
        <v>45698</v>
      </c>
      <c r="D2487" s="2" t="str">
        <f>CHOOSE(MONTH(branches[[#This Row],[Дата]]),"Январь","Февраль","Март","Апрель","Май","Июнь","Июль","Август","Сентябрь","Октябрь","Ноябрь","Декабрь")&amp;" "&amp;YEAR(branches[[#This Row],[Дата]])</f>
        <v>Февраль 2025</v>
      </c>
      <c r="E2487" t="s">
        <v>14</v>
      </c>
      <c r="F2487" t="s">
        <v>12</v>
      </c>
      <c r="G2487">
        <v>1</v>
      </c>
      <c r="H2487">
        <v>257</v>
      </c>
      <c r="I2487" t="s">
        <v>35</v>
      </c>
      <c r="J2487" t="str">
        <f>_xlfn.XLOOKUP(branches[[#This Row],[Филиал]], tbl_Filialy[Филиал], tbl_Filialy[Менеджер])</f>
        <v>Ольга Кузнецова</v>
      </c>
    </row>
    <row r="2488" spans="1:10" x14ac:dyDescent="0.3">
      <c r="A2488" t="str">
        <f>_xlfn.XLOOKUP(branches[[#This Row],[Филиал]], tbl_Filialy[Филиал], tbl_Filialy[Город])</f>
        <v>Новосибирск</v>
      </c>
      <c r="B2488" s="1" t="s">
        <v>37</v>
      </c>
      <c r="C2488" s="2">
        <v>45984</v>
      </c>
      <c r="D2488" s="2" t="str">
        <f>CHOOSE(MONTH(branches[[#This Row],[Дата]]),"Январь","Февраль","Март","Апрель","Май","Июнь","Июль","Август","Сентябрь","Октябрь","Ноябрь","Декабрь")&amp;" "&amp;YEAR(branches[[#This Row],[Дата]])</f>
        <v>Ноябрь 2025</v>
      </c>
      <c r="E2488" t="s">
        <v>8</v>
      </c>
      <c r="F2488" t="s">
        <v>9</v>
      </c>
      <c r="G2488">
        <v>1</v>
      </c>
      <c r="H2488">
        <v>224</v>
      </c>
      <c r="I2488" t="s">
        <v>13</v>
      </c>
      <c r="J2488" t="str">
        <f>_xlfn.XLOOKUP(branches[[#This Row],[Филиал]], tbl_Filialy[Филиал], tbl_Filialy[Менеджер])</f>
        <v>Ольга Кузнецова</v>
      </c>
    </row>
    <row r="2489" spans="1:10" x14ac:dyDescent="0.3">
      <c r="A2489" t="str">
        <f>_xlfn.XLOOKUP(branches[[#This Row],[Филиал]], tbl_Filialy[Филиал], tbl_Filialy[Город])</f>
        <v>Новосибирск</v>
      </c>
      <c r="B2489" s="1" t="s">
        <v>37</v>
      </c>
      <c r="C2489" s="2">
        <v>45674</v>
      </c>
      <c r="D2489" s="2" t="str">
        <f>CHOOSE(MONTH(branches[[#This Row],[Дата]]),"Январь","Февраль","Март","Апрель","Май","Июнь","Июль","Август","Сентябрь","Октябрь","Ноябрь","Декабрь")&amp;" "&amp;YEAR(branches[[#This Row],[Дата]])</f>
        <v>Январь 2025</v>
      </c>
      <c r="E2489" t="s">
        <v>8</v>
      </c>
      <c r="F2489" t="s">
        <v>9</v>
      </c>
      <c r="G2489">
        <v>2</v>
      </c>
      <c r="H2489">
        <v>514</v>
      </c>
      <c r="I2489" t="s">
        <v>33</v>
      </c>
      <c r="J2489" t="str">
        <f>_xlfn.XLOOKUP(branches[[#This Row],[Филиал]], tbl_Filialy[Филиал], tbl_Filialy[Менеджер])</f>
        <v>Ольга Кузнецова</v>
      </c>
    </row>
    <row r="2490" spans="1:10" x14ac:dyDescent="0.3">
      <c r="A2490" t="str">
        <f>_xlfn.XLOOKUP(branches[[#This Row],[Филиал]], tbl_Filialy[Филиал], tbl_Filialy[Город])</f>
        <v>Новосибирск</v>
      </c>
      <c r="B2490" s="1" t="s">
        <v>37</v>
      </c>
      <c r="C2490" s="2">
        <v>45823</v>
      </c>
      <c r="D2490" s="2" t="str">
        <f>CHOOSE(MONTH(branches[[#This Row],[Дата]]),"Январь","Февраль","Март","Апрель","Май","Июнь","Июль","Август","Сентябрь","Октябрь","Ноябрь","Декабрь")&amp;" "&amp;YEAR(branches[[#This Row],[Дата]])</f>
        <v>Июнь 2025</v>
      </c>
      <c r="E2490" t="s">
        <v>8</v>
      </c>
      <c r="F2490" t="s">
        <v>9</v>
      </c>
      <c r="G2490">
        <v>3</v>
      </c>
      <c r="H2490">
        <v>663</v>
      </c>
      <c r="I2490" t="s">
        <v>33</v>
      </c>
      <c r="J2490" t="str">
        <f>_xlfn.XLOOKUP(branches[[#This Row],[Филиал]], tbl_Filialy[Филиал], tbl_Filialy[Менеджер])</f>
        <v>Ольга Кузнецова</v>
      </c>
    </row>
    <row r="2491" spans="1:10" x14ac:dyDescent="0.3">
      <c r="A2491" t="str">
        <f>_xlfn.XLOOKUP(branches[[#This Row],[Филиал]], tbl_Filialy[Филиал], tbl_Filialy[Город])</f>
        <v>Новосибирск</v>
      </c>
      <c r="B2491" s="1" t="s">
        <v>37</v>
      </c>
      <c r="C2491" s="2">
        <v>45756</v>
      </c>
      <c r="D2491" s="2" t="str">
        <f>CHOOSE(MONTH(branches[[#This Row],[Дата]]),"Январь","Февраль","Март","Апрель","Май","Июнь","Июль","Август","Сентябрь","Октябрь","Ноябрь","Декабрь")&amp;" "&amp;YEAR(branches[[#This Row],[Дата]])</f>
        <v>Апрель 2025</v>
      </c>
      <c r="E2491" t="s">
        <v>16</v>
      </c>
      <c r="F2491" t="s">
        <v>17</v>
      </c>
      <c r="G2491">
        <v>2</v>
      </c>
      <c r="H2491">
        <v>568</v>
      </c>
      <c r="I2491" t="s">
        <v>33</v>
      </c>
      <c r="J2491" t="str">
        <f>_xlfn.XLOOKUP(branches[[#This Row],[Филиал]], tbl_Filialy[Филиал], tbl_Filialy[Менеджер])</f>
        <v>Ольга Кузнецова</v>
      </c>
    </row>
    <row r="2492" spans="1:10" x14ac:dyDescent="0.3">
      <c r="A2492" t="str">
        <f>_xlfn.XLOOKUP(branches[[#This Row],[Филиал]], tbl_Filialy[Филиал], tbl_Filialy[Город])</f>
        <v>Новосибирск</v>
      </c>
      <c r="B2492" s="1" t="s">
        <v>37</v>
      </c>
      <c r="C2492" s="2">
        <v>45658</v>
      </c>
      <c r="D2492" s="2" t="str">
        <f>CHOOSE(MONTH(branches[[#This Row],[Дата]]),"Январь","Февраль","Март","Апрель","Май","Июнь","Июль","Август","Сентябрь","Октябрь","Ноябрь","Декабрь")&amp;" "&amp;YEAR(branches[[#This Row],[Дата]])</f>
        <v>Январь 2025</v>
      </c>
      <c r="E2492" t="s">
        <v>25</v>
      </c>
      <c r="F2492" t="s">
        <v>12</v>
      </c>
      <c r="G2492">
        <v>3</v>
      </c>
      <c r="H2492">
        <v>630</v>
      </c>
      <c r="I2492" t="s">
        <v>32</v>
      </c>
      <c r="J2492" t="str">
        <f>_xlfn.XLOOKUP(branches[[#This Row],[Филиал]], tbl_Filialy[Филиал], tbl_Filialy[Менеджер])</f>
        <v>Ольга Кузнецова</v>
      </c>
    </row>
    <row r="2493" spans="1:10" x14ac:dyDescent="0.3">
      <c r="A2493" t="str">
        <f>_xlfn.XLOOKUP(branches[[#This Row],[Филиал]], tbl_Filialy[Филиал], tbl_Filialy[Город])</f>
        <v>Новосибирск</v>
      </c>
      <c r="B2493" s="1" t="s">
        <v>37</v>
      </c>
      <c r="C2493" s="2">
        <v>45756</v>
      </c>
      <c r="D2493" s="2" t="str">
        <f>CHOOSE(MONTH(branches[[#This Row],[Дата]]),"Январь","Февраль","Март","Апрель","Май","Июнь","Июль","Август","Сентябрь","Октябрь","Ноябрь","Декабрь")&amp;" "&amp;YEAR(branches[[#This Row],[Дата]])</f>
        <v>Апрель 2025</v>
      </c>
      <c r="E2493" t="s">
        <v>8</v>
      </c>
      <c r="F2493" t="s">
        <v>9</v>
      </c>
      <c r="G2493">
        <v>3</v>
      </c>
      <c r="H2493">
        <v>810</v>
      </c>
      <c r="I2493" t="s">
        <v>19</v>
      </c>
      <c r="J2493" t="str">
        <f>_xlfn.XLOOKUP(branches[[#This Row],[Филиал]], tbl_Filialy[Филиал], tbl_Filialy[Менеджер])</f>
        <v>Ольга Кузнецова</v>
      </c>
    </row>
    <row r="2494" spans="1:10" x14ac:dyDescent="0.3">
      <c r="A2494" t="str">
        <f>_xlfn.XLOOKUP(branches[[#This Row],[Филиал]], tbl_Filialy[Филиал], tbl_Filialy[Город])</f>
        <v>Новосибирск</v>
      </c>
      <c r="B2494" s="1" t="s">
        <v>37</v>
      </c>
      <c r="C2494" s="2">
        <v>45740</v>
      </c>
      <c r="D2494" s="2" t="str">
        <f>CHOOSE(MONTH(branches[[#This Row],[Дата]]),"Январь","Февраль","Март","Апрель","Май","Июнь","Июль","Август","Сентябрь","Октябрь","Ноябрь","Декабрь")&amp;" "&amp;YEAR(branches[[#This Row],[Дата]])</f>
        <v>Март 2025</v>
      </c>
      <c r="E2494" t="s">
        <v>26</v>
      </c>
      <c r="F2494" t="s">
        <v>9</v>
      </c>
      <c r="G2494">
        <v>1</v>
      </c>
      <c r="H2494">
        <v>191</v>
      </c>
      <c r="I2494" t="s">
        <v>13</v>
      </c>
      <c r="J2494" t="str">
        <f>_xlfn.XLOOKUP(branches[[#This Row],[Филиал]], tbl_Filialy[Филиал], tbl_Filialy[Менеджер])</f>
        <v>Ольга Кузнецова</v>
      </c>
    </row>
    <row r="2495" spans="1:10" x14ac:dyDescent="0.3">
      <c r="A2495" t="str">
        <f>_xlfn.XLOOKUP(branches[[#This Row],[Филиал]], tbl_Filialy[Филиал], tbl_Filialy[Город])</f>
        <v>Новосибирск</v>
      </c>
      <c r="B2495" s="1" t="s">
        <v>37</v>
      </c>
      <c r="C2495" s="2">
        <v>45701</v>
      </c>
      <c r="D2495" s="2" t="str">
        <f>CHOOSE(MONTH(branches[[#This Row],[Дата]]),"Январь","Февраль","Март","Апрель","Май","Июнь","Июль","Август","Сентябрь","Октябрь","Ноябрь","Декабрь")&amp;" "&amp;YEAR(branches[[#This Row],[Дата]])</f>
        <v>Февраль 2025</v>
      </c>
      <c r="E2495" t="s">
        <v>8</v>
      </c>
      <c r="F2495" t="s">
        <v>9</v>
      </c>
      <c r="G2495">
        <v>1</v>
      </c>
      <c r="H2495">
        <v>252</v>
      </c>
      <c r="I2495" t="s">
        <v>33</v>
      </c>
      <c r="J2495" t="str">
        <f>_xlfn.XLOOKUP(branches[[#This Row],[Филиал]], tbl_Filialy[Филиал], tbl_Filialy[Менеджер])</f>
        <v>Ольга Кузнецова</v>
      </c>
    </row>
    <row r="2496" spans="1:10" x14ac:dyDescent="0.3">
      <c r="A2496" t="str">
        <f>_xlfn.XLOOKUP(branches[[#This Row],[Филиал]], tbl_Filialy[Филиал], tbl_Filialy[Город])</f>
        <v>Новосибирск</v>
      </c>
      <c r="B2496" s="1" t="s">
        <v>37</v>
      </c>
      <c r="C2496" s="2">
        <v>45698</v>
      </c>
      <c r="D2496" s="2" t="str">
        <f>CHOOSE(MONTH(branches[[#This Row],[Дата]]),"Январь","Февраль","Март","Апрель","Май","Июнь","Июль","Август","Сентябрь","Октябрь","Ноябрь","Декабрь")&amp;" "&amp;YEAR(branches[[#This Row],[Дата]])</f>
        <v>Февраль 2025</v>
      </c>
      <c r="E2496" t="s">
        <v>22</v>
      </c>
      <c r="F2496" t="s">
        <v>9</v>
      </c>
      <c r="G2496">
        <v>1</v>
      </c>
      <c r="H2496">
        <v>186</v>
      </c>
      <c r="I2496" t="s">
        <v>35</v>
      </c>
      <c r="J2496" t="str">
        <f>_xlfn.XLOOKUP(branches[[#This Row],[Филиал]], tbl_Filialy[Филиал], tbl_Filialy[Менеджер])</f>
        <v>Ольга Кузнецова</v>
      </c>
    </row>
    <row r="2497" spans="1:10" x14ac:dyDescent="0.3">
      <c r="A2497" t="str">
        <f>_xlfn.XLOOKUP(branches[[#This Row],[Филиал]], tbl_Filialy[Филиал], tbl_Filialy[Город])</f>
        <v>Новосибирск</v>
      </c>
      <c r="B2497" s="1" t="s">
        <v>37</v>
      </c>
      <c r="C2497" s="2">
        <v>45946</v>
      </c>
      <c r="D2497" s="2" t="str">
        <f>CHOOSE(MONTH(branches[[#This Row],[Дата]]),"Январь","Февраль","Март","Апрель","Май","Июнь","Июль","Август","Сентябрь","Октябрь","Ноябрь","Декабрь")&amp;" "&amp;YEAR(branches[[#This Row],[Дата]])</f>
        <v>Октябрь 2025</v>
      </c>
      <c r="E2497" t="s">
        <v>22</v>
      </c>
      <c r="F2497" t="s">
        <v>9</v>
      </c>
      <c r="G2497">
        <v>1</v>
      </c>
      <c r="H2497">
        <v>197</v>
      </c>
      <c r="I2497" t="s">
        <v>13</v>
      </c>
      <c r="J2497" t="str">
        <f>_xlfn.XLOOKUP(branches[[#This Row],[Филиал]], tbl_Filialy[Филиал], tbl_Filialy[Менеджер])</f>
        <v>Ольга Кузнецова</v>
      </c>
    </row>
    <row r="2498" spans="1:10" x14ac:dyDescent="0.3">
      <c r="A2498" t="str">
        <f>_xlfn.XLOOKUP(branches[[#This Row],[Филиал]], tbl_Filialy[Филиал], tbl_Filialy[Город])</f>
        <v>Новосибирск</v>
      </c>
      <c r="B2498" s="1" t="s">
        <v>37</v>
      </c>
      <c r="C2498" s="2">
        <v>45949</v>
      </c>
      <c r="D2498" s="2" t="str">
        <f>CHOOSE(MONTH(branches[[#This Row],[Дата]]),"Январь","Февраль","Март","Апрель","Май","Июнь","Июль","Август","Сентябрь","Октябрь","Ноябрь","Декабрь")&amp;" "&amp;YEAR(branches[[#This Row],[Дата]])</f>
        <v>Октябрь 2025</v>
      </c>
      <c r="E2498" t="s">
        <v>16</v>
      </c>
      <c r="F2498" t="s">
        <v>17</v>
      </c>
      <c r="G2498">
        <v>2</v>
      </c>
      <c r="H2498">
        <v>668</v>
      </c>
      <c r="I2498" t="s">
        <v>13</v>
      </c>
      <c r="J2498" t="str">
        <f>_xlfn.XLOOKUP(branches[[#This Row],[Филиал]], tbl_Filialy[Филиал], tbl_Filialy[Менеджер])</f>
        <v>Ольга Кузнецова</v>
      </c>
    </row>
    <row r="2499" spans="1:10" x14ac:dyDescent="0.3">
      <c r="A2499" t="str">
        <f>_xlfn.XLOOKUP(branches[[#This Row],[Филиал]], tbl_Filialy[Филиал], tbl_Filialy[Город])</f>
        <v>Новосибирск</v>
      </c>
      <c r="B2499" s="1" t="s">
        <v>37</v>
      </c>
      <c r="C2499" s="2">
        <v>45992</v>
      </c>
      <c r="D2499" s="2" t="str">
        <f>CHOOSE(MONTH(branches[[#This Row],[Дата]]),"Январь","Февраль","Март","Апрель","Май","Июнь","Июль","Август","Сентябрь","Октябрь","Ноябрь","Декабрь")&amp;" "&amp;YEAR(branches[[#This Row],[Дата]])</f>
        <v>Декабрь 2025</v>
      </c>
      <c r="E2499" t="s">
        <v>25</v>
      </c>
      <c r="F2499" t="s">
        <v>12</v>
      </c>
      <c r="G2499">
        <v>1</v>
      </c>
      <c r="H2499">
        <v>226</v>
      </c>
      <c r="I2499" t="s">
        <v>33</v>
      </c>
      <c r="J2499" t="str">
        <f>_xlfn.XLOOKUP(branches[[#This Row],[Филиал]], tbl_Filialy[Филиал], tbl_Filialy[Менеджер])</f>
        <v>Ольга Кузнецова</v>
      </c>
    </row>
    <row r="2500" spans="1:10" x14ac:dyDescent="0.3">
      <c r="A2500" t="str">
        <f>_xlfn.XLOOKUP(branches[[#This Row],[Филиал]], tbl_Filialy[Филиал], tbl_Filialy[Город])</f>
        <v>Новосибирск</v>
      </c>
      <c r="B2500" s="1" t="s">
        <v>37</v>
      </c>
      <c r="C2500" s="2">
        <v>45699</v>
      </c>
      <c r="D2500" s="2" t="str">
        <f>CHOOSE(MONTH(branches[[#This Row],[Дата]]),"Январь","Февраль","Март","Апрель","Май","Июнь","Июль","Август","Сентябрь","Октябрь","Ноябрь","Декабрь")&amp;" "&amp;YEAR(branches[[#This Row],[Дата]])</f>
        <v>Февраль 2025</v>
      </c>
      <c r="E2500" t="s">
        <v>22</v>
      </c>
      <c r="F2500" t="s">
        <v>9</v>
      </c>
      <c r="G2500">
        <v>2</v>
      </c>
      <c r="H2500">
        <v>346</v>
      </c>
      <c r="I2500" t="s">
        <v>35</v>
      </c>
      <c r="J2500" t="str">
        <f>_xlfn.XLOOKUP(branches[[#This Row],[Филиал]], tbl_Filialy[Филиал], tbl_Filialy[Менеджер])</f>
        <v>Ольга Кузнецова</v>
      </c>
    </row>
    <row r="2501" spans="1:10" x14ac:dyDescent="0.3">
      <c r="A2501" t="str">
        <f>_xlfn.XLOOKUP(branches[[#This Row],[Филиал]], tbl_Filialy[Филиал], tbl_Filialy[Город])</f>
        <v>Новосибирск</v>
      </c>
      <c r="B2501" s="1" t="s">
        <v>37</v>
      </c>
      <c r="C2501" s="2">
        <v>45667</v>
      </c>
      <c r="D2501" s="2" t="str">
        <f>CHOOSE(MONTH(branches[[#This Row],[Дата]]),"Январь","Февраль","Март","Апрель","Май","Июнь","Июль","Август","Сентябрь","Октябрь","Ноябрь","Декабрь")&amp;" "&amp;YEAR(branches[[#This Row],[Дата]])</f>
        <v>Январь 2025</v>
      </c>
      <c r="E2501" t="s">
        <v>22</v>
      </c>
      <c r="F2501" t="s">
        <v>9</v>
      </c>
      <c r="G2501">
        <v>2</v>
      </c>
      <c r="H2501">
        <v>342</v>
      </c>
      <c r="I2501" t="s">
        <v>13</v>
      </c>
      <c r="J2501" t="str">
        <f>_xlfn.XLOOKUP(branches[[#This Row],[Филиал]], tbl_Filialy[Филиал], tbl_Filialy[Менеджер])</f>
        <v>Ольга Кузнецова</v>
      </c>
    </row>
    <row r="2502" spans="1:10" x14ac:dyDescent="0.3">
      <c r="A2502" t="str">
        <f>_xlfn.XLOOKUP(branches[[#This Row],[Филиал]], tbl_Filialy[Филиал], tbl_Filialy[Город])</f>
        <v>Новосибирск</v>
      </c>
      <c r="B2502" s="1" t="s">
        <v>37</v>
      </c>
      <c r="C2502" s="2">
        <v>45781</v>
      </c>
      <c r="D2502" s="2" t="str">
        <f>CHOOSE(MONTH(branches[[#This Row],[Дата]]),"Январь","Февраль","Март","Апрель","Май","Июнь","Июль","Август","Сентябрь","Октябрь","Ноябрь","Декабрь")&amp;" "&amp;YEAR(branches[[#This Row],[Дата]])</f>
        <v>Май 2025</v>
      </c>
      <c r="E2502" t="s">
        <v>20</v>
      </c>
      <c r="F2502" t="s">
        <v>12</v>
      </c>
      <c r="G2502">
        <v>2</v>
      </c>
      <c r="H2502">
        <v>582</v>
      </c>
      <c r="I2502" t="s">
        <v>13</v>
      </c>
      <c r="J2502" t="str">
        <f>_xlfn.XLOOKUP(branches[[#This Row],[Филиал]], tbl_Filialy[Филиал], tbl_Filialy[Менеджер])</f>
        <v>Ольга Кузнецова</v>
      </c>
    </row>
    <row r="2503" spans="1:10" x14ac:dyDescent="0.3">
      <c r="A2503" t="str">
        <f>_xlfn.XLOOKUP(branches[[#This Row],[Филиал]], tbl_Filialy[Филиал], tbl_Filialy[Город])</f>
        <v>Новосибирск</v>
      </c>
      <c r="B2503" s="1" t="s">
        <v>37</v>
      </c>
      <c r="C2503" s="2">
        <v>45979</v>
      </c>
      <c r="D2503" s="2" t="str">
        <f>CHOOSE(MONTH(branches[[#This Row],[Дата]]),"Январь","Февраль","Март","Апрель","Май","Июнь","Июль","Август","Сентябрь","Октябрь","Ноябрь","Декабрь")&amp;" "&amp;YEAR(branches[[#This Row],[Дата]])</f>
        <v>Ноябрь 2025</v>
      </c>
      <c r="E2503" t="s">
        <v>25</v>
      </c>
      <c r="F2503" t="s">
        <v>12</v>
      </c>
      <c r="G2503">
        <v>1</v>
      </c>
      <c r="H2503">
        <v>244</v>
      </c>
      <c r="I2503" t="s">
        <v>35</v>
      </c>
      <c r="J2503" t="str">
        <f>_xlfn.XLOOKUP(branches[[#This Row],[Филиал]], tbl_Filialy[Филиал], tbl_Filialy[Менеджер])</f>
        <v>Ольга Кузнецова</v>
      </c>
    </row>
    <row r="2504" spans="1:10" x14ac:dyDescent="0.3">
      <c r="A2504" t="str">
        <f>_xlfn.XLOOKUP(branches[[#This Row],[Филиал]], tbl_Filialy[Филиал], tbl_Filialy[Город])</f>
        <v>Новосибирск</v>
      </c>
      <c r="B2504" s="1" t="s">
        <v>37</v>
      </c>
      <c r="C2504" s="2">
        <v>45913</v>
      </c>
      <c r="D2504" s="2" t="str">
        <f>CHOOSE(MONTH(branches[[#This Row],[Дата]]),"Январь","Февраль","Март","Апрель","Май","Июнь","Июль","Август","Сентябрь","Октябрь","Ноябрь","Декабрь")&amp;" "&amp;YEAR(branches[[#This Row],[Дата]])</f>
        <v>Сентябрь 2025</v>
      </c>
      <c r="E2504" t="s">
        <v>24</v>
      </c>
      <c r="F2504" t="s">
        <v>17</v>
      </c>
      <c r="G2504">
        <v>3</v>
      </c>
      <c r="H2504">
        <v>1083</v>
      </c>
      <c r="I2504" t="s">
        <v>19</v>
      </c>
      <c r="J2504" t="str">
        <f>_xlfn.XLOOKUP(branches[[#This Row],[Филиал]], tbl_Filialy[Филиал], tbl_Filialy[Менеджер])</f>
        <v>Ольга Кузнецова</v>
      </c>
    </row>
    <row r="2505" spans="1:10" x14ac:dyDescent="0.3">
      <c r="A2505" t="str">
        <f>_xlfn.XLOOKUP(branches[[#This Row],[Филиал]], tbl_Filialy[Филиал], tbl_Filialy[Город])</f>
        <v>Новосибирск</v>
      </c>
      <c r="B2505" s="1" t="s">
        <v>37</v>
      </c>
      <c r="C2505" s="2">
        <v>46010</v>
      </c>
      <c r="D2505" s="2" t="str">
        <f>CHOOSE(MONTH(branches[[#This Row],[Дата]]),"Январь","Февраль","Март","Апрель","Май","Июнь","Июль","Август","Сентябрь","Октябрь","Ноябрь","Декабрь")&amp;" "&amp;YEAR(branches[[#This Row],[Дата]])</f>
        <v>Декабрь 2025</v>
      </c>
      <c r="E2505" t="s">
        <v>28</v>
      </c>
      <c r="F2505" t="s">
        <v>12</v>
      </c>
      <c r="G2505">
        <v>1</v>
      </c>
      <c r="H2505">
        <v>257</v>
      </c>
      <c r="I2505" t="s">
        <v>35</v>
      </c>
      <c r="J2505" t="str">
        <f>_xlfn.XLOOKUP(branches[[#This Row],[Филиал]], tbl_Filialy[Филиал], tbl_Filialy[Менеджер])</f>
        <v>Ольга Кузнецова</v>
      </c>
    </row>
    <row r="2506" spans="1:10" x14ac:dyDescent="0.3">
      <c r="A2506" t="str">
        <f>_xlfn.XLOOKUP(branches[[#This Row],[Филиал]], tbl_Filialy[Филиал], tbl_Filialy[Город])</f>
        <v>Новосибирск</v>
      </c>
      <c r="B2506" s="1" t="s">
        <v>37</v>
      </c>
      <c r="C2506" s="2">
        <v>45935</v>
      </c>
      <c r="D2506" s="2" t="str">
        <f>CHOOSE(MONTH(branches[[#This Row],[Дата]]),"Январь","Февраль","Март","Апрель","Май","Июнь","Июль","Август","Сентябрь","Октябрь","Ноябрь","Декабрь")&amp;" "&amp;YEAR(branches[[#This Row],[Дата]])</f>
        <v>Октябрь 2025</v>
      </c>
      <c r="E2506" t="s">
        <v>8</v>
      </c>
      <c r="F2506" t="s">
        <v>9</v>
      </c>
      <c r="G2506">
        <v>2</v>
      </c>
      <c r="H2506">
        <v>538</v>
      </c>
      <c r="I2506" t="s">
        <v>34</v>
      </c>
      <c r="J2506" t="str">
        <f>_xlfn.XLOOKUP(branches[[#This Row],[Филиал]], tbl_Filialy[Филиал], tbl_Filialy[Менеджер])</f>
        <v>Ольга Кузнецова</v>
      </c>
    </row>
    <row r="2507" spans="1:10" x14ac:dyDescent="0.3">
      <c r="A2507" t="str">
        <f>_xlfn.XLOOKUP(branches[[#This Row],[Филиал]], tbl_Filialy[Филиал], tbl_Filialy[Город])</f>
        <v>Новосибирск</v>
      </c>
      <c r="B2507" s="1" t="s">
        <v>37</v>
      </c>
      <c r="C2507" s="2">
        <v>45903</v>
      </c>
      <c r="D2507" s="2" t="str">
        <f>CHOOSE(MONTH(branches[[#This Row],[Дата]]),"Январь","Февраль","Март","Апрель","Май","Июнь","Июль","Август","Сентябрь","Октябрь","Ноябрь","Декабрь")&amp;" "&amp;YEAR(branches[[#This Row],[Дата]])</f>
        <v>Сентябрь 2025</v>
      </c>
      <c r="E2507" t="s">
        <v>25</v>
      </c>
      <c r="F2507" t="s">
        <v>12</v>
      </c>
      <c r="G2507">
        <v>1</v>
      </c>
      <c r="H2507">
        <v>208</v>
      </c>
      <c r="I2507" t="s">
        <v>34</v>
      </c>
      <c r="J2507" t="str">
        <f>_xlfn.XLOOKUP(branches[[#This Row],[Филиал]], tbl_Filialy[Филиал], tbl_Filialy[Менеджер])</f>
        <v>Ольга Кузнецова</v>
      </c>
    </row>
    <row r="2508" spans="1:10" x14ac:dyDescent="0.3">
      <c r="A2508" t="str">
        <f>_xlfn.XLOOKUP(branches[[#This Row],[Филиал]], tbl_Filialy[Филиал], tbl_Filialy[Город])</f>
        <v>Новосибирск</v>
      </c>
      <c r="B2508" s="1" t="s">
        <v>37</v>
      </c>
      <c r="C2508" s="2">
        <v>46010</v>
      </c>
      <c r="D2508" s="2" t="str">
        <f>CHOOSE(MONTH(branches[[#This Row],[Дата]]),"Январь","Февраль","Март","Апрель","Май","Июнь","Июль","Август","Сентябрь","Октябрь","Ноябрь","Декабрь")&amp;" "&amp;YEAR(branches[[#This Row],[Дата]])</f>
        <v>Декабрь 2025</v>
      </c>
      <c r="E2508" t="s">
        <v>14</v>
      </c>
      <c r="F2508" t="s">
        <v>12</v>
      </c>
      <c r="G2508">
        <v>2</v>
      </c>
      <c r="H2508">
        <v>546</v>
      </c>
      <c r="I2508" t="s">
        <v>35</v>
      </c>
      <c r="J2508" t="str">
        <f>_xlfn.XLOOKUP(branches[[#This Row],[Филиал]], tbl_Filialy[Филиал], tbl_Filialy[Менеджер])</f>
        <v>Ольга Кузнецова</v>
      </c>
    </row>
    <row r="2509" spans="1:10" x14ac:dyDescent="0.3">
      <c r="A2509" t="str">
        <f>_xlfn.XLOOKUP(branches[[#This Row],[Филиал]], tbl_Filialy[Филиал], tbl_Filialy[Город])</f>
        <v>Новосибирск</v>
      </c>
      <c r="B2509" s="1" t="s">
        <v>37</v>
      </c>
      <c r="C2509" s="2">
        <v>45695</v>
      </c>
      <c r="D2509" s="2" t="str">
        <f>CHOOSE(MONTH(branches[[#This Row],[Дата]]),"Январь","Февраль","Март","Апрель","Май","Июнь","Июль","Август","Сентябрь","Октябрь","Ноябрь","Декабрь")&amp;" "&amp;YEAR(branches[[#This Row],[Дата]])</f>
        <v>Февраль 2025</v>
      </c>
      <c r="E2509" t="s">
        <v>27</v>
      </c>
      <c r="F2509" t="s">
        <v>12</v>
      </c>
      <c r="G2509">
        <v>1</v>
      </c>
      <c r="H2509">
        <v>224</v>
      </c>
      <c r="I2509" t="s">
        <v>13</v>
      </c>
      <c r="J2509" t="str">
        <f>_xlfn.XLOOKUP(branches[[#This Row],[Филиал]], tbl_Filialy[Филиал], tbl_Filialy[Менеджер])</f>
        <v>Ольга Кузнецова</v>
      </c>
    </row>
    <row r="2510" spans="1:10" x14ac:dyDescent="0.3">
      <c r="A2510" t="str">
        <f>_xlfn.XLOOKUP(branches[[#This Row],[Филиал]], tbl_Filialy[Филиал], tbl_Filialy[Город])</f>
        <v>Новосибирск</v>
      </c>
      <c r="B2510" s="1" t="s">
        <v>37</v>
      </c>
      <c r="C2510" s="2">
        <v>45858</v>
      </c>
      <c r="D2510" s="2" t="str">
        <f>CHOOSE(MONTH(branches[[#This Row],[Дата]]),"Январь","Февраль","Март","Апрель","Май","Июнь","Июль","Август","Сентябрь","Октябрь","Ноябрь","Декабрь")&amp;" "&amp;YEAR(branches[[#This Row],[Дата]])</f>
        <v>Июль 2025</v>
      </c>
      <c r="E2510" t="s">
        <v>18</v>
      </c>
      <c r="F2510" t="s">
        <v>12</v>
      </c>
      <c r="G2510">
        <v>2</v>
      </c>
      <c r="H2510">
        <v>320</v>
      </c>
      <c r="I2510" t="s">
        <v>33</v>
      </c>
      <c r="J2510" t="str">
        <f>_xlfn.XLOOKUP(branches[[#This Row],[Филиал]], tbl_Filialy[Филиал], tbl_Filialy[Менеджер])</f>
        <v>Ольга Кузнецова</v>
      </c>
    </row>
    <row r="2511" spans="1:10" x14ac:dyDescent="0.3">
      <c r="A2511" t="str">
        <f>_xlfn.XLOOKUP(branches[[#This Row],[Филиал]], tbl_Filialy[Филиал], tbl_Filialy[Город])</f>
        <v>Новосибирск</v>
      </c>
      <c r="B2511" s="1" t="s">
        <v>37</v>
      </c>
      <c r="C2511" s="2">
        <v>45866</v>
      </c>
      <c r="D2511" s="2" t="str">
        <f>CHOOSE(MONTH(branches[[#This Row],[Дата]]),"Январь","Февраль","Март","Апрель","Май","Июнь","Июль","Август","Сентябрь","Октябрь","Ноябрь","Декабрь")&amp;" "&amp;YEAR(branches[[#This Row],[Дата]])</f>
        <v>Июль 2025</v>
      </c>
      <c r="E2511" t="s">
        <v>16</v>
      </c>
      <c r="F2511" t="s">
        <v>17</v>
      </c>
      <c r="G2511">
        <v>1</v>
      </c>
      <c r="H2511">
        <v>292</v>
      </c>
      <c r="I2511" t="s">
        <v>33</v>
      </c>
      <c r="J2511" t="str">
        <f>_xlfn.XLOOKUP(branches[[#This Row],[Филиал]], tbl_Filialy[Филиал], tbl_Filialy[Менеджер])</f>
        <v>Ольга Кузнецова</v>
      </c>
    </row>
    <row r="2512" spans="1:10" x14ac:dyDescent="0.3">
      <c r="A2512" t="str">
        <f>_xlfn.XLOOKUP(branches[[#This Row],[Филиал]], tbl_Filialy[Филиал], tbl_Filialy[Город])</f>
        <v>Новосибирск</v>
      </c>
      <c r="B2512" s="1" t="s">
        <v>37</v>
      </c>
      <c r="C2512" s="2">
        <v>45778</v>
      </c>
      <c r="D2512" s="2" t="str">
        <f>CHOOSE(MONTH(branches[[#This Row],[Дата]]),"Январь","Февраль","Март","Апрель","Май","Июнь","Июль","Август","Сентябрь","Октябрь","Ноябрь","Декабрь")&amp;" "&amp;YEAR(branches[[#This Row],[Дата]])</f>
        <v>Май 2025</v>
      </c>
      <c r="E2512" t="s">
        <v>22</v>
      </c>
      <c r="F2512" t="s">
        <v>9</v>
      </c>
      <c r="G2512">
        <v>3</v>
      </c>
      <c r="H2512">
        <v>567</v>
      </c>
      <c r="I2512" t="s">
        <v>13</v>
      </c>
      <c r="J2512" t="str">
        <f>_xlfn.XLOOKUP(branches[[#This Row],[Филиал]], tbl_Filialy[Филиал], tbl_Filialy[Менеджер])</f>
        <v>Ольга Кузнецова</v>
      </c>
    </row>
    <row r="2513" spans="1:10" x14ac:dyDescent="0.3">
      <c r="A2513" t="str">
        <f>_xlfn.XLOOKUP(branches[[#This Row],[Филиал]], tbl_Filialy[Филиал], tbl_Filialy[Город])</f>
        <v>Новосибирск</v>
      </c>
      <c r="B2513" s="1" t="s">
        <v>37</v>
      </c>
      <c r="C2513" s="2">
        <v>45904</v>
      </c>
      <c r="D2513" s="2" t="str">
        <f>CHOOSE(MONTH(branches[[#This Row],[Дата]]),"Январь","Февраль","Март","Апрель","Май","Июнь","Июль","Август","Сентябрь","Октябрь","Ноябрь","Декабрь")&amp;" "&amp;YEAR(branches[[#This Row],[Дата]])</f>
        <v>Сентябрь 2025</v>
      </c>
      <c r="E2513" t="s">
        <v>22</v>
      </c>
      <c r="F2513" t="s">
        <v>9</v>
      </c>
      <c r="G2513">
        <v>1</v>
      </c>
      <c r="H2513">
        <v>192</v>
      </c>
      <c r="I2513" t="s">
        <v>33</v>
      </c>
      <c r="J2513" t="str">
        <f>_xlfn.XLOOKUP(branches[[#This Row],[Филиал]], tbl_Filialy[Филиал], tbl_Filialy[Менеджер])</f>
        <v>Ольга Кузнецова</v>
      </c>
    </row>
    <row r="2514" spans="1:10" x14ac:dyDescent="0.3">
      <c r="A2514" t="str">
        <f>_xlfn.XLOOKUP(branches[[#This Row],[Филиал]], tbl_Filialy[Филиал], tbl_Filialy[Город])</f>
        <v>Новосибирск</v>
      </c>
      <c r="B2514" s="1" t="s">
        <v>37</v>
      </c>
      <c r="C2514" s="2">
        <v>45865</v>
      </c>
      <c r="D2514" s="2" t="str">
        <f>CHOOSE(MONTH(branches[[#This Row],[Дата]]),"Январь","Февраль","Март","Апрель","Май","Июнь","Июль","Август","Сентябрь","Октябрь","Ноябрь","Декабрь")&amp;" "&amp;YEAR(branches[[#This Row],[Дата]])</f>
        <v>Июль 2025</v>
      </c>
      <c r="E2514" t="s">
        <v>16</v>
      </c>
      <c r="F2514" t="s">
        <v>17</v>
      </c>
      <c r="G2514">
        <v>3</v>
      </c>
      <c r="H2514">
        <v>1044</v>
      </c>
      <c r="I2514" t="s">
        <v>13</v>
      </c>
      <c r="J2514" t="str">
        <f>_xlfn.XLOOKUP(branches[[#This Row],[Филиал]], tbl_Filialy[Филиал], tbl_Filialy[Менеджер])</f>
        <v>Ольга Кузнецова</v>
      </c>
    </row>
    <row r="2515" spans="1:10" x14ac:dyDescent="0.3">
      <c r="A2515" t="str">
        <f>_xlfn.XLOOKUP(branches[[#This Row],[Филиал]], tbl_Filialy[Филиал], tbl_Filialy[Город])</f>
        <v>Новосибирск</v>
      </c>
      <c r="B2515" s="1" t="s">
        <v>37</v>
      </c>
      <c r="C2515" s="2">
        <v>45901</v>
      </c>
      <c r="D2515" s="2" t="str">
        <f>CHOOSE(MONTH(branches[[#This Row],[Дата]]),"Январь","Февраль","Март","Апрель","Май","Июнь","Июль","Август","Сентябрь","Октябрь","Ноябрь","Декабрь")&amp;" "&amp;YEAR(branches[[#This Row],[Дата]])</f>
        <v>Сентябрь 2025</v>
      </c>
      <c r="E2515" t="s">
        <v>20</v>
      </c>
      <c r="F2515" t="s">
        <v>12</v>
      </c>
      <c r="G2515">
        <v>1</v>
      </c>
      <c r="H2515">
        <v>286</v>
      </c>
      <c r="I2515" t="s">
        <v>19</v>
      </c>
      <c r="J2515" t="str">
        <f>_xlfn.XLOOKUP(branches[[#This Row],[Филиал]], tbl_Filialy[Филиал], tbl_Filialy[Менеджер])</f>
        <v>Ольга Кузнецова</v>
      </c>
    </row>
    <row r="2516" spans="1:10" x14ac:dyDescent="0.3">
      <c r="A2516" t="str">
        <f>_xlfn.XLOOKUP(branches[[#This Row],[Филиал]], tbl_Filialy[Филиал], tbl_Filialy[Город])</f>
        <v>Новосибирск</v>
      </c>
      <c r="B2516" s="1" t="s">
        <v>37</v>
      </c>
      <c r="C2516" s="2">
        <v>45708</v>
      </c>
      <c r="D2516" s="2" t="str">
        <f>CHOOSE(MONTH(branches[[#This Row],[Дата]]),"Январь","Февраль","Март","Апрель","Май","Июнь","Июль","Август","Сентябрь","Октябрь","Ноябрь","Декабрь")&amp;" "&amp;YEAR(branches[[#This Row],[Дата]])</f>
        <v>Февраль 2025</v>
      </c>
      <c r="E2516" t="s">
        <v>14</v>
      </c>
      <c r="F2516" t="s">
        <v>12</v>
      </c>
      <c r="G2516">
        <v>2</v>
      </c>
      <c r="H2516">
        <v>500</v>
      </c>
      <c r="I2516" t="s">
        <v>32</v>
      </c>
      <c r="J2516" t="str">
        <f>_xlfn.XLOOKUP(branches[[#This Row],[Филиал]], tbl_Filialy[Филиал], tbl_Filialy[Менеджер])</f>
        <v>Ольга Кузнецова</v>
      </c>
    </row>
    <row r="2517" spans="1:10" x14ac:dyDescent="0.3">
      <c r="A2517" t="str">
        <f>_xlfn.XLOOKUP(branches[[#This Row],[Филиал]], tbl_Filialy[Филиал], tbl_Filialy[Город])</f>
        <v>Новосибирск</v>
      </c>
      <c r="B2517" s="1" t="s">
        <v>37</v>
      </c>
      <c r="C2517" s="2">
        <v>45814</v>
      </c>
      <c r="D2517" s="2" t="str">
        <f>CHOOSE(MONTH(branches[[#This Row],[Дата]]),"Январь","Февраль","Март","Апрель","Май","Июнь","Июль","Август","Сентябрь","Октябрь","Ноябрь","Декабрь")&amp;" "&amp;YEAR(branches[[#This Row],[Дата]])</f>
        <v>Июнь 2025</v>
      </c>
      <c r="E2517" t="s">
        <v>22</v>
      </c>
      <c r="F2517" t="s">
        <v>9</v>
      </c>
      <c r="G2517">
        <v>1</v>
      </c>
      <c r="H2517">
        <v>175</v>
      </c>
      <c r="I2517" t="s">
        <v>33</v>
      </c>
      <c r="J2517" t="str">
        <f>_xlfn.XLOOKUP(branches[[#This Row],[Филиал]], tbl_Filialy[Филиал], tbl_Filialy[Менеджер])</f>
        <v>Ольга Кузнецова</v>
      </c>
    </row>
    <row r="2518" spans="1:10" x14ac:dyDescent="0.3">
      <c r="A2518" t="str">
        <f>_xlfn.XLOOKUP(branches[[#This Row],[Филиал]], tbl_Filialy[Филиал], tbl_Filialy[Город])</f>
        <v>Новосибирск</v>
      </c>
      <c r="B2518" s="1" t="s">
        <v>37</v>
      </c>
      <c r="C2518" s="2">
        <v>45797</v>
      </c>
      <c r="D2518" s="2" t="str">
        <f>CHOOSE(MONTH(branches[[#This Row],[Дата]]),"Январь","Февраль","Март","Апрель","Май","Июнь","Июль","Август","Сентябрь","Октябрь","Ноябрь","Декабрь")&amp;" "&amp;YEAR(branches[[#This Row],[Дата]])</f>
        <v>Май 2025</v>
      </c>
      <c r="E2518" t="s">
        <v>22</v>
      </c>
      <c r="F2518" t="s">
        <v>9</v>
      </c>
      <c r="G2518">
        <v>1</v>
      </c>
      <c r="H2518">
        <v>163</v>
      </c>
      <c r="I2518" t="s">
        <v>35</v>
      </c>
      <c r="J2518" t="str">
        <f>_xlfn.XLOOKUP(branches[[#This Row],[Филиал]], tbl_Filialy[Филиал], tbl_Filialy[Менеджер])</f>
        <v>Ольга Кузнецова</v>
      </c>
    </row>
    <row r="2519" spans="1:10" x14ac:dyDescent="0.3">
      <c r="A2519" t="str">
        <f>_xlfn.XLOOKUP(branches[[#This Row],[Филиал]], tbl_Filialy[Филиал], tbl_Filialy[Город])</f>
        <v>Новосибирск</v>
      </c>
      <c r="B2519" s="1" t="s">
        <v>37</v>
      </c>
      <c r="C2519" s="2">
        <v>45809</v>
      </c>
      <c r="D2519" s="2" t="str">
        <f>CHOOSE(MONTH(branches[[#This Row],[Дата]]),"Январь","Февраль","Март","Апрель","Май","Июнь","Июль","Август","Сентябрь","Октябрь","Ноябрь","Декабрь")&amp;" "&amp;YEAR(branches[[#This Row],[Дата]])</f>
        <v>Июнь 2025</v>
      </c>
      <c r="E2519" t="s">
        <v>16</v>
      </c>
      <c r="F2519" t="s">
        <v>17</v>
      </c>
      <c r="G2519">
        <v>1</v>
      </c>
      <c r="H2519">
        <v>327</v>
      </c>
      <c r="I2519" t="s">
        <v>35</v>
      </c>
      <c r="J2519" t="str">
        <f>_xlfn.XLOOKUP(branches[[#This Row],[Филиал]], tbl_Filialy[Филиал], tbl_Filialy[Менеджер])</f>
        <v>Ольга Кузнецова</v>
      </c>
    </row>
    <row r="2520" spans="1:10" x14ac:dyDescent="0.3">
      <c r="A2520" t="str">
        <f>_xlfn.XLOOKUP(branches[[#This Row],[Филиал]], tbl_Filialy[Филиал], tbl_Filialy[Город])</f>
        <v>Новосибирск</v>
      </c>
      <c r="B2520" s="1" t="s">
        <v>37</v>
      </c>
      <c r="C2520" s="2">
        <v>45799</v>
      </c>
      <c r="D2520" s="2" t="str">
        <f>CHOOSE(MONTH(branches[[#This Row],[Дата]]),"Январь","Февраль","Март","Апрель","Май","Июнь","Июль","Август","Сентябрь","Октябрь","Ноябрь","Декабрь")&amp;" "&amp;YEAR(branches[[#This Row],[Дата]])</f>
        <v>Май 2025</v>
      </c>
      <c r="E2520" t="s">
        <v>14</v>
      </c>
      <c r="F2520" t="s">
        <v>12</v>
      </c>
      <c r="G2520">
        <v>2</v>
      </c>
      <c r="H2520">
        <v>502</v>
      </c>
      <c r="I2520" t="s">
        <v>32</v>
      </c>
      <c r="J2520" t="str">
        <f>_xlfn.XLOOKUP(branches[[#This Row],[Филиал]], tbl_Filialy[Филиал], tbl_Filialy[Менеджер])</f>
        <v>Ольга Кузнецова</v>
      </c>
    </row>
    <row r="2521" spans="1:10" x14ac:dyDescent="0.3">
      <c r="A2521" t="str">
        <f>_xlfn.XLOOKUP(branches[[#This Row],[Филиал]], tbl_Filialy[Филиал], tbl_Filialy[Город])</f>
        <v>Новосибирск</v>
      </c>
      <c r="B2521" s="1" t="s">
        <v>37</v>
      </c>
      <c r="C2521" s="2">
        <v>45706</v>
      </c>
      <c r="D2521" s="2" t="str">
        <f>CHOOSE(MONTH(branches[[#This Row],[Дата]]),"Январь","Февраль","Март","Апрель","Май","Июнь","Июль","Август","Сентябрь","Октябрь","Ноябрь","Декабрь")&amp;" "&amp;YEAR(branches[[#This Row],[Дата]])</f>
        <v>Февраль 2025</v>
      </c>
      <c r="E2521" t="s">
        <v>25</v>
      </c>
      <c r="F2521" t="s">
        <v>12</v>
      </c>
      <c r="G2521">
        <v>1</v>
      </c>
      <c r="H2521">
        <v>243</v>
      </c>
      <c r="I2521" t="s">
        <v>35</v>
      </c>
      <c r="J2521" t="str">
        <f>_xlfn.XLOOKUP(branches[[#This Row],[Филиал]], tbl_Filialy[Филиал], tbl_Filialy[Менеджер])</f>
        <v>Ольга Кузнецова</v>
      </c>
    </row>
    <row r="2522" spans="1:10" x14ac:dyDescent="0.3">
      <c r="A2522" t="str">
        <f>_xlfn.XLOOKUP(branches[[#This Row],[Филиал]], tbl_Filialy[Филиал], tbl_Filialy[Город])</f>
        <v>Новосибирск</v>
      </c>
      <c r="B2522" s="1" t="s">
        <v>37</v>
      </c>
      <c r="C2522" s="2">
        <v>45999</v>
      </c>
      <c r="D2522" s="2" t="str">
        <f>CHOOSE(MONTH(branches[[#This Row],[Дата]]),"Январь","Февраль","Март","Апрель","Май","Июнь","Июль","Август","Сентябрь","Октябрь","Ноябрь","Декабрь")&amp;" "&amp;YEAR(branches[[#This Row],[Дата]])</f>
        <v>Декабрь 2025</v>
      </c>
      <c r="E2522" t="s">
        <v>28</v>
      </c>
      <c r="F2522" t="s">
        <v>12</v>
      </c>
      <c r="G2522">
        <v>1</v>
      </c>
      <c r="H2522">
        <v>200</v>
      </c>
      <c r="I2522" t="s">
        <v>35</v>
      </c>
      <c r="J2522" t="str">
        <f>_xlfn.XLOOKUP(branches[[#This Row],[Филиал]], tbl_Filialy[Филиал], tbl_Filialy[Менеджер])</f>
        <v>Ольга Кузнецова</v>
      </c>
    </row>
    <row r="2523" spans="1:10" x14ac:dyDescent="0.3">
      <c r="A2523" t="str">
        <f>_xlfn.XLOOKUP(branches[[#This Row],[Филиал]], tbl_Filialy[Филиал], tbl_Filialy[Город])</f>
        <v>Новосибирск</v>
      </c>
      <c r="B2523" s="1" t="s">
        <v>37</v>
      </c>
      <c r="C2523" s="2">
        <v>45904</v>
      </c>
      <c r="D2523" s="2" t="str">
        <f>CHOOSE(MONTH(branches[[#This Row],[Дата]]),"Январь","Февраль","Март","Апрель","Май","Июнь","Июль","Август","Сентябрь","Октябрь","Ноябрь","Декабрь")&amp;" "&amp;YEAR(branches[[#This Row],[Дата]])</f>
        <v>Сентябрь 2025</v>
      </c>
      <c r="E2523" t="s">
        <v>8</v>
      </c>
      <c r="F2523" t="s">
        <v>9</v>
      </c>
      <c r="G2523">
        <v>1</v>
      </c>
      <c r="H2523">
        <v>230</v>
      </c>
      <c r="I2523" t="s">
        <v>19</v>
      </c>
      <c r="J2523" t="str">
        <f>_xlfn.XLOOKUP(branches[[#This Row],[Филиал]], tbl_Filialy[Филиал], tbl_Filialy[Менеджер])</f>
        <v>Ольга Кузнецова</v>
      </c>
    </row>
    <row r="2524" spans="1:10" x14ac:dyDescent="0.3">
      <c r="A2524" t="str">
        <f>_xlfn.XLOOKUP(branches[[#This Row],[Филиал]], tbl_Filialy[Филиал], tbl_Filialy[Город])</f>
        <v>Новосибирск</v>
      </c>
      <c r="B2524" s="1" t="s">
        <v>37</v>
      </c>
      <c r="C2524" s="2">
        <v>45979</v>
      </c>
      <c r="D2524" s="2" t="str">
        <f>CHOOSE(MONTH(branches[[#This Row],[Дата]]),"Январь","Февраль","Март","Апрель","Май","Июнь","Июль","Август","Сентябрь","Октябрь","Ноябрь","Декабрь")&amp;" "&amp;YEAR(branches[[#This Row],[Дата]])</f>
        <v>Ноябрь 2025</v>
      </c>
      <c r="E2524" t="s">
        <v>22</v>
      </c>
      <c r="F2524" t="s">
        <v>9</v>
      </c>
      <c r="G2524">
        <v>2</v>
      </c>
      <c r="H2524">
        <v>390</v>
      </c>
      <c r="I2524" t="s">
        <v>34</v>
      </c>
      <c r="J2524" t="str">
        <f>_xlfn.XLOOKUP(branches[[#This Row],[Филиал]], tbl_Filialy[Филиал], tbl_Filialy[Менеджер])</f>
        <v>Ольга Кузнецова</v>
      </c>
    </row>
    <row r="2525" spans="1:10" x14ac:dyDescent="0.3">
      <c r="A2525" t="str">
        <f>_xlfn.XLOOKUP(branches[[#This Row],[Филиал]], tbl_Filialy[Филиал], tbl_Filialy[Город])</f>
        <v>Новосибирск</v>
      </c>
      <c r="B2525" s="1" t="s">
        <v>37</v>
      </c>
      <c r="C2525" s="2">
        <v>46003</v>
      </c>
      <c r="D2525" s="2" t="str">
        <f>CHOOSE(MONTH(branches[[#This Row],[Дата]]),"Январь","Февраль","Март","Апрель","Май","Июнь","Июль","Август","Сентябрь","Октябрь","Ноябрь","Декабрь")&amp;" "&amp;YEAR(branches[[#This Row],[Дата]])</f>
        <v>Декабрь 2025</v>
      </c>
      <c r="E2525" t="s">
        <v>11</v>
      </c>
      <c r="F2525" t="s">
        <v>12</v>
      </c>
      <c r="G2525">
        <v>2</v>
      </c>
      <c r="H2525">
        <v>318</v>
      </c>
      <c r="I2525" t="s">
        <v>33</v>
      </c>
      <c r="J2525" t="str">
        <f>_xlfn.XLOOKUP(branches[[#This Row],[Филиал]], tbl_Filialy[Филиал], tbl_Filialy[Менеджер])</f>
        <v>Ольга Кузнецова</v>
      </c>
    </row>
    <row r="2526" spans="1:10" x14ac:dyDescent="0.3">
      <c r="A2526" t="str">
        <f>_xlfn.XLOOKUP(branches[[#This Row],[Филиал]], tbl_Filialy[Филиал], tbl_Filialy[Город])</f>
        <v>Новосибирск</v>
      </c>
      <c r="B2526" s="1" t="s">
        <v>37</v>
      </c>
      <c r="C2526" s="2">
        <v>45727</v>
      </c>
      <c r="D2526" s="2" t="str">
        <f>CHOOSE(MONTH(branches[[#This Row],[Дата]]),"Январь","Февраль","Март","Апрель","Май","Июнь","Июль","Август","Сентябрь","Октябрь","Ноябрь","Декабрь")&amp;" "&amp;YEAR(branches[[#This Row],[Дата]])</f>
        <v>Март 2025</v>
      </c>
      <c r="E2526" t="s">
        <v>22</v>
      </c>
      <c r="F2526" t="s">
        <v>9</v>
      </c>
      <c r="G2526">
        <v>3</v>
      </c>
      <c r="H2526">
        <v>489</v>
      </c>
      <c r="I2526" t="s">
        <v>19</v>
      </c>
      <c r="J2526" t="str">
        <f>_xlfn.XLOOKUP(branches[[#This Row],[Филиал]], tbl_Filialy[Филиал], tbl_Filialy[Менеджер])</f>
        <v>Ольга Кузнецова</v>
      </c>
    </row>
    <row r="2527" spans="1:10" x14ac:dyDescent="0.3">
      <c r="A2527" t="str">
        <f>_xlfn.XLOOKUP(branches[[#This Row],[Филиал]], tbl_Filialy[Филиал], tbl_Filialy[Город])</f>
        <v>Новосибирск</v>
      </c>
      <c r="B2527" s="1" t="s">
        <v>37</v>
      </c>
      <c r="C2527" s="2">
        <v>45757</v>
      </c>
      <c r="D2527" s="2" t="str">
        <f>CHOOSE(MONTH(branches[[#This Row],[Дата]]),"Январь","Февраль","Март","Апрель","Май","Июнь","Июль","Август","Сентябрь","Октябрь","Ноябрь","Декабрь")&amp;" "&amp;YEAR(branches[[#This Row],[Дата]])</f>
        <v>Апрель 2025</v>
      </c>
      <c r="E2527" t="s">
        <v>14</v>
      </c>
      <c r="F2527" t="s">
        <v>12</v>
      </c>
      <c r="G2527">
        <v>1</v>
      </c>
      <c r="H2527">
        <v>241</v>
      </c>
      <c r="I2527" t="s">
        <v>32</v>
      </c>
      <c r="J2527" t="str">
        <f>_xlfn.XLOOKUP(branches[[#This Row],[Филиал]], tbl_Filialy[Филиал], tbl_Filialy[Менеджер])</f>
        <v>Ольга Кузнецова</v>
      </c>
    </row>
    <row r="2528" spans="1:10" x14ac:dyDescent="0.3">
      <c r="A2528" t="str">
        <f>_xlfn.XLOOKUP(branches[[#This Row],[Филиал]], tbl_Filialy[Филиал], tbl_Filialy[Город])</f>
        <v>Новосибирск</v>
      </c>
      <c r="B2528" s="1" t="s">
        <v>37</v>
      </c>
      <c r="C2528" s="2">
        <v>45941</v>
      </c>
      <c r="D2528" s="2" t="str">
        <f>CHOOSE(MONTH(branches[[#This Row],[Дата]]),"Январь","Февраль","Март","Апрель","Май","Июнь","Июль","Август","Сентябрь","Октябрь","Ноябрь","Декабрь")&amp;" "&amp;YEAR(branches[[#This Row],[Дата]])</f>
        <v>Октябрь 2025</v>
      </c>
      <c r="E2528" t="s">
        <v>14</v>
      </c>
      <c r="F2528" t="s">
        <v>12</v>
      </c>
      <c r="G2528">
        <v>3</v>
      </c>
      <c r="H2528">
        <v>786</v>
      </c>
      <c r="I2528" t="s">
        <v>33</v>
      </c>
      <c r="J2528" t="str">
        <f>_xlfn.XLOOKUP(branches[[#This Row],[Филиал]], tbl_Filialy[Филиал], tbl_Filialy[Менеджер])</f>
        <v>Ольга Кузнецова</v>
      </c>
    </row>
    <row r="2529" spans="1:10" x14ac:dyDescent="0.3">
      <c r="A2529" t="str">
        <f>_xlfn.XLOOKUP(branches[[#This Row],[Филиал]], tbl_Filialy[Филиал], tbl_Filialy[Город])</f>
        <v>Новосибирск</v>
      </c>
      <c r="B2529" s="1" t="s">
        <v>37</v>
      </c>
      <c r="C2529" s="2">
        <v>45970</v>
      </c>
      <c r="D2529" s="2" t="str">
        <f>CHOOSE(MONTH(branches[[#This Row],[Дата]]),"Январь","Февраль","Март","Апрель","Май","Июнь","Июль","Август","Сентябрь","Октябрь","Ноябрь","Декабрь")&amp;" "&amp;YEAR(branches[[#This Row],[Дата]])</f>
        <v>Ноябрь 2025</v>
      </c>
      <c r="E2529" t="s">
        <v>26</v>
      </c>
      <c r="F2529" t="s">
        <v>9</v>
      </c>
      <c r="G2529">
        <v>2</v>
      </c>
      <c r="H2529">
        <v>464</v>
      </c>
      <c r="I2529" t="s">
        <v>35</v>
      </c>
      <c r="J2529" t="str">
        <f>_xlfn.XLOOKUP(branches[[#This Row],[Филиал]], tbl_Filialy[Филиал], tbl_Filialy[Менеджер])</f>
        <v>Ольга Кузнецова</v>
      </c>
    </row>
    <row r="2530" spans="1:10" x14ac:dyDescent="0.3">
      <c r="A2530" t="str">
        <f>_xlfn.XLOOKUP(branches[[#This Row],[Филиал]], tbl_Filialy[Филиал], tbl_Filialy[Город])</f>
        <v>Новосибирск</v>
      </c>
      <c r="B2530" s="1" t="s">
        <v>37</v>
      </c>
      <c r="C2530" s="2">
        <v>45965</v>
      </c>
      <c r="D2530" s="2" t="str">
        <f>CHOOSE(MONTH(branches[[#This Row],[Дата]]),"Январь","Февраль","Март","Апрель","Май","Июнь","Июль","Август","Сентябрь","Октябрь","Ноябрь","Декабрь")&amp;" "&amp;YEAR(branches[[#This Row],[Дата]])</f>
        <v>Ноябрь 2025</v>
      </c>
      <c r="E2530" t="s">
        <v>11</v>
      </c>
      <c r="F2530" t="s">
        <v>12</v>
      </c>
      <c r="G2530">
        <v>1</v>
      </c>
      <c r="H2530">
        <v>156</v>
      </c>
      <c r="I2530" t="s">
        <v>32</v>
      </c>
      <c r="J2530" t="str">
        <f>_xlfn.XLOOKUP(branches[[#This Row],[Филиал]], tbl_Filialy[Филиал], tbl_Filialy[Менеджер])</f>
        <v>Ольга Кузнецова</v>
      </c>
    </row>
    <row r="2531" spans="1:10" x14ac:dyDescent="0.3">
      <c r="A2531" t="str">
        <f>_xlfn.XLOOKUP(branches[[#This Row],[Филиал]], tbl_Filialy[Филиал], tbl_Filialy[Город])</f>
        <v>Новосибирск</v>
      </c>
      <c r="B2531" s="1" t="s">
        <v>37</v>
      </c>
      <c r="C2531" s="2">
        <v>45985</v>
      </c>
      <c r="D2531" s="2" t="str">
        <f>CHOOSE(MONTH(branches[[#This Row],[Дата]]),"Январь","Февраль","Март","Апрель","Май","Июнь","Июль","Август","Сентябрь","Октябрь","Ноябрь","Декабрь")&amp;" "&amp;YEAR(branches[[#This Row],[Дата]])</f>
        <v>Ноябрь 2025</v>
      </c>
      <c r="E2531" t="s">
        <v>8</v>
      </c>
      <c r="F2531" t="s">
        <v>9</v>
      </c>
      <c r="G2531">
        <v>3</v>
      </c>
      <c r="H2531">
        <v>720</v>
      </c>
      <c r="I2531" t="s">
        <v>33</v>
      </c>
      <c r="J2531" t="str">
        <f>_xlfn.XLOOKUP(branches[[#This Row],[Филиал]], tbl_Filialy[Филиал], tbl_Filialy[Менеджер])</f>
        <v>Ольга Кузнецова</v>
      </c>
    </row>
    <row r="2532" spans="1:10" x14ac:dyDescent="0.3">
      <c r="A2532" t="str">
        <f>_xlfn.XLOOKUP(branches[[#This Row],[Филиал]], tbl_Filialy[Филиал], tbl_Filialy[Город])</f>
        <v>Новосибирск</v>
      </c>
      <c r="B2532" s="1" t="s">
        <v>37</v>
      </c>
      <c r="C2532" s="2">
        <v>45874</v>
      </c>
      <c r="D2532" s="2" t="str">
        <f>CHOOSE(MONTH(branches[[#This Row],[Дата]]),"Январь","Февраль","Март","Апрель","Май","Июнь","Июль","Август","Сентябрь","Октябрь","Ноябрь","Декабрь")&amp;" "&amp;YEAR(branches[[#This Row],[Дата]])</f>
        <v>Август 2025</v>
      </c>
      <c r="E2532" t="s">
        <v>11</v>
      </c>
      <c r="F2532" t="s">
        <v>12</v>
      </c>
      <c r="G2532">
        <v>1</v>
      </c>
      <c r="H2532">
        <v>194</v>
      </c>
      <c r="I2532" t="s">
        <v>13</v>
      </c>
      <c r="J2532" t="str">
        <f>_xlfn.XLOOKUP(branches[[#This Row],[Филиал]], tbl_Filialy[Филиал], tbl_Filialy[Менеджер])</f>
        <v>Ольга Кузнецова</v>
      </c>
    </row>
    <row r="2533" spans="1:10" x14ac:dyDescent="0.3">
      <c r="A2533" t="str">
        <f>_xlfn.XLOOKUP(branches[[#This Row],[Филиал]], tbl_Filialy[Филиал], tbl_Filialy[Город])</f>
        <v>Новосибирск</v>
      </c>
      <c r="B2533" s="1" t="s">
        <v>37</v>
      </c>
      <c r="C2533" s="2">
        <v>45952</v>
      </c>
      <c r="D2533" s="2" t="str">
        <f>CHOOSE(MONTH(branches[[#This Row],[Дата]]),"Январь","Февраль","Март","Апрель","Май","Июнь","Июль","Август","Сентябрь","Октябрь","Ноябрь","Декабрь")&amp;" "&amp;YEAR(branches[[#This Row],[Дата]])</f>
        <v>Октябрь 2025</v>
      </c>
      <c r="E2533" t="s">
        <v>18</v>
      </c>
      <c r="F2533" t="s">
        <v>12</v>
      </c>
      <c r="G2533">
        <v>1</v>
      </c>
      <c r="H2533">
        <v>157</v>
      </c>
      <c r="I2533" t="s">
        <v>35</v>
      </c>
      <c r="J2533" t="str">
        <f>_xlfn.XLOOKUP(branches[[#This Row],[Филиал]], tbl_Filialy[Филиал], tbl_Filialy[Менеджер])</f>
        <v>Ольга Кузнецова</v>
      </c>
    </row>
    <row r="2534" spans="1:10" x14ac:dyDescent="0.3">
      <c r="A2534" t="str">
        <f>_xlfn.XLOOKUP(branches[[#This Row],[Филиал]], tbl_Filialy[Филиал], tbl_Filialy[Город])</f>
        <v>Новосибирск</v>
      </c>
      <c r="B2534" s="1" t="s">
        <v>37</v>
      </c>
      <c r="C2534" s="2">
        <v>45957</v>
      </c>
      <c r="D2534" s="2" t="str">
        <f>CHOOSE(MONTH(branches[[#This Row],[Дата]]),"Январь","Февраль","Март","Апрель","Май","Июнь","Июль","Август","Сентябрь","Октябрь","Ноябрь","Декабрь")&amp;" "&amp;YEAR(branches[[#This Row],[Дата]])</f>
        <v>Октябрь 2025</v>
      </c>
      <c r="E2534" t="s">
        <v>22</v>
      </c>
      <c r="F2534" t="s">
        <v>9</v>
      </c>
      <c r="G2534">
        <v>1</v>
      </c>
      <c r="H2534">
        <v>182</v>
      </c>
      <c r="I2534" t="s">
        <v>35</v>
      </c>
      <c r="J2534" t="str">
        <f>_xlfn.XLOOKUP(branches[[#This Row],[Филиал]], tbl_Filialy[Филиал], tbl_Filialy[Менеджер])</f>
        <v>Ольга Кузнецова</v>
      </c>
    </row>
    <row r="2535" spans="1:10" x14ac:dyDescent="0.3">
      <c r="A2535" t="str">
        <f>_xlfn.XLOOKUP(branches[[#This Row],[Филиал]], tbl_Filialy[Филиал], tbl_Filialy[Город])</f>
        <v>Новосибирск</v>
      </c>
      <c r="B2535" s="1" t="s">
        <v>37</v>
      </c>
      <c r="C2535" s="2">
        <v>45850</v>
      </c>
      <c r="D2535" s="2" t="str">
        <f>CHOOSE(MONTH(branches[[#This Row],[Дата]]),"Январь","Февраль","Март","Апрель","Май","Июнь","Июль","Август","Сентябрь","Октябрь","Ноябрь","Декабрь")&amp;" "&amp;YEAR(branches[[#This Row],[Дата]])</f>
        <v>Июль 2025</v>
      </c>
      <c r="E2535" t="s">
        <v>8</v>
      </c>
      <c r="F2535" t="s">
        <v>9</v>
      </c>
      <c r="G2535">
        <v>1</v>
      </c>
      <c r="H2535">
        <v>253</v>
      </c>
      <c r="I2535" t="s">
        <v>33</v>
      </c>
      <c r="J2535" t="str">
        <f>_xlfn.XLOOKUP(branches[[#This Row],[Филиал]], tbl_Filialy[Филиал], tbl_Filialy[Менеджер])</f>
        <v>Ольга Кузнецова</v>
      </c>
    </row>
    <row r="2536" spans="1:10" x14ac:dyDescent="0.3">
      <c r="A2536" t="str">
        <f>_xlfn.XLOOKUP(branches[[#This Row],[Филиал]], tbl_Filialy[Филиал], tbl_Filialy[Город])</f>
        <v>Новосибирск</v>
      </c>
      <c r="B2536" s="1" t="s">
        <v>37</v>
      </c>
      <c r="C2536" s="2">
        <v>45705</v>
      </c>
      <c r="D2536" s="2" t="str">
        <f>CHOOSE(MONTH(branches[[#This Row],[Дата]]),"Январь","Февраль","Март","Апрель","Май","Июнь","Июль","Август","Сентябрь","Октябрь","Ноябрь","Декабрь")&amp;" "&amp;YEAR(branches[[#This Row],[Дата]])</f>
        <v>Февраль 2025</v>
      </c>
      <c r="E2536" t="s">
        <v>28</v>
      </c>
      <c r="F2536" t="s">
        <v>12</v>
      </c>
      <c r="G2536">
        <v>1</v>
      </c>
      <c r="H2536">
        <v>204</v>
      </c>
      <c r="I2536" t="s">
        <v>35</v>
      </c>
      <c r="J2536" t="str">
        <f>_xlfn.XLOOKUP(branches[[#This Row],[Филиал]], tbl_Filialy[Филиал], tbl_Filialy[Менеджер])</f>
        <v>Ольга Кузнецова</v>
      </c>
    </row>
    <row r="2537" spans="1:10" x14ac:dyDescent="0.3">
      <c r="A2537" t="str">
        <f>_xlfn.XLOOKUP(branches[[#This Row],[Филиал]], tbl_Filialy[Филиал], tbl_Filialy[Город])</f>
        <v>Новосибирск</v>
      </c>
      <c r="B2537" s="1" t="s">
        <v>37</v>
      </c>
      <c r="C2537" s="2">
        <v>45783</v>
      </c>
      <c r="D2537" s="2" t="str">
        <f>CHOOSE(MONTH(branches[[#This Row],[Дата]]),"Январь","Февраль","Март","Апрель","Май","Июнь","Июль","Август","Сентябрь","Октябрь","Ноябрь","Декабрь")&amp;" "&amp;YEAR(branches[[#This Row],[Дата]])</f>
        <v>Май 2025</v>
      </c>
      <c r="E2537" t="s">
        <v>27</v>
      </c>
      <c r="F2537" t="s">
        <v>12</v>
      </c>
      <c r="G2537">
        <v>2</v>
      </c>
      <c r="H2537">
        <v>410</v>
      </c>
      <c r="I2537" t="s">
        <v>35</v>
      </c>
      <c r="J2537" t="str">
        <f>_xlfn.XLOOKUP(branches[[#This Row],[Филиал]], tbl_Filialy[Филиал], tbl_Filialy[Менеджер])</f>
        <v>Ольга Кузнецова</v>
      </c>
    </row>
    <row r="2538" spans="1:10" x14ac:dyDescent="0.3">
      <c r="A2538" t="str">
        <f>_xlfn.XLOOKUP(branches[[#This Row],[Филиал]], tbl_Filialy[Филиал], tbl_Filialy[Город])</f>
        <v>Новосибирск</v>
      </c>
      <c r="B2538" s="1" t="s">
        <v>37</v>
      </c>
      <c r="C2538" s="2">
        <v>45695</v>
      </c>
      <c r="D2538" s="2" t="str">
        <f>CHOOSE(MONTH(branches[[#This Row],[Дата]]),"Январь","Февраль","Март","Апрель","Май","Июнь","Июль","Август","Сентябрь","Октябрь","Ноябрь","Декабрь")&amp;" "&amp;YEAR(branches[[#This Row],[Дата]])</f>
        <v>Февраль 2025</v>
      </c>
      <c r="E2538" t="s">
        <v>24</v>
      </c>
      <c r="F2538" t="s">
        <v>17</v>
      </c>
      <c r="G2538">
        <v>1</v>
      </c>
      <c r="H2538">
        <v>356</v>
      </c>
      <c r="I2538" t="s">
        <v>33</v>
      </c>
      <c r="J2538" t="str">
        <f>_xlfn.XLOOKUP(branches[[#This Row],[Филиал]], tbl_Filialy[Филиал], tbl_Filialy[Менеджер])</f>
        <v>Ольга Кузнецова</v>
      </c>
    </row>
    <row r="2539" spans="1:10" x14ac:dyDescent="0.3">
      <c r="A2539" t="str">
        <f>_xlfn.XLOOKUP(branches[[#This Row],[Филиал]], tbl_Filialy[Филиал], tbl_Filialy[Город])</f>
        <v>Новосибирск</v>
      </c>
      <c r="B2539" s="1" t="s">
        <v>37</v>
      </c>
      <c r="C2539" s="2">
        <v>45901</v>
      </c>
      <c r="D2539" s="2" t="str">
        <f>CHOOSE(MONTH(branches[[#This Row],[Дата]]),"Январь","Февраль","Март","Апрель","Май","Июнь","Июль","Август","Сентябрь","Октябрь","Ноябрь","Декабрь")&amp;" "&amp;YEAR(branches[[#This Row],[Дата]])</f>
        <v>Сентябрь 2025</v>
      </c>
      <c r="E2539" t="s">
        <v>16</v>
      </c>
      <c r="F2539" t="s">
        <v>17</v>
      </c>
      <c r="G2539">
        <v>2</v>
      </c>
      <c r="H2539">
        <v>680</v>
      </c>
      <c r="I2539" t="s">
        <v>32</v>
      </c>
      <c r="J2539" t="str">
        <f>_xlfn.XLOOKUP(branches[[#This Row],[Филиал]], tbl_Filialy[Филиал], tbl_Filialy[Менеджер])</f>
        <v>Ольга Кузнецова</v>
      </c>
    </row>
    <row r="2540" spans="1:10" x14ac:dyDescent="0.3">
      <c r="A2540" t="str">
        <f>_xlfn.XLOOKUP(branches[[#This Row],[Филиал]], tbl_Filialy[Филиал], tbl_Filialy[Город])</f>
        <v>Новосибирск</v>
      </c>
      <c r="B2540" s="1" t="s">
        <v>37</v>
      </c>
      <c r="C2540" s="2">
        <v>45702</v>
      </c>
      <c r="D2540" s="2" t="str">
        <f>CHOOSE(MONTH(branches[[#This Row],[Дата]]),"Январь","Февраль","Март","Апрель","Май","Июнь","Июль","Август","Сентябрь","Октябрь","Ноябрь","Декабрь")&amp;" "&amp;YEAR(branches[[#This Row],[Дата]])</f>
        <v>Февраль 2025</v>
      </c>
      <c r="E2540" t="s">
        <v>24</v>
      </c>
      <c r="F2540" t="s">
        <v>17</v>
      </c>
      <c r="G2540">
        <v>1</v>
      </c>
      <c r="H2540">
        <v>348</v>
      </c>
      <c r="I2540" t="s">
        <v>35</v>
      </c>
      <c r="J2540" t="str">
        <f>_xlfn.XLOOKUP(branches[[#This Row],[Филиал]], tbl_Filialy[Филиал], tbl_Filialy[Менеджер])</f>
        <v>Ольга Кузнецова</v>
      </c>
    </row>
    <row r="2541" spans="1:10" x14ac:dyDescent="0.3">
      <c r="A2541" t="str">
        <f>_xlfn.XLOOKUP(branches[[#This Row],[Филиал]], tbl_Filialy[Филиал], tbl_Filialy[Город])</f>
        <v>Новосибирск</v>
      </c>
      <c r="B2541" s="1" t="s">
        <v>37</v>
      </c>
      <c r="C2541" s="2">
        <v>45864</v>
      </c>
      <c r="D2541" s="2" t="str">
        <f>CHOOSE(MONTH(branches[[#This Row],[Дата]]),"Январь","Февраль","Март","Апрель","Май","Июнь","Июль","Август","Сентябрь","Октябрь","Ноябрь","Декабрь")&amp;" "&amp;YEAR(branches[[#This Row],[Дата]])</f>
        <v>Июль 2025</v>
      </c>
      <c r="E2541" t="s">
        <v>22</v>
      </c>
      <c r="F2541" t="s">
        <v>9</v>
      </c>
      <c r="G2541">
        <v>1</v>
      </c>
      <c r="H2541">
        <v>194</v>
      </c>
      <c r="I2541" t="s">
        <v>19</v>
      </c>
      <c r="J2541" t="str">
        <f>_xlfn.XLOOKUP(branches[[#This Row],[Филиал]], tbl_Filialy[Филиал], tbl_Filialy[Менеджер])</f>
        <v>Ольга Кузнецова</v>
      </c>
    </row>
    <row r="2542" spans="1:10" x14ac:dyDescent="0.3">
      <c r="A2542" t="str">
        <f>_xlfn.XLOOKUP(branches[[#This Row],[Филиал]], tbl_Filialy[Филиал], tbl_Filialy[Город])</f>
        <v>Новосибирск</v>
      </c>
      <c r="B2542" s="1" t="s">
        <v>37</v>
      </c>
      <c r="C2542" s="2">
        <v>45682</v>
      </c>
      <c r="D2542" s="2" t="str">
        <f>CHOOSE(MONTH(branches[[#This Row],[Дата]]),"Январь","Февраль","Март","Апрель","Май","Июнь","Июль","Август","Сентябрь","Октябрь","Ноябрь","Декабрь")&amp;" "&amp;YEAR(branches[[#This Row],[Дата]])</f>
        <v>Январь 2025</v>
      </c>
      <c r="E2542" t="s">
        <v>24</v>
      </c>
      <c r="F2542" t="s">
        <v>17</v>
      </c>
      <c r="G2542">
        <v>1</v>
      </c>
      <c r="H2542">
        <v>380</v>
      </c>
      <c r="I2542" t="s">
        <v>34</v>
      </c>
      <c r="J2542" t="str">
        <f>_xlfn.XLOOKUP(branches[[#This Row],[Филиал]], tbl_Filialy[Филиал], tbl_Filialy[Менеджер])</f>
        <v>Ольга Кузнецова</v>
      </c>
    </row>
    <row r="2543" spans="1:10" x14ac:dyDescent="0.3">
      <c r="A2543" t="str">
        <f>_xlfn.XLOOKUP(branches[[#This Row],[Филиал]], tbl_Filialy[Филиал], tbl_Filialy[Город])</f>
        <v>Новосибирск</v>
      </c>
      <c r="B2543" s="1" t="s">
        <v>37</v>
      </c>
      <c r="C2543" s="2">
        <v>45758</v>
      </c>
      <c r="D2543" s="2" t="str">
        <f>CHOOSE(MONTH(branches[[#This Row],[Дата]]),"Январь","Февраль","Март","Апрель","Май","Июнь","Июль","Август","Сентябрь","Октябрь","Ноябрь","Декабрь")&amp;" "&amp;YEAR(branches[[#This Row],[Дата]])</f>
        <v>Апрель 2025</v>
      </c>
      <c r="E2543" t="s">
        <v>25</v>
      </c>
      <c r="F2543" t="s">
        <v>12</v>
      </c>
      <c r="G2543">
        <v>2</v>
      </c>
      <c r="H2543">
        <v>432</v>
      </c>
      <c r="I2543" t="s">
        <v>35</v>
      </c>
      <c r="J2543" t="str">
        <f>_xlfn.XLOOKUP(branches[[#This Row],[Филиал]], tbl_Filialy[Филиал], tbl_Filialy[Менеджер])</f>
        <v>Ольга Кузнецова</v>
      </c>
    </row>
    <row r="2544" spans="1:10" x14ac:dyDescent="0.3">
      <c r="A2544" t="str">
        <f>_xlfn.XLOOKUP(branches[[#This Row],[Филиал]], tbl_Filialy[Филиал], tbl_Filialy[Город])</f>
        <v>Новосибирск</v>
      </c>
      <c r="B2544" s="1" t="s">
        <v>37</v>
      </c>
      <c r="C2544" s="2">
        <v>45758</v>
      </c>
      <c r="D2544" s="2" t="str">
        <f>CHOOSE(MONTH(branches[[#This Row],[Дата]]),"Январь","Февраль","Март","Апрель","Май","Июнь","Июль","Август","Сентябрь","Октябрь","Ноябрь","Декабрь")&amp;" "&amp;YEAR(branches[[#This Row],[Дата]])</f>
        <v>Апрель 2025</v>
      </c>
      <c r="E2544" t="s">
        <v>16</v>
      </c>
      <c r="F2544" t="s">
        <v>17</v>
      </c>
      <c r="G2544">
        <v>1</v>
      </c>
      <c r="H2544">
        <v>306</v>
      </c>
      <c r="I2544" t="s">
        <v>35</v>
      </c>
      <c r="J2544" t="str">
        <f>_xlfn.XLOOKUP(branches[[#This Row],[Филиал]], tbl_Filialy[Филиал], tbl_Filialy[Менеджер])</f>
        <v>Ольга Кузнецова</v>
      </c>
    </row>
    <row r="2545" spans="1:10" x14ac:dyDescent="0.3">
      <c r="A2545" t="str">
        <f>_xlfn.XLOOKUP(branches[[#This Row],[Филиал]], tbl_Filialy[Филиал], tbl_Filialy[Город])</f>
        <v>Новосибирск</v>
      </c>
      <c r="B2545" s="1" t="s">
        <v>37</v>
      </c>
      <c r="C2545" s="2">
        <v>46019</v>
      </c>
      <c r="D2545" s="2" t="str">
        <f>CHOOSE(MONTH(branches[[#This Row],[Дата]]),"Январь","Февраль","Март","Апрель","Май","Июнь","Июль","Август","Сентябрь","Октябрь","Ноябрь","Декабрь")&amp;" "&amp;YEAR(branches[[#This Row],[Дата]])</f>
        <v>Декабрь 2025</v>
      </c>
      <c r="E2545" t="s">
        <v>18</v>
      </c>
      <c r="F2545" t="s">
        <v>12</v>
      </c>
      <c r="G2545">
        <v>1</v>
      </c>
      <c r="H2545">
        <v>126</v>
      </c>
      <c r="I2545" t="s">
        <v>35</v>
      </c>
      <c r="J2545" t="str">
        <f>_xlfn.XLOOKUP(branches[[#This Row],[Филиал]], tbl_Filialy[Филиал], tbl_Filialy[Менеджер])</f>
        <v>Ольга Кузнецова</v>
      </c>
    </row>
    <row r="2546" spans="1:10" x14ac:dyDescent="0.3">
      <c r="A2546" t="str">
        <f>_xlfn.XLOOKUP(branches[[#This Row],[Филиал]], tbl_Filialy[Филиал], tbl_Filialy[Город])</f>
        <v>Новосибирск</v>
      </c>
      <c r="B2546" s="1" t="s">
        <v>37</v>
      </c>
      <c r="C2546" s="2">
        <v>46016</v>
      </c>
      <c r="D2546" s="2" t="str">
        <f>CHOOSE(MONTH(branches[[#This Row],[Дата]]),"Январь","Февраль","Март","Апрель","Май","Июнь","Июль","Август","Сентябрь","Октябрь","Ноябрь","Декабрь")&amp;" "&amp;YEAR(branches[[#This Row],[Дата]])</f>
        <v>Декабрь 2025</v>
      </c>
      <c r="E2546" t="s">
        <v>25</v>
      </c>
      <c r="F2546" t="s">
        <v>12</v>
      </c>
      <c r="G2546">
        <v>1</v>
      </c>
      <c r="H2546">
        <v>200</v>
      </c>
      <c r="I2546" t="s">
        <v>35</v>
      </c>
      <c r="J2546" t="str">
        <f>_xlfn.XLOOKUP(branches[[#This Row],[Филиал]], tbl_Filialy[Филиал], tbl_Filialy[Менеджер])</f>
        <v>Ольга Кузнецова</v>
      </c>
    </row>
    <row r="2547" spans="1:10" x14ac:dyDescent="0.3">
      <c r="A2547" t="str">
        <f>_xlfn.XLOOKUP(branches[[#This Row],[Филиал]], tbl_Filialy[Филиал], tbl_Filialy[Город])</f>
        <v>Новосибирск</v>
      </c>
      <c r="B2547" s="1" t="s">
        <v>37</v>
      </c>
      <c r="C2547" s="2">
        <v>46018</v>
      </c>
      <c r="D2547" s="2" t="str">
        <f>CHOOSE(MONTH(branches[[#This Row],[Дата]]),"Январь","Февраль","Март","Апрель","Май","Июнь","Июль","Август","Сентябрь","Октябрь","Ноябрь","Декабрь")&amp;" "&amp;YEAR(branches[[#This Row],[Дата]])</f>
        <v>Декабрь 2025</v>
      </c>
      <c r="E2547" t="s">
        <v>20</v>
      </c>
      <c r="F2547" t="s">
        <v>12</v>
      </c>
      <c r="G2547">
        <v>2</v>
      </c>
      <c r="H2547">
        <v>502</v>
      </c>
      <c r="I2547" t="s">
        <v>35</v>
      </c>
      <c r="J2547" t="str">
        <f>_xlfn.XLOOKUP(branches[[#This Row],[Филиал]], tbl_Filialy[Филиал], tbl_Filialy[Менеджер])</f>
        <v>Ольга Кузнецова</v>
      </c>
    </row>
    <row r="2548" spans="1:10" x14ac:dyDescent="0.3">
      <c r="A2548" t="str">
        <f>_xlfn.XLOOKUP(branches[[#This Row],[Филиал]], tbl_Filialy[Филиал], tbl_Filialy[Город])</f>
        <v>Новосибирск</v>
      </c>
      <c r="B2548" s="1" t="s">
        <v>37</v>
      </c>
      <c r="C2548" s="2">
        <v>45795</v>
      </c>
      <c r="D2548" s="2" t="str">
        <f>CHOOSE(MONTH(branches[[#This Row],[Дата]]),"Январь","Февраль","Март","Апрель","Май","Июнь","Июль","Август","Сентябрь","Октябрь","Ноябрь","Декабрь")&amp;" "&amp;YEAR(branches[[#This Row],[Дата]])</f>
        <v>Май 2025</v>
      </c>
      <c r="E2548" t="s">
        <v>22</v>
      </c>
      <c r="F2548" t="s">
        <v>9</v>
      </c>
      <c r="G2548">
        <v>1</v>
      </c>
      <c r="H2548">
        <v>184</v>
      </c>
      <c r="I2548" t="s">
        <v>13</v>
      </c>
      <c r="J2548" t="str">
        <f>_xlfn.XLOOKUP(branches[[#This Row],[Филиал]], tbl_Filialy[Филиал], tbl_Filialy[Менеджер])</f>
        <v>Ольга Кузнецова</v>
      </c>
    </row>
    <row r="2549" spans="1:10" x14ac:dyDescent="0.3">
      <c r="A2549" t="str">
        <f>_xlfn.XLOOKUP(branches[[#This Row],[Филиал]], tbl_Filialy[Филиал], tbl_Filialy[Город])</f>
        <v>Новосибирск</v>
      </c>
      <c r="B2549" s="1" t="s">
        <v>37</v>
      </c>
      <c r="C2549" s="2">
        <v>45844</v>
      </c>
      <c r="D2549" s="2" t="str">
        <f>CHOOSE(MONTH(branches[[#This Row],[Дата]]),"Январь","Февраль","Март","Апрель","Май","Июнь","Июль","Август","Сентябрь","Октябрь","Ноябрь","Декабрь")&amp;" "&amp;YEAR(branches[[#This Row],[Дата]])</f>
        <v>Июль 2025</v>
      </c>
      <c r="E2549" t="s">
        <v>22</v>
      </c>
      <c r="F2549" t="s">
        <v>9</v>
      </c>
      <c r="G2549">
        <v>1</v>
      </c>
      <c r="H2549">
        <v>340</v>
      </c>
      <c r="I2549" t="s">
        <v>19</v>
      </c>
      <c r="J2549" t="str">
        <f>_xlfn.XLOOKUP(branches[[#This Row],[Филиал]], tbl_Filialy[Филиал], tbl_Filialy[Менеджер])</f>
        <v>Ольга Кузнецова</v>
      </c>
    </row>
    <row r="2550" spans="1:10" x14ac:dyDescent="0.3">
      <c r="A2550" t="str">
        <f>_xlfn.XLOOKUP(branches[[#This Row],[Филиал]], tbl_Filialy[Филиал], tbl_Filialy[Город])</f>
        <v>Новосибирск</v>
      </c>
      <c r="B2550" s="1" t="s">
        <v>37</v>
      </c>
      <c r="C2550" s="2">
        <v>45996</v>
      </c>
      <c r="D2550" s="2" t="str">
        <f>CHOOSE(MONTH(branches[[#This Row],[Дата]]),"Январь","Февраль","Март","Апрель","Май","Июнь","Июль","Август","Сентябрь","Октябрь","Ноябрь","Декабрь")&amp;" "&amp;YEAR(branches[[#This Row],[Дата]])</f>
        <v>Декабрь 2025</v>
      </c>
      <c r="E2550" t="s">
        <v>8</v>
      </c>
      <c r="F2550" t="s">
        <v>9</v>
      </c>
      <c r="G2550">
        <v>2</v>
      </c>
      <c r="H2550">
        <v>464</v>
      </c>
      <c r="I2550" t="s">
        <v>34</v>
      </c>
      <c r="J2550" t="str">
        <f>_xlfn.XLOOKUP(branches[[#This Row],[Филиал]], tbl_Filialy[Филиал], tbl_Filialy[Менеджер])</f>
        <v>Ольга Кузнецова</v>
      </c>
    </row>
    <row r="2551" spans="1:10" x14ac:dyDescent="0.3">
      <c r="A2551" t="str">
        <f>_xlfn.XLOOKUP(branches[[#This Row],[Филиал]], tbl_Filialy[Филиал], tbl_Filialy[Город])</f>
        <v>Новосибирск</v>
      </c>
      <c r="B2551" s="1" t="s">
        <v>37</v>
      </c>
      <c r="C2551" s="2">
        <v>45955</v>
      </c>
      <c r="D2551" s="2" t="str">
        <f>CHOOSE(MONTH(branches[[#This Row],[Дата]]),"Январь","Февраль","Март","Апрель","Май","Июнь","Июль","Август","Сентябрь","Октябрь","Ноябрь","Декабрь")&amp;" "&amp;YEAR(branches[[#This Row],[Дата]])</f>
        <v>Октябрь 2025</v>
      </c>
      <c r="E2551" t="s">
        <v>22</v>
      </c>
      <c r="F2551" t="s">
        <v>9</v>
      </c>
      <c r="G2551">
        <v>1</v>
      </c>
      <c r="H2551">
        <v>164</v>
      </c>
      <c r="I2551" t="s">
        <v>35</v>
      </c>
      <c r="J2551" t="str">
        <f>_xlfn.XLOOKUP(branches[[#This Row],[Филиал]], tbl_Filialy[Филиал], tbl_Filialy[Менеджер])</f>
        <v>Ольга Кузнецова</v>
      </c>
    </row>
    <row r="2552" spans="1:10" x14ac:dyDescent="0.3">
      <c r="A2552" t="str">
        <f>_xlfn.XLOOKUP(branches[[#This Row],[Филиал]], tbl_Filialy[Филиал], tbl_Filialy[Город])</f>
        <v>Новосибирск</v>
      </c>
      <c r="B2552" s="1" t="s">
        <v>37</v>
      </c>
      <c r="C2552" s="2">
        <v>45778</v>
      </c>
      <c r="D2552" s="2" t="str">
        <f>CHOOSE(MONTH(branches[[#This Row],[Дата]]),"Январь","Февраль","Март","Апрель","Май","Июнь","Июль","Август","Сентябрь","Октябрь","Ноябрь","Декабрь")&amp;" "&amp;YEAR(branches[[#This Row],[Дата]])</f>
        <v>Май 2025</v>
      </c>
      <c r="E2552" t="s">
        <v>25</v>
      </c>
      <c r="F2552" t="s">
        <v>12</v>
      </c>
      <c r="G2552">
        <v>3</v>
      </c>
      <c r="H2552">
        <v>672</v>
      </c>
      <c r="I2552" t="s">
        <v>33</v>
      </c>
      <c r="J2552" t="str">
        <f>_xlfn.XLOOKUP(branches[[#This Row],[Филиал]], tbl_Filialy[Филиал], tbl_Filialy[Менеджер])</f>
        <v>Ольга Кузнецова</v>
      </c>
    </row>
    <row r="2553" spans="1:10" x14ac:dyDescent="0.3">
      <c r="A2553" t="str">
        <f>_xlfn.XLOOKUP(branches[[#This Row],[Филиал]], tbl_Filialy[Филиал], tbl_Filialy[Город])</f>
        <v>Новосибирск</v>
      </c>
      <c r="B2553" s="1" t="s">
        <v>37</v>
      </c>
      <c r="C2553" s="2">
        <v>45925</v>
      </c>
      <c r="D2553" s="2" t="str">
        <f>CHOOSE(MONTH(branches[[#This Row],[Дата]]),"Январь","Февраль","Март","Апрель","Май","Июнь","Июль","Август","Сентябрь","Октябрь","Ноябрь","Декабрь")&amp;" "&amp;YEAR(branches[[#This Row],[Дата]])</f>
        <v>Сентябрь 2025</v>
      </c>
      <c r="E2553" t="s">
        <v>27</v>
      </c>
      <c r="F2553" t="s">
        <v>12</v>
      </c>
      <c r="G2553">
        <v>2</v>
      </c>
      <c r="H2553">
        <v>408</v>
      </c>
      <c r="I2553" t="s">
        <v>34</v>
      </c>
      <c r="J2553" t="str">
        <f>_xlfn.XLOOKUP(branches[[#This Row],[Филиал]], tbl_Filialy[Филиал], tbl_Filialy[Менеджер])</f>
        <v>Ольга Кузнецова</v>
      </c>
    </row>
    <row r="2554" spans="1:10" x14ac:dyDescent="0.3">
      <c r="A2554" t="str">
        <f>_xlfn.XLOOKUP(branches[[#This Row],[Филиал]], tbl_Filialy[Филиал], tbl_Filialy[Город])</f>
        <v>Новосибирск</v>
      </c>
      <c r="B2554" s="1" t="s">
        <v>37</v>
      </c>
      <c r="C2554" s="2">
        <v>45949</v>
      </c>
      <c r="D2554" s="2" t="str">
        <f>CHOOSE(MONTH(branches[[#This Row],[Дата]]),"Январь","Февраль","Март","Апрель","Май","Июнь","Июль","Август","Сентябрь","Октябрь","Ноябрь","Декабрь")&amp;" "&amp;YEAR(branches[[#This Row],[Дата]])</f>
        <v>Октябрь 2025</v>
      </c>
      <c r="E2554" t="s">
        <v>8</v>
      </c>
      <c r="F2554" t="s">
        <v>9</v>
      </c>
      <c r="G2554">
        <v>2</v>
      </c>
      <c r="H2554">
        <v>546</v>
      </c>
      <c r="I2554" t="s">
        <v>33</v>
      </c>
      <c r="J2554" t="str">
        <f>_xlfn.XLOOKUP(branches[[#This Row],[Филиал]], tbl_Filialy[Филиал], tbl_Filialy[Менеджер])</f>
        <v>Ольга Кузнецова</v>
      </c>
    </row>
    <row r="2555" spans="1:10" x14ac:dyDescent="0.3">
      <c r="A2555" t="str">
        <f>_xlfn.XLOOKUP(branches[[#This Row],[Филиал]], tbl_Filialy[Филиал], tbl_Filialy[Город])</f>
        <v>Новосибирск</v>
      </c>
      <c r="B2555" s="1" t="s">
        <v>37</v>
      </c>
      <c r="C2555" s="2">
        <v>45934</v>
      </c>
      <c r="D2555" s="2" t="str">
        <f>CHOOSE(MONTH(branches[[#This Row],[Дата]]),"Январь","Февраль","Март","Апрель","Май","Июнь","Июль","Август","Сентябрь","Октябрь","Ноябрь","Декабрь")&amp;" "&amp;YEAR(branches[[#This Row],[Дата]])</f>
        <v>Октябрь 2025</v>
      </c>
      <c r="E2555" t="s">
        <v>25</v>
      </c>
      <c r="F2555" t="s">
        <v>12</v>
      </c>
      <c r="G2555">
        <v>3</v>
      </c>
      <c r="H2555">
        <v>636</v>
      </c>
      <c r="I2555" t="s">
        <v>35</v>
      </c>
      <c r="J2555" t="str">
        <f>_xlfn.XLOOKUP(branches[[#This Row],[Филиал]], tbl_Filialy[Филиал], tbl_Filialy[Менеджер])</f>
        <v>Ольга Кузнецова</v>
      </c>
    </row>
    <row r="2556" spans="1:10" x14ac:dyDescent="0.3">
      <c r="A2556" t="str">
        <f>_xlfn.XLOOKUP(branches[[#This Row],[Филиал]], tbl_Filialy[Филиал], tbl_Filialy[Город])</f>
        <v>Новосибирск</v>
      </c>
      <c r="B2556" s="1" t="s">
        <v>37</v>
      </c>
      <c r="C2556" s="2">
        <v>45913</v>
      </c>
      <c r="D2556" s="2" t="str">
        <f>CHOOSE(MONTH(branches[[#This Row],[Дата]]),"Январь","Февраль","Март","Апрель","Май","Июнь","Июль","Август","Сентябрь","Октябрь","Ноябрь","Декабрь")&amp;" "&amp;YEAR(branches[[#This Row],[Дата]])</f>
        <v>Сентябрь 2025</v>
      </c>
      <c r="E2556" t="s">
        <v>27</v>
      </c>
      <c r="F2556" t="s">
        <v>12</v>
      </c>
      <c r="G2556">
        <v>1</v>
      </c>
      <c r="H2556">
        <v>190</v>
      </c>
      <c r="I2556" t="s">
        <v>32</v>
      </c>
      <c r="J2556" t="str">
        <f>_xlfn.XLOOKUP(branches[[#This Row],[Филиал]], tbl_Filialy[Филиал], tbl_Filialy[Менеджер])</f>
        <v>Ольга Кузнецова</v>
      </c>
    </row>
    <row r="2557" spans="1:10" x14ac:dyDescent="0.3">
      <c r="A2557" t="str">
        <f>_xlfn.XLOOKUP(branches[[#This Row],[Филиал]], tbl_Filialy[Филиал], tbl_Filialy[Город])</f>
        <v>Новосибирск</v>
      </c>
      <c r="B2557" s="1" t="s">
        <v>37</v>
      </c>
      <c r="C2557" s="2">
        <v>45742</v>
      </c>
      <c r="D2557" s="2" t="str">
        <f>CHOOSE(MONTH(branches[[#This Row],[Дата]]),"Январь","Февраль","Март","Апрель","Май","Июнь","Июль","Август","Сентябрь","Октябрь","Ноябрь","Декабрь")&amp;" "&amp;YEAR(branches[[#This Row],[Дата]])</f>
        <v>Март 2025</v>
      </c>
      <c r="E2557" t="s">
        <v>26</v>
      </c>
      <c r="F2557" t="s">
        <v>9</v>
      </c>
      <c r="G2557">
        <v>2</v>
      </c>
      <c r="H2557">
        <v>404</v>
      </c>
      <c r="I2557" t="s">
        <v>35</v>
      </c>
      <c r="J2557" t="str">
        <f>_xlfn.XLOOKUP(branches[[#This Row],[Филиал]], tbl_Filialy[Филиал], tbl_Filialy[Менеджер])</f>
        <v>Ольга Кузнецова</v>
      </c>
    </row>
    <row r="2558" spans="1:10" x14ac:dyDescent="0.3">
      <c r="A2558" t="str">
        <f>_xlfn.XLOOKUP(branches[[#This Row],[Филиал]], tbl_Filialy[Филиал], tbl_Filialy[Город])</f>
        <v>Новосибирск</v>
      </c>
      <c r="B2558" s="1" t="s">
        <v>37</v>
      </c>
      <c r="C2558" s="2">
        <v>45764</v>
      </c>
      <c r="D2558" s="2" t="str">
        <f>CHOOSE(MONTH(branches[[#This Row],[Дата]]),"Январь","Февраль","Март","Апрель","Май","Июнь","Июль","Август","Сентябрь","Октябрь","Ноябрь","Декабрь")&amp;" "&amp;YEAR(branches[[#This Row],[Дата]])</f>
        <v>Апрель 2025</v>
      </c>
      <c r="E2558" t="s">
        <v>11</v>
      </c>
      <c r="F2558" t="s">
        <v>12</v>
      </c>
      <c r="G2558">
        <v>2</v>
      </c>
      <c r="H2558">
        <v>376</v>
      </c>
      <c r="I2558" t="s">
        <v>19</v>
      </c>
      <c r="J2558" t="str">
        <f>_xlfn.XLOOKUP(branches[[#This Row],[Филиал]], tbl_Filialy[Филиал], tbl_Filialy[Менеджер])</f>
        <v>Ольга Кузнецова</v>
      </c>
    </row>
    <row r="2559" spans="1:10" x14ac:dyDescent="0.3">
      <c r="A2559" t="str">
        <f>_xlfn.XLOOKUP(branches[[#This Row],[Филиал]], tbl_Filialy[Филиал], tbl_Filialy[Город])</f>
        <v>Новосибирск</v>
      </c>
      <c r="B2559" s="1" t="s">
        <v>37</v>
      </c>
      <c r="C2559" s="2">
        <v>45757</v>
      </c>
      <c r="D2559" s="2" t="str">
        <f>CHOOSE(MONTH(branches[[#This Row],[Дата]]),"Январь","Февраль","Март","Апрель","Май","Июнь","Июль","Август","Сентябрь","Октябрь","Ноябрь","Декабрь")&amp;" "&amp;YEAR(branches[[#This Row],[Дата]])</f>
        <v>Апрель 2025</v>
      </c>
      <c r="E2559" t="s">
        <v>20</v>
      </c>
      <c r="F2559" t="s">
        <v>12</v>
      </c>
      <c r="G2559">
        <v>2</v>
      </c>
      <c r="H2559">
        <v>592</v>
      </c>
      <c r="I2559" t="s">
        <v>19</v>
      </c>
      <c r="J2559" t="str">
        <f>_xlfn.XLOOKUP(branches[[#This Row],[Филиал]], tbl_Filialy[Филиал], tbl_Filialy[Менеджер])</f>
        <v>Ольга Кузнецова</v>
      </c>
    </row>
    <row r="2560" spans="1:10" x14ac:dyDescent="0.3">
      <c r="A2560" t="str">
        <f>_xlfn.XLOOKUP(branches[[#This Row],[Филиал]], tbl_Filialy[Филиал], tbl_Filialy[Город])</f>
        <v>Новосибирск</v>
      </c>
      <c r="B2560" s="1" t="s">
        <v>37</v>
      </c>
      <c r="C2560" s="2">
        <v>45665</v>
      </c>
      <c r="D2560" s="2" t="str">
        <f>CHOOSE(MONTH(branches[[#This Row],[Дата]]),"Январь","Февраль","Март","Апрель","Май","Июнь","Июль","Август","Сентябрь","Октябрь","Ноябрь","Декабрь")&amp;" "&amp;YEAR(branches[[#This Row],[Дата]])</f>
        <v>Январь 2025</v>
      </c>
      <c r="E2560" t="s">
        <v>14</v>
      </c>
      <c r="F2560" t="s">
        <v>12</v>
      </c>
      <c r="G2560">
        <v>2</v>
      </c>
      <c r="H2560">
        <v>552</v>
      </c>
      <c r="I2560" t="s">
        <v>32</v>
      </c>
      <c r="J2560" t="str">
        <f>_xlfn.XLOOKUP(branches[[#This Row],[Филиал]], tbl_Filialy[Филиал], tbl_Filialy[Менеджер])</f>
        <v>Ольга Кузнецова</v>
      </c>
    </row>
    <row r="2561" spans="1:10" x14ac:dyDescent="0.3">
      <c r="A2561" t="str">
        <f>_xlfn.XLOOKUP(branches[[#This Row],[Филиал]], tbl_Filialy[Филиал], tbl_Filialy[Город])</f>
        <v>Новосибирск</v>
      </c>
      <c r="B2561" s="1" t="s">
        <v>37</v>
      </c>
      <c r="C2561" s="2">
        <v>45748</v>
      </c>
      <c r="D2561" s="2" t="str">
        <f>CHOOSE(MONTH(branches[[#This Row],[Дата]]),"Январь","Февраль","Март","Апрель","Май","Июнь","Июль","Август","Сентябрь","Октябрь","Ноябрь","Декабрь")&amp;" "&amp;YEAR(branches[[#This Row],[Дата]])</f>
        <v>Апрель 2025</v>
      </c>
      <c r="E2561" t="s">
        <v>16</v>
      </c>
      <c r="F2561" t="s">
        <v>17</v>
      </c>
      <c r="G2561">
        <v>2</v>
      </c>
      <c r="H2561">
        <v>654</v>
      </c>
      <c r="I2561" t="s">
        <v>33</v>
      </c>
      <c r="J2561" t="str">
        <f>_xlfn.XLOOKUP(branches[[#This Row],[Филиал]], tbl_Filialy[Филиал], tbl_Filialy[Менеджер])</f>
        <v>Ольга Кузнецова</v>
      </c>
    </row>
    <row r="2562" spans="1:10" x14ac:dyDescent="0.3">
      <c r="A2562" t="str">
        <f>_xlfn.XLOOKUP(branches[[#This Row],[Филиал]], tbl_Filialy[Филиал], tbl_Filialy[Город])</f>
        <v>Новосибирск</v>
      </c>
      <c r="B2562" s="1" t="s">
        <v>37</v>
      </c>
      <c r="C2562" s="2">
        <v>45658</v>
      </c>
      <c r="D2562" s="2" t="str">
        <f>CHOOSE(MONTH(branches[[#This Row],[Дата]]),"Январь","Февраль","Март","Апрель","Май","Июнь","Июль","Август","Сентябрь","Октябрь","Ноябрь","Декабрь")&amp;" "&amp;YEAR(branches[[#This Row],[Дата]])</f>
        <v>Январь 2025</v>
      </c>
      <c r="E2562" t="s">
        <v>16</v>
      </c>
      <c r="F2562" t="s">
        <v>17</v>
      </c>
      <c r="G2562">
        <v>1</v>
      </c>
      <c r="H2562">
        <v>360</v>
      </c>
      <c r="I2562" t="s">
        <v>13</v>
      </c>
      <c r="J2562" t="str">
        <f>_xlfn.XLOOKUP(branches[[#This Row],[Филиал]], tbl_Filialy[Филиал], tbl_Filialy[Менеджер])</f>
        <v>Ольга Кузнецова</v>
      </c>
    </row>
    <row r="2563" spans="1:10" x14ac:dyDescent="0.3">
      <c r="A2563" t="str">
        <f>_xlfn.XLOOKUP(branches[[#This Row],[Филиал]], tbl_Filialy[Филиал], tbl_Filialy[Город])</f>
        <v>Новосибирск</v>
      </c>
      <c r="B2563" s="1" t="s">
        <v>37</v>
      </c>
      <c r="C2563" s="2">
        <v>45658</v>
      </c>
      <c r="D2563" s="2" t="str">
        <f>CHOOSE(MONTH(branches[[#This Row],[Дата]]),"Январь","Февраль","Март","Апрель","Май","Июнь","Июль","Август","Сентябрь","Октябрь","Ноябрь","Декабрь")&amp;" "&amp;YEAR(branches[[#This Row],[Дата]])</f>
        <v>Январь 2025</v>
      </c>
      <c r="E2563" t="s">
        <v>28</v>
      </c>
      <c r="F2563" t="s">
        <v>12</v>
      </c>
      <c r="G2563">
        <v>1</v>
      </c>
      <c r="H2563">
        <v>257</v>
      </c>
      <c r="I2563" t="s">
        <v>34</v>
      </c>
      <c r="J2563" t="str">
        <f>_xlfn.XLOOKUP(branches[[#This Row],[Филиал]], tbl_Filialy[Филиал], tbl_Filialy[Менеджер])</f>
        <v>Ольга Кузнецова</v>
      </c>
    </row>
    <row r="2564" spans="1:10" x14ac:dyDescent="0.3">
      <c r="A2564" t="str">
        <f>_xlfn.XLOOKUP(branches[[#This Row],[Филиал]], tbl_Filialy[Филиал], tbl_Filialy[Город])</f>
        <v>Новосибирск</v>
      </c>
      <c r="B2564" s="1" t="s">
        <v>37</v>
      </c>
      <c r="C2564" s="2">
        <v>45968</v>
      </c>
      <c r="D2564" s="2" t="str">
        <f>CHOOSE(MONTH(branches[[#This Row],[Дата]]),"Январь","Февраль","Март","Апрель","Май","Июнь","Июль","Август","Сентябрь","Октябрь","Ноябрь","Декабрь")&amp;" "&amp;YEAR(branches[[#This Row],[Дата]])</f>
        <v>Ноябрь 2025</v>
      </c>
      <c r="E2564" t="s">
        <v>11</v>
      </c>
      <c r="F2564" t="s">
        <v>12</v>
      </c>
      <c r="G2564">
        <v>1</v>
      </c>
      <c r="H2564">
        <v>170</v>
      </c>
      <c r="I2564" t="s">
        <v>13</v>
      </c>
      <c r="J2564" t="str">
        <f>_xlfn.XLOOKUP(branches[[#This Row],[Филиал]], tbl_Filialy[Филиал], tbl_Filialy[Менеджер])</f>
        <v>Ольга Кузнецова</v>
      </c>
    </row>
    <row r="2565" spans="1:10" x14ac:dyDescent="0.3">
      <c r="A2565" t="str">
        <f>_xlfn.XLOOKUP(branches[[#This Row],[Филиал]], tbl_Filialy[Филиал], tbl_Filialy[Город])</f>
        <v>Новосибирск</v>
      </c>
      <c r="B2565" s="1" t="s">
        <v>37</v>
      </c>
      <c r="C2565" s="2">
        <v>45685</v>
      </c>
      <c r="D2565" s="2" t="str">
        <f>CHOOSE(MONTH(branches[[#This Row],[Дата]]),"Январь","Февраль","Март","Апрель","Май","Июнь","Июль","Август","Сентябрь","Октябрь","Ноябрь","Декабрь")&amp;" "&amp;YEAR(branches[[#This Row],[Дата]])</f>
        <v>Январь 2025</v>
      </c>
      <c r="E2565" t="s">
        <v>8</v>
      </c>
      <c r="F2565" t="s">
        <v>9</v>
      </c>
      <c r="G2565">
        <v>1</v>
      </c>
      <c r="H2565">
        <v>276</v>
      </c>
      <c r="I2565" t="s">
        <v>33</v>
      </c>
      <c r="J2565" t="str">
        <f>_xlfn.XLOOKUP(branches[[#This Row],[Филиал]], tbl_Filialy[Филиал], tbl_Filialy[Менеджер])</f>
        <v>Ольга Кузнецова</v>
      </c>
    </row>
    <row r="2566" spans="1:10" x14ac:dyDescent="0.3">
      <c r="A2566" t="str">
        <f>_xlfn.XLOOKUP(branches[[#This Row],[Филиал]], tbl_Filialy[Филиал], tbl_Filialy[Город])</f>
        <v>Новосибирск</v>
      </c>
      <c r="B2566" s="1" t="s">
        <v>37</v>
      </c>
      <c r="C2566" s="2">
        <v>45680</v>
      </c>
      <c r="D2566" s="2" t="str">
        <f>CHOOSE(MONTH(branches[[#This Row],[Дата]]),"Январь","Февраль","Март","Апрель","Май","Июнь","Июль","Август","Сентябрь","Октябрь","Ноябрь","Декабрь")&amp;" "&amp;YEAR(branches[[#This Row],[Дата]])</f>
        <v>Январь 2025</v>
      </c>
      <c r="E2566" t="s">
        <v>11</v>
      </c>
      <c r="F2566" t="s">
        <v>12</v>
      </c>
      <c r="G2566">
        <v>1</v>
      </c>
      <c r="H2566">
        <v>171</v>
      </c>
      <c r="I2566" t="s">
        <v>32</v>
      </c>
      <c r="J2566" t="str">
        <f>_xlfn.XLOOKUP(branches[[#This Row],[Филиал]], tbl_Filialy[Филиал], tbl_Filialy[Менеджер])</f>
        <v>Ольга Кузнецова</v>
      </c>
    </row>
    <row r="2567" spans="1:10" x14ac:dyDescent="0.3">
      <c r="A2567" t="str">
        <f>_xlfn.XLOOKUP(branches[[#This Row],[Филиал]], tbl_Filialy[Филиал], tbl_Filialy[Город])</f>
        <v>Новосибирск</v>
      </c>
      <c r="B2567" s="1" t="s">
        <v>37</v>
      </c>
      <c r="C2567" s="2">
        <v>45662</v>
      </c>
      <c r="D2567" s="2" t="str">
        <f>CHOOSE(MONTH(branches[[#This Row],[Дата]]),"Январь","Февраль","Март","Апрель","Май","Июнь","Июль","Август","Сентябрь","Октябрь","Ноябрь","Декабрь")&amp;" "&amp;YEAR(branches[[#This Row],[Дата]])</f>
        <v>Январь 2025</v>
      </c>
      <c r="E2567" t="s">
        <v>26</v>
      </c>
      <c r="F2567" t="s">
        <v>9</v>
      </c>
      <c r="G2567">
        <v>2</v>
      </c>
      <c r="H2567">
        <v>412</v>
      </c>
      <c r="I2567" t="s">
        <v>34</v>
      </c>
      <c r="J2567" t="str">
        <f>_xlfn.XLOOKUP(branches[[#This Row],[Филиал]], tbl_Filialy[Филиал], tbl_Filialy[Менеджер])</f>
        <v>Ольга Кузнецова</v>
      </c>
    </row>
    <row r="2568" spans="1:10" x14ac:dyDescent="0.3">
      <c r="A2568" t="str">
        <f>_xlfn.XLOOKUP(branches[[#This Row],[Филиал]], tbl_Filialy[Филиал], tbl_Filialy[Город])</f>
        <v>Новосибирск</v>
      </c>
      <c r="B2568" s="1" t="s">
        <v>37</v>
      </c>
      <c r="C2568" s="2">
        <v>45887</v>
      </c>
      <c r="D2568" s="2" t="str">
        <f>CHOOSE(MONTH(branches[[#This Row],[Дата]]),"Январь","Февраль","Март","Апрель","Май","Июнь","Июль","Август","Сентябрь","Октябрь","Ноябрь","Декабрь")&amp;" "&amp;YEAR(branches[[#This Row],[Дата]])</f>
        <v>Август 2025</v>
      </c>
      <c r="E2568" t="s">
        <v>11</v>
      </c>
      <c r="F2568" t="s">
        <v>12</v>
      </c>
      <c r="G2568">
        <v>1</v>
      </c>
      <c r="H2568">
        <v>146</v>
      </c>
      <c r="I2568" t="s">
        <v>34</v>
      </c>
      <c r="J2568" t="str">
        <f>_xlfn.XLOOKUP(branches[[#This Row],[Филиал]], tbl_Filialy[Филиал], tbl_Filialy[Менеджер])</f>
        <v>Ольга Кузнецова</v>
      </c>
    </row>
    <row r="2569" spans="1:10" x14ac:dyDescent="0.3">
      <c r="A2569" t="str">
        <f>_xlfn.XLOOKUP(branches[[#This Row],[Филиал]], tbl_Filialy[Филиал], tbl_Filialy[Город])</f>
        <v>Новосибирск</v>
      </c>
      <c r="B2569" s="1" t="s">
        <v>37</v>
      </c>
      <c r="C2569" s="2">
        <v>45671</v>
      </c>
      <c r="D2569" s="2" t="str">
        <f>CHOOSE(MONTH(branches[[#This Row],[Дата]]),"Январь","Февраль","Март","Апрель","Май","Июнь","Июль","Август","Сентябрь","Октябрь","Ноябрь","Декабрь")&amp;" "&amp;YEAR(branches[[#This Row],[Дата]])</f>
        <v>Январь 2025</v>
      </c>
      <c r="E2569" t="s">
        <v>18</v>
      </c>
      <c r="F2569" t="s">
        <v>12</v>
      </c>
      <c r="G2569">
        <v>1</v>
      </c>
      <c r="H2569">
        <v>156</v>
      </c>
      <c r="I2569" t="s">
        <v>35</v>
      </c>
      <c r="J2569" t="str">
        <f>_xlfn.XLOOKUP(branches[[#This Row],[Филиал]], tbl_Filialy[Филиал], tbl_Filialy[Менеджер])</f>
        <v>Ольга Кузнецова</v>
      </c>
    </row>
    <row r="2570" spans="1:10" x14ac:dyDescent="0.3">
      <c r="A2570" t="str">
        <f>_xlfn.XLOOKUP(branches[[#This Row],[Филиал]], tbl_Filialy[Филиал], tbl_Filialy[Город])</f>
        <v>Новосибирск</v>
      </c>
      <c r="B2570" s="1" t="s">
        <v>37</v>
      </c>
      <c r="C2570" s="2">
        <v>45893</v>
      </c>
      <c r="D2570" s="2" t="str">
        <f>CHOOSE(MONTH(branches[[#This Row],[Дата]]),"Январь","Февраль","Март","Апрель","Май","Июнь","Июль","Август","Сентябрь","Октябрь","Ноябрь","Декабрь")&amp;" "&amp;YEAR(branches[[#This Row],[Дата]])</f>
        <v>Август 2025</v>
      </c>
      <c r="E2570" t="s">
        <v>28</v>
      </c>
      <c r="F2570" t="s">
        <v>12</v>
      </c>
      <c r="G2570">
        <v>2</v>
      </c>
      <c r="H2570">
        <v>416</v>
      </c>
      <c r="I2570" t="s">
        <v>19</v>
      </c>
      <c r="J2570" t="str">
        <f>_xlfn.XLOOKUP(branches[[#This Row],[Филиал]], tbl_Filialy[Филиал], tbl_Filialy[Менеджер])</f>
        <v>Ольга Кузнецова</v>
      </c>
    </row>
    <row r="2571" spans="1:10" x14ac:dyDescent="0.3">
      <c r="A2571" t="str">
        <f>_xlfn.XLOOKUP(branches[[#This Row],[Филиал]], tbl_Filialy[Филиал], tbl_Filialy[Город])</f>
        <v>Новосибирск</v>
      </c>
      <c r="B2571" s="1" t="s">
        <v>37</v>
      </c>
      <c r="C2571" s="2">
        <v>45979</v>
      </c>
      <c r="D2571" s="2" t="str">
        <f>CHOOSE(MONTH(branches[[#This Row],[Дата]]),"Январь","Февраль","Март","Апрель","Май","Июнь","Июль","Август","Сентябрь","Октябрь","Ноябрь","Декабрь")&amp;" "&amp;YEAR(branches[[#This Row],[Дата]])</f>
        <v>Ноябрь 2025</v>
      </c>
      <c r="E2571" t="s">
        <v>8</v>
      </c>
      <c r="F2571" t="s">
        <v>9</v>
      </c>
      <c r="G2571">
        <v>3</v>
      </c>
      <c r="H2571">
        <v>783</v>
      </c>
      <c r="I2571" t="s">
        <v>29</v>
      </c>
      <c r="J2571" t="str">
        <f>_xlfn.XLOOKUP(branches[[#This Row],[Филиал]], tbl_Filialy[Филиал], tbl_Filialy[Менеджер])</f>
        <v>Ольга Кузнецова</v>
      </c>
    </row>
    <row r="2572" spans="1:10" x14ac:dyDescent="0.3">
      <c r="A2572" t="str">
        <f>_xlfn.XLOOKUP(branches[[#This Row],[Филиал]], tbl_Filialy[Филиал], tbl_Filialy[Город])</f>
        <v>Новосибирск</v>
      </c>
      <c r="B2572" s="1" t="s">
        <v>37</v>
      </c>
      <c r="C2572" s="2">
        <v>45880</v>
      </c>
      <c r="D2572" s="2" t="str">
        <f>CHOOSE(MONTH(branches[[#This Row],[Дата]]),"Январь","Февраль","Март","Апрель","Май","Июнь","Июль","Август","Сентябрь","Октябрь","Ноябрь","Декабрь")&amp;" "&amp;YEAR(branches[[#This Row],[Дата]])</f>
        <v>Август 2025</v>
      </c>
      <c r="E2572" t="s">
        <v>14</v>
      </c>
      <c r="F2572" t="s">
        <v>12</v>
      </c>
      <c r="G2572">
        <v>1</v>
      </c>
      <c r="H2572">
        <v>231</v>
      </c>
      <c r="I2572" t="s">
        <v>33</v>
      </c>
      <c r="J2572" t="str">
        <f>_xlfn.XLOOKUP(branches[[#This Row],[Филиал]], tbl_Filialy[Филиал], tbl_Filialy[Менеджер])</f>
        <v>Ольга Кузнецова</v>
      </c>
    </row>
    <row r="2573" spans="1:10" x14ac:dyDescent="0.3">
      <c r="A2573" t="str">
        <f>_xlfn.XLOOKUP(branches[[#This Row],[Филиал]], tbl_Filialy[Филиал], tbl_Filialy[Город])</f>
        <v>Новосибирск</v>
      </c>
      <c r="B2573" s="1" t="s">
        <v>37</v>
      </c>
      <c r="C2573" s="2">
        <v>45891</v>
      </c>
      <c r="D2573" s="2" t="str">
        <f>CHOOSE(MONTH(branches[[#This Row],[Дата]]),"Январь","Февраль","Март","Апрель","Май","Июнь","Июль","Август","Сентябрь","Октябрь","Ноябрь","Декабрь")&amp;" "&amp;YEAR(branches[[#This Row],[Дата]])</f>
        <v>Август 2025</v>
      </c>
      <c r="E2573" t="s">
        <v>24</v>
      </c>
      <c r="F2573" t="s">
        <v>17</v>
      </c>
      <c r="G2573">
        <v>1</v>
      </c>
      <c r="H2573">
        <v>361</v>
      </c>
      <c r="I2573" t="s">
        <v>35</v>
      </c>
      <c r="J2573" t="str">
        <f>_xlfn.XLOOKUP(branches[[#This Row],[Филиал]], tbl_Filialy[Филиал], tbl_Filialy[Менеджер])</f>
        <v>Ольга Кузнецова</v>
      </c>
    </row>
    <row r="2574" spans="1:10" x14ac:dyDescent="0.3">
      <c r="A2574" t="str">
        <f>_xlfn.XLOOKUP(branches[[#This Row],[Филиал]], tbl_Filialy[Филиал], tbl_Filialy[Город])</f>
        <v>Новосибирск</v>
      </c>
      <c r="B2574" s="1" t="s">
        <v>37</v>
      </c>
      <c r="C2574" s="2">
        <v>45761</v>
      </c>
      <c r="D2574" s="2" t="str">
        <f>CHOOSE(MONTH(branches[[#This Row],[Дата]]),"Январь","Февраль","Март","Апрель","Май","Июнь","Июль","Август","Сентябрь","Октябрь","Ноябрь","Декабрь")&amp;" "&amp;YEAR(branches[[#This Row],[Дата]])</f>
        <v>Апрель 2025</v>
      </c>
      <c r="E2574" t="s">
        <v>8</v>
      </c>
      <c r="F2574" t="s">
        <v>9</v>
      </c>
      <c r="G2574">
        <v>1</v>
      </c>
      <c r="H2574">
        <v>246</v>
      </c>
      <c r="I2574" t="s">
        <v>32</v>
      </c>
      <c r="J2574" t="str">
        <f>_xlfn.XLOOKUP(branches[[#This Row],[Филиал]], tbl_Filialy[Филиал], tbl_Filialy[Менеджер])</f>
        <v>Ольга Кузнецова</v>
      </c>
    </row>
    <row r="2575" spans="1:10" x14ac:dyDescent="0.3">
      <c r="A2575" t="str">
        <f>_xlfn.XLOOKUP(branches[[#This Row],[Филиал]], tbl_Filialy[Филиал], tbl_Filialy[Город])</f>
        <v>Новосибирск</v>
      </c>
      <c r="B2575" s="1" t="s">
        <v>37</v>
      </c>
      <c r="C2575" s="2">
        <v>45832</v>
      </c>
      <c r="D2575" s="2" t="str">
        <f>CHOOSE(MONTH(branches[[#This Row],[Дата]]),"Январь","Февраль","Март","Апрель","Май","Июнь","Июль","Август","Сентябрь","Октябрь","Ноябрь","Декабрь")&amp;" "&amp;YEAR(branches[[#This Row],[Дата]])</f>
        <v>Июнь 2025</v>
      </c>
      <c r="E2575" t="s">
        <v>11</v>
      </c>
      <c r="F2575" t="s">
        <v>12</v>
      </c>
      <c r="G2575">
        <v>1</v>
      </c>
      <c r="H2575">
        <v>174</v>
      </c>
      <c r="I2575" t="s">
        <v>19</v>
      </c>
      <c r="J2575" t="str">
        <f>_xlfn.XLOOKUP(branches[[#This Row],[Филиал]], tbl_Filialy[Филиал], tbl_Filialy[Менеджер])</f>
        <v>Ольга Кузнецова</v>
      </c>
    </row>
    <row r="2576" spans="1:10" x14ac:dyDescent="0.3">
      <c r="A2576" t="str">
        <f>_xlfn.XLOOKUP(branches[[#This Row],[Филиал]], tbl_Filialy[Филиал], tbl_Filialy[Город])</f>
        <v>Новосибирск</v>
      </c>
      <c r="B2576" s="1" t="s">
        <v>37</v>
      </c>
      <c r="C2576" s="2">
        <v>45996</v>
      </c>
      <c r="D2576" s="2" t="str">
        <f>CHOOSE(MONTH(branches[[#This Row],[Дата]]),"Январь","Февраль","Март","Апрель","Май","Июнь","Июль","Август","Сентябрь","Октябрь","Ноябрь","Декабрь")&amp;" "&amp;YEAR(branches[[#This Row],[Дата]])</f>
        <v>Декабрь 2025</v>
      </c>
      <c r="E2576" t="s">
        <v>27</v>
      </c>
      <c r="F2576" t="s">
        <v>12</v>
      </c>
      <c r="G2576">
        <v>2</v>
      </c>
      <c r="H2576">
        <v>360</v>
      </c>
      <c r="I2576" t="s">
        <v>32</v>
      </c>
      <c r="J2576" t="str">
        <f>_xlfn.XLOOKUP(branches[[#This Row],[Филиал]], tbl_Filialy[Филиал], tbl_Filialy[Менеджер])</f>
        <v>Ольга Кузнецова</v>
      </c>
    </row>
    <row r="2577" spans="1:10" x14ac:dyDescent="0.3">
      <c r="A2577" t="str">
        <f>_xlfn.XLOOKUP(branches[[#This Row],[Филиал]], tbl_Filialy[Филиал], tbl_Filialy[Город])</f>
        <v>Новосибирск</v>
      </c>
      <c r="B2577" s="1" t="s">
        <v>37</v>
      </c>
      <c r="C2577" s="2">
        <v>45972</v>
      </c>
      <c r="D2577" s="2" t="str">
        <f>CHOOSE(MONTH(branches[[#This Row],[Дата]]),"Январь","Февраль","Март","Апрель","Май","Июнь","Июль","Август","Сентябрь","Октябрь","Ноябрь","Декабрь")&amp;" "&amp;YEAR(branches[[#This Row],[Дата]])</f>
        <v>Ноябрь 2025</v>
      </c>
      <c r="E2577" t="s">
        <v>16</v>
      </c>
      <c r="F2577" t="s">
        <v>17</v>
      </c>
      <c r="G2577">
        <v>3</v>
      </c>
      <c r="H2577">
        <v>870</v>
      </c>
      <c r="I2577" t="s">
        <v>33</v>
      </c>
      <c r="J2577" t="str">
        <f>_xlfn.XLOOKUP(branches[[#This Row],[Филиал]], tbl_Filialy[Филиал], tbl_Filialy[Менеджер])</f>
        <v>Ольга Кузнецова</v>
      </c>
    </row>
    <row r="2578" spans="1:10" x14ac:dyDescent="0.3">
      <c r="A2578" t="str">
        <f>_xlfn.XLOOKUP(branches[[#This Row],[Филиал]], tbl_Filialy[Филиал], tbl_Filialy[Город])</f>
        <v>Новосибирск</v>
      </c>
      <c r="B2578" s="1" t="s">
        <v>37</v>
      </c>
      <c r="C2578" s="2">
        <v>45973</v>
      </c>
      <c r="D2578" s="2" t="str">
        <f>CHOOSE(MONTH(branches[[#This Row],[Дата]]),"Январь","Февраль","Март","Апрель","Май","Июнь","Июль","Август","Сентябрь","Октябрь","Ноябрь","Декабрь")&amp;" "&amp;YEAR(branches[[#This Row],[Дата]])</f>
        <v>Ноябрь 2025</v>
      </c>
      <c r="E2578" t="s">
        <v>20</v>
      </c>
      <c r="F2578" t="s">
        <v>12</v>
      </c>
      <c r="G2578">
        <v>1</v>
      </c>
      <c r="H2578">
        <v>301</v>
      </c>
      <c r="I2578" t="s">
        <v>13</v>
      </c>
      <c r="J2578" t="str">
        <f>_xlfn.XLOOKUP(branches[[#This Row],[Филиал]], tbl_Filialy[Филиал], tbl_Filialy[Менеджер])</f>
        <v>Ольга Кузнецова</v>
      </c>
    </row>
    <row r="2579" spans="1:10" x14ac:dyDescent="0.3">
      <c r="A2579" t="str">
        <f>_xlfn.XLOOKUP(branches[[#This Row],[Филиал]], tbl_Filialy[Филиал], tbl_Filialy[Город])</f>
        <v>Новосибирск</v>
      </c>
      <c r="B2579" s="1" t="s">
        <v>37</v>
      </c>
      <c r="C2579" s="2">
        <v>46002</v>
      </c>
      <c r="D2579" s="2" t="str">
        <f>CHOOSE(MONTH(branches[[#This Row],[Дата]]),"Январь","Февраль","Март","Апрель","Май","Июнь","Июль","Август","Сентябрь","Октябрь","Ноябрь","Декабрь")&amp;" "&amp;YEAR(branches[[#This Row],[Дата]])</f>
        <v>Декабрь 2025</v>
      </c>
      <c r="E2579" t="s">
        <v>28</v>
      </c>
      <c r="F2579" t="s">
        <v>12</v>
      </c>
      <c r="G2579">
        <v>1</v>
      </c>
      <c r="H2579">
        <v>234</v>
      </c>
      <c r="I2579" t="s">
        <v>13</v>
      </c>
      <c r="J2579" t="str">
        <f>_xlfn.XLOOKUP(branches[[#This Row],[Филиал]], tbl_Filialy[Филиал], tbl_Filialy[Менеджер])</f>
        <v>Ольга Кузнецова</v>
      </c>
    </row>
    <row r="2580" spans="1:10" x14ac:dyDescent="0.3">
      <c r="A2580" t="str">
        <f>_xlfn.XLOOKUP(branches[[#This Row],[Филиал]], tbl_Filialy[Филиал], tbl_Filialy[Город])</f>
        <v>Новосибирск</v>
      </c>
      <c r="B2580" s="1" t="s">
        <v>37</v>
      </c>
      <c r="C2580" s="2">
        <v>45753</v>
      </c>
      <c r="D2580" s="2" t="str">
        <f>CHOOSE(MONTH(branches[[#This Row],[Дата]]),"Январь","Февраль","Март","Апрель","Май","Июнь","Июль","Август","Сентябрь","Октябрь","Ноябрь","Декабрь")&amp;" "&amp;YEAR(branches[[#This Row],[Дата]])</f>
        <v>Апрель 2025</v>
      </c>
      <c r="E2580" t="s">
        <v>25</v>
      </c>
      <c r="F2580" t="s">
        <v>12</v>
      </c>
      <c r="G2580">
        <v>2</v>
      </c>
      <c r="H2580">
        <v>392</v>
      </c>
      <c r="I2580" t="s">
        <v>34</v>
      </c>
      <c r="J2580" t="str">
        <f>_xlfn.XLOOKUP(branches[[#This Row],[Филиал]], tbl_Filialy[Филиал], tbl_Filialy[Менеджер])</f>
        <v>Ольга Кузнецова</v>
      </c>
    </row>
    <row r="2581" spans="1:10" x14ac:dyDescent="0.3">
      <c r="A2581" t="str">
        <f>_xlfn.XLOOKUP(branches[[#This Row],[Филиал]], tbl_Filialy[Филиал], tbl_Filialy[Город])</f>
        <v>Новосибирск</v>
      </c>
      <c r="B2581" s="1" t="s">
        <v>37</v>
      </c>
      <c r="C2581" s="2">
        <v>45964</v>
      </c>
      <c r="D2581" s="2" t="str">
        <f>CHOOSE(MONTH(branches[[#This Row],[Дата]]),"Январь","Февраль","Март","Апрель","Май","Июнь","Июль","Август","Сентябрь","Октябрь","Ноябрь","Декабрь")&amp;" "&amp;YEAR(branches[[#This Row],[Дата]])</f>
        <v>Ноябрь 2025</v>
      </c>
      <c r="E2581" t="s">
        <v>28</v>
      </c>
      <c r="F2581" t="s">
        <v>12</v>
      </c>
      <c r="G2581">
        <v>1</v>
      </c>
      <c r="H2581">
        <v>239</v>
      </c>
      <c r="I2581" t="s">
        <v>34</v>
      </c>
      <c r="J2581" t="str">
        <f>_xlfn.XLOOKUP(branches[[#This Row],[Филиал]], tbl_Filialy[Филиал], tbl_Filialy[Менеджер])</f>
        <v>Ольга Кузнецова</v>
      </c>
    </row>
    <row r="2582" spans="1:10" x14ac:dyDescent="0.3">
      <c r="A2582" t="str">
        <f>_xlfn.XLOOKUP(branches[[#This Row],[Филиал]], tbl_Filialy[Филиал], tbl_Filialy[Город])</f>
        <v>Новосибирск</v>
      </c>
      <c r="B2582" s="1" t="s">
        <v>37</v>
      </c>
      <c r="C2582" s="2">
        <v>45711</v>
      </c>
      <c r="D2582" s="2" t="str">
        <f>CHOOSE(MONTH(branches[[#This Row],[Дата]]),"Январь","Февраль","Март","Апрель","Май","Июнь","Июль","Август","Сентябрь","Октябрь","Ноябрь","Декабрь")&amp;" "&amp;YEAR(branches[[#This Row],[Дата]])</f>
        <v>Февраль 2025</v>
      </c>
      <c r="E2582" t="s">
        <v>11</v>
      </c>
      <c r="F2582" t="s">
        <v>12</v>
      </c>
      <c r="G2582">
        <v>1</v>
      </c>
      <c r="H2582">
        <v>165</v>
      </c>
      <c r="I2582" t="s">
        <v>34</v>
      </c>
      <c r="J2582" t="str">
        <f>_xlfn.XLOOKUP(branches[[#This Row],[Филиал]], tbl_Filialy[Филиал], tbl_Filialy[Менеджер])</f>
        <v>Ольга Кузнецова</v>
      </c>
    </row>
    <row r="2583" spans="1:10" x14ac:dyDescent="0.3">
      <c r="A2583" t="str">
        <f>_xlfn.XLOOKUP(branches[[#This Row],[Филиал]], tbl_Filialy[Филиал], tbl_Filialy[Город])</f>
        <v>Новосибирск</v>
      </c>
      <c r="B2583" s="1" t="s">
        <v>37</v>
      </c>
      <c r="C2583" s="2">
        <v>45720</v>
      </c>
      <c r="D2583" s="2" t="str">
        <f>CHOOSE(MONTH(branches[[#This Row],[Дата]]),"Январь","Февраль","Март","Апрель","Май","Июнь","Июль","Август","Сентябрь","Октябрь","Ноябрь","Декабрь")&amp;" "&amp;YEAR(branches[[#This Row],[Дата]])</f>
        <v>Март 2025</v>
      </c>
      <c r="E2583" t="s">
        <v>11</v>
      </c>
      <c r="F2583" t="s">
        <v>12</v>
      </c>
      <c r="G2583">
        <v>1</v>
      </c>
      <c r="H2583">
        <v>181</v>
      </c>
      <c r="I2583" t="s">
        <v>13</v>
      </c>
      <c r="J2583" t="str">
        <f>_xlfn.XLOOKUP(branches[[#This Row],[Филиал]], tbl_Filialy[Филиал], tbl_Filialy[Менеджер])</f>
        <v>Ольга Кузнецова</v>
      </c>
    </row>
    <row r="2584" spans="1:10" x14ac:dyDescent="0.3">
      <c r="A2584" t="str">
        <f>_xlfn.XLOOKUP(branches[[#This Row],[Филиал]], tbl_Filialy[Филиал], tbl_Filialy[Город])</f>
        <v>Новосибирск</v>
      </c>
      <c r="B2584" s="1" t="s">
        <v>37</v>
      </c>
      <c r="C2584" s="2">
        <v>45985</v>
      </c>
      <c r="D2584" s="2" t="str">
        <f>CHOOSE(MONTH(branches[[#This Row],[Дата]]),"Январь","Февраль","Март","Апрель","Май","Июнь","Июль","Август","Сентябрь","Октябрь","Ноябрь","Декабрь")&amp;" "&amp;YEAR(branches[[#This Row],[Дата]])</f>
        <v>Ноябрь 2025</v>
      </c>
      <c r="E2584" t="s">
        <v>14</v>
      </c>
      <c r="F2584" t="s">
        <v>12</v>
      </c>
      <c r="G2584">
        <v>2</v>
      </c>
      <c r="H2584">
        <v>492</v>
      </c>
      <c r="I2584" t="s">
        <v>19</v>
      </c>
      <c r="J2584" t="str">
        <f>_xlfn.XLOOKUP(branches[[#This Row],[Филиал]], tbl_Filialy[Филиал], tbl_Filialy[Менеджер])</f>
        <v>Ольга Кузнецова</v>
      </c>
    </row>
    <row r="2585" spans="1:10" x14ac:dyDescent="0.3">
      <c r="A2585" t="str">
        <f>_xlfn.XLOOKUP(branches[[#This Row],[Филиал]], tbl_Filialy[Филиал], tbl_Filialy[Город])</f>
        <v>Новосибирск</v>
      </c>
      <c r="B2585" s="1" t="s">
        <v>37</v>
      </c>
      <c r="C2585" s="2">
        <v>45884</v>
      </c>
      <c r="D2585" s="2" t="str">
        <f>CHOOSE(MONTH(branches[[#This Row],[Дата]]),"Январь","Февраль","Март","Апрель","Май","Июнь","Июль","Август","Сентябрь","Октябрь","Ноябрь","Декабрь")&amp;" "&amp;YEAR(branches[[#This Row],[Дата]])</f>
        <v>Август 2025</v>
      </c>
      <c r="E2585" t="s">
        <v>20</v>
      </c>
      <c r="F2585" t="s">
        <v>12</v>
      </c>
      <c r="G2585">
        <v>2</v>
      </c>
      <c r="H2585">
        <v>548</v>
      </c>
      <c r="I2585" t="s">
        <v>32</v>
      </c>
      <c r="J2585" t="str">
        <f>_xlfn.XLOOKUP(branches[[#This Row],[Филиал]], tbl_Filialy[Филиал], tbl_Filialy[Менеджер])</f>
        <v>Ольга Кузнецова</v>
      </c>
    </row>
    <row r="2586" spans="1:10" x14ac:dyDescent="0.3">
      <c r="A2586" t="str">
        <f>_xlfn.XLOOKUP(branches[[#This Row],[Филиал]], tbl_Filialy[Филиал], tbl_Filialy[Город])</f>
        <v>Новосибирск</v>
      </c>
      <c r="B2586" s="1" t="s">
        <v>37</v>
      </c>
      <c r="C2586" s="2">
        <v>45699</v>
      </c>
      <c r="D2586" s="2" t="str">
        <f>CHOOSE(MONTH(branches[[#This Row],[Дата]]),"Январь","Февраль","Март","Апрель","Май","Июнь","Июль","Август","Сентябрь","Октябрь","Ноябрь","Декабрь")&amp;" "&amp;YEAR(branches[[#This Row],[Дата]])</f>
        <v>Февраль 2025</v>
      </c>
      <c r="E2586" t="s">
        <v>22</v>
      </c>
      <c r="F2586" t="s">
        <v>9</v>
      </c>
      <c r="G2586">
        <v>2</v>
      </c>
      <c r="H2586">
        <v>382</v>
      </c>
      <c r="I2586" t="s">
        <v>35</v>
      </c>
      <c r="J2586" t="str">
        <f>_xlfn.XLOOKUP(branches[[#This Row],[Филиал]], tbl_Filialy[Филиал], tbl_Filialy[Менеджер])</f>
        <v>Ольга Кузнецова</v>
      </c>
    </row>
    <row r="2587" spans="1:10" x14ac:dyDescent="0.3">
      <c r="A2587" t="str">
        <f>_xlfn.XLOOKUP(branches[[#This Row],[Филиал]], tbl_Filialy[Филиал], tbl_Filialy[Город])</f>
        <v>Новосибирск</v>
      </c>
      <c r="B2587" s="1" t="s">
        <v>37</v>
      </c>
      <c r="C2587" s="2">
        <v>45922</v>
      </c>
      <c r="D2587" s="2" t="str">
        <f>CHOOSE(MONTH(branches[[#This Row],[Дата]]),"Январь","Февраль","Март","Апрель","Май","Июнь","Июль","Август","Сентябрь","Октябрь","Ноябрь","Декабрь")&amp;" "&amp;YEAR(branches[[#This Row],[Дата]])</f>
        <v>Сентябрь 2025</v>
      </c>
      <c r="E2587" t="s">
        <v>22</v>
      </c>
      <c r="F2587" t="s">
        <v>9</v>
      </c>
      <c r="G2587">
        <v>3</v>
      </c>
      <c r="H2587">
        <v>498</v>
      </c>
      <c r="I2587" t="s">
        <v>32</v>
      </c>
      <c r="J2587" t="str">
        <f>_xlfn.XLOOKUP(branches[[#This Row],[Филиал]], tbl_Filialy[Филиал], tbl_Filialy[Менеджер])</f>
        <v>Ольга Кузнецова</v>
      </c>
    </row>
    <row r="2588" spans="1:10" x14ac:dyDescent="0.3">
      <c r="A2588" t="str">
        <f>_xlfn.XLOOKUP(branches[[#This Row],[Филиал]], tbl_Filialy[Филиал], tbl_Filialy[Город])</f>
        <v>Новосибирск</v>
      </c>
      <c r="B2588" s="1" t="s">
        <v>37</v>
      </c>
      <c r="C2588" s="2">
        <v>45854</v>
      </c>
      <c r="D2588" s="2" t="str">
        <f>CHOOSE(MONTH(branches[[#This Row],[Дата]]),"Январь","Февраль","Март","Апрель","Май","Июнь","Июль","Август","Сентябрь","Октябрь","Ноябрь","Декабрь")&amp;" "&amp;YEAR(branches[[#This Row],[Дата]])</f>
        <v>Июль 2025</v>
      </c>
      <c r="E2588" t="s">
        <v>16</v>
      </c>
      <c r="F2588" t="s">
        <v>17</v>
      </c>
      <c r="G2588">
        <v>1</v>
      </c>
      <c r="H2588">
        <v>305</v>
      </c>
      <c r="I2588" t="s">
        <v>19</v>
      </c>
      <c r="J2588" t="str">
        <f>_xlfn.XLOOKUP(branches[[#This Row],[Филиал]], tbl_Filialy[Филиал], tbl_Filialy[Менеджер])</f>
        <v>Ольга Кузнецова</v>
      </c>
    </row>
    <row r="2589" spans="1:10" x14ac:dyDescent="0.3">
      <c r="A2589" t="str">
        <f>_xlfn.XLOOKUP(branches[[#This Row],[Филиал]], tbl_Filialy[Филиал], tbl_Filialy[Город])</f>
        <v>Новосибирск</v>
      </c>
      <c r="B2589" s="1" t="s">
        <v>37</v>
      </c>
      <c r="C2589" s="2">
        <v>45876</v>
      </c>
      <c r="D2589" s="2" t="str">
        <f>CHOOSE(MONTH(branches[[#This Row],[Дата]]),"Январь","Февраль","Март","Апрель","Май","Июнь","Июль","Август","Сентябрь","Октябрь","Ноябрь","Декабрь")&amp;" "&amp;YEAR(branches[[#This Row],[Дата]])</f>
        <v>Август 2025</v>
      </c>
      <c r="E2589" t="s">
        <v>18</v>
      </c>
      <c r="F2589" t="s">
        <v>12</v>
      </c>
      <c r="G2589">
        <v>3</v>
      </c>
      <c r="H2589">
        <v>399</v>
      </c>
      <c r="I2589" t="s">
        <v>32</v>
      </c>
      <c r="J2589" t="str">
        <f>_xlfn.XLOOKUP(branches[[#This Row],[Филиал]], tbl_Filialy[Филиал], tbl_Filialy[Менеджер])</f>
        <v>Ольга Кузнецова</v>
      </c>
    </row>
    <row r="2590" spans="1:10" x14ac:dyDescent="0.3">
      <c r="A2590" t="str">
        <f>_xlfn.XLOOKUP(branches[[#This Row],[Филиал]], tbl_Filialy[Филиал], tbl_Filialy[Город])</f>
        <v>Новосибирск</v>
      </c>
      <c r="B2590" s="1" t="s">
        <v>37</v>
      </c>
      <c r="C2590" s="2">
        <v>45924</v>
      </c>
      <c r="D2590" s="2" t="str">
        <f>CHOOSE(MONTH(branches[[#This Row],[Дата]]),"Январь","Февраль","Март","Апрель","Май","Июнь","Июль","Август","Сентябрь","Октябрь","Ноябрь","Декабрь")&amp;" "&amp;YEAR(branches[[#This Row],[Дата]])</f>
        <v>Сентябрь 2025</v>
      </c>
      <c r="E2590" t="s">
        <v>18</v>
      </c>
      <c r="F2590" t="s">
        <v>12</v>
      </c>
      <c r="G2590">
        <v>1</v>
      </c>
      <c r="H2590">
        <v>131</v>
      </c>
      <c r="I2590" t="s">
        <v>35</v>
      </c>
      <c r="J2590" t="str">
        <f>_xlfn.XLOOKUP(branches[[#This Row],[Филиал]], tbl_Filialy[Филиал], tbl_Filialy[Менеджер])</f>
        <v>Ольга Кузнецова</v>
      </c>
    </row>
    <row r="2591" spans="1:10" x14ac:dyDescent="0.3">
      <c r="A2591" t="str">
        <f>_xlfn.XLOOKUP(branches[[#This Row],[Филиал]], tbl_Filialy[Филиал], tbl_Filialy[Город])</f>
        <v>Новосибирск</v>
      </c>
      <c r="B2591" s="1" t="s">
        <v>37</v>
      </c>
      <c r="C2591" s="2">
        <v>45731</v>
      </c>
      <c r="D2591" s="2" t="str">
        <f>CHOOSE(MONTH(branches[[#This Row],[Дата]]),"Январь","Февраль","Март","Апрель","Май","Июнь","Июль","Август","Сентябрь","Октябрь","Ноябрь","Декабрь")&amp;" "&amp;YEAR(branches[[#This Row],[Дата]])</f>
        <v>Март 2025</v>
      </c>
      <c r="E2591" t="s">
        <v>18</v>
      </c>
      <c r="F2591" t="s">
        <v>12</v>
      </c>
      <c r="G2591">
        <v>3</v>
      </c>
      <c r="H2591">
        <v>429</v>
      </c>
      <c r="I2591" t="s">
        <v>19</v>
      </c>
      <c r="J2591" t="str">
        <f>_xlfn.XLOOKUP(branches[[#This Row],[Филиал]], tbl_Filialy[Филиал], tbl_Filialy[Менеджер])</f>
        <v>Ольга Кузнецова</v>
      </c>
    </row>
    <row r="2592" spans="1:10" x14ac:dyDescent="0.3">
      <c r="A2592" t="str">
        <f>_xlfn.XLOOKUP(branches[[#This Row],[Филиал]], tbl_Filialy[Филиал], tbl_Filialy[Город])</f>
        <v>Новосибирск</v>
      </c>
      <c r="B2592" s="1" t="s">
        <v>37</v>
      </c>
      <c r="C2592" s="2">
        <v>45698</v>
      </c>
      <c r="D2592" s="2" t="str">
        <f>CHOOSE(MONTH(branches[[#This Row],[Дата]]),"Январь","Февраль","Март","Апрель","Май","Июнь","Июль","Август","Сентябрь","Октябрь","Ноябрь","Декабрь")&amp;" "&amp;YEAR(branches[[#This Row],[Дата]])</f>
        <v>Февраль 2025</v>
      </c>
      <c r="E2592" t="s">
        <v>16</v>
      </c>
      <c r="F2592" t="s">
        <v>17</v>
      </c>
      <c r="G2592">
        <v>1</v>
      </c>
      <c r="H2592">
        <v>298</v>
      </c>
      <c r="I2592" t="s">
        <v>34</v>
      </c>
      <c r="J2592" t="str">
        <f>_xlfn.XLOOKUP(branches[[#This Row],[Филиал]], tbl_Filialy[Филиал], tbl_Filialy[Менеджер])</f>
        <v>Ольга Кузнецова</v>
      </c>
    </row>
    <row r="2593" spans="1:10" x14ac:dyDescent="0.3">
      <c r="A2593" t="str">
        <f>_xlfn.XLOOKUP(branches[[#This Row],[Филиал]], tbl_Filialy[Филиал], tbl_Filialy[Город])</f>
        <v>Новосибирск</v>
      </c>
      <c r="B2593" s="1" t="s">
        <v>37</v>
      </c>
      <c r="C2593" s="2">
        <v>45896</v>
      </c>
      <c r="D2593" s="2" t="str">
        <f>CHOOSE(MONTH(branches[[#This Row],[Дата]]),"Январь","Февраль","Март","Апрель","Май","Июнь","Июль","Август","Сентябрь","Октябрь","Ноябрь","Декабрь")&amp;" "&amp;YEAR(branches[[#This Row],[Дата]])</f>
        <v>Август 2025</v>
      </c>
      <c r="E2593" t="s">
        <v>14</v>
      </c>
      <c r="F2593" t="s">
        <v>12</v>
      </c>
      <c r="G2593">
        <v>1</v>
      </c>
      <c r="H2593">
        <v>269</v>
      </c>
      <c r="I2593" t="s">
        <v>33</v>
      </c>
      <c r="J2593" t="str">
        <f>_xlfn.XLOOKUP(branches[[#This Row],[Филиал]], tbl_Filialy[Филиал], tbl_Filialy[Менеджер])</f>
        <v>Ольга Кузнецова</v>
      </c>
    </row>
    <row r="2594" spans="1:10" x14ac:dyDescent="0.3">
      <c r="A2594" t="str">
        <f>_xlfn.XLOOKUP(branches[[#This Row],[Филиал]], tbl_Filialy[Филиал], tbl_Filialy[Город])</f>
        <v>Новосибирск</v>
      </c>
      <c r="B2594" s="1" t="s">
        <v>37</v>
      </c>
      <c r="C2594" s="2">
        <v>45848</v>
      </c>
      <c r="D2594" s="2" t="str">
        <f>CHOOSE(MONTH(branches[[#This Row],[Дата]]),"Январь","Февраль","Март","Апрель","Май","Июнь","Июль","Август","Сентябрь","Октябрь","Ноябрь","Декабрь")&amp;" "&amp;YEAR(branches[[#This Row],[Дата]])</f>
        <v>Июль 2025</v>
      </c>
      <c r="E2594" t="s">
        <v>18</v>
      </c>
      <c r="F2594" t="s">
        <v>12</v>
      </c>
      <c r="G2594">
        <v>2</v>
      </c>
      <c r="H2594">
        <v>302</v>
      </c>
      <c r="I2594" t="s">
        <v>34</v>
      </c>
      <c r="J2594" t="str">
        <f>_xlfn.XLOOKUP(branches[[#This Row],[Филиал]], tbl_Filialy[Филиал], tbl_Filialy[Менеджер])</f>
        <v>Ольга Кузнецова</v>
      </c>
    </row>
    <row r="2595" spans="1:10" x14ac:dyDescent="0.3">
      <c r="A2595" t="str">
        <f>_xlfn.XLOOKUP(branches[[#This Row],[Филиал]], tbl_Filialy[Филиал], tbl_Filialy[Город])</f>
        <v>Новосибирск</v>
      </c>
      <c r="B2595" s="1" t="s">
        <v>37</v>
      </c>
      <c r="C2595" s="2">
        <v>45787</v>
      </c>
      <c r="D2595" s="2" t="str">
        <f>CHOOSE(MONTH(branches[[#This Row],[Дата]]),"Январь","Февраль","Март","Апрель","Май","Июнь","Июль","Август","Сентябрь","Октябрь","Ноябрь","Декабрь")&amp;" "&amp;YEAR(branches[[#This Row],[Дата]])</f>
        <v>Май 2025</v>
      </c>
      <c r="E2595" t="s">
        <v>27</v>
      </c>
      <c r="F2595" t="s">
        <v>12</v>
      </c>
      <c r="G2595">
        <v>2</v>
      </c>
      <c r="H2595">
        <v>400</v>
      </c>
      <c r="I2595" t="s">
        <v>35</v>
      </c>
      <c r="J2595" t="str">
        <f>_xlfn.XLOOKUP(branches[[#This Row],[Филиал]], tbl_Filialy[Филиал], tbl_Filialy[Менеджер])</f>
        <v>Ольга Кузнецова</v>
      </c>
    </row>
    <row r="2596" spans="1:10" x14ac:dyDescent="0.3">
      <c r="A2596" t="str">
        <f>_xlfn.XLOOKUP(branches[[#This Row],[Филиал]], tbl_Filialy[Филиал], tbl_Filialy[Город])</f>
        <v>Новосибирск</v>
      </c>
      <c r="B2596" s="1" t="s">
        <v>37</v>
      </c>
      <c r="C2596" s="2">
        <v>45968</v>
      </c>
      <c r="D2596" s="2" t="str">
        <f>CHOOSE(MONTH(branches[[#This Row],[Дата]]),"Январь","Февраль","Март","Апрель","Май","Июнь","Июль","Август","Сентябрь","Октябрь","Ноябрь","Декабрь")&amp;" "&amp;YEAR(branches[[#This Row],[Дата]])</f>
        <v>Ноябрь 2025</v>
      </c>
      <c r="E2596" t="s">
        <v>20</v>
      </c>
      <c r="F2596" t="s">
        <v>12</v>
      </c>
      <c r="G2596">
        <v>1</v>
      </c>
      <c r="H2596">
        <v>259</v>
      </c>
      <c r="I2596" t="s">
        <v>34</v>
      </c>
      <c r="J2596" t="str">
        <f>_xlfn.XLOOKUP(branches[[#This Row],[Филиал]], tbl_Filialy[Филиал], tbl_Filialy[Менеджер])</f>
        <v>Ольга Кузнецова</v>
      </c>
    </row>
    <row r="2597" spans="1:10" x14ac:dyDescent="0.3">
      <c r="A2597" t="str">
        <f>_xlfn.XLOOKUP(branches[[#This Row],[Филиал]], tbl_Filialy[Филиал], tbl_Filialy[Город])</f>
        <v>Новосибирск</v>
      </c>
      <c r="B2597" s="1" t="s">
        <v>37</v>
      </c>
      <c r="C2597" s="2">
        <v>45912</v>
      </c>
      <c r="D2597" s="2" t="str">
        <f>CHOOSE(MONTH(branches[[#This Row],[Дата]]),"Январь","Февраль","Март","Апрель","Май","Июнь","Июль","Август","Сентябрь","Октябрь","Ноябрь","Декабрь")&amp;" "&amp;YEAR(branches[[#This Row],[Дата]])</f>
        <v>Сентябрь 2025</v>
      </c>
      <c r="E2597" t="s">
        <v>22</v>
      </c>
      <c r="F2597" t="s">
        <v>9</v>
      </c>
      <c r="G2597">
        <v>3</v>
      </c>
      <c r="H2597">
        <v>594</v>
      </c>
      <c r="I2597" t="s">
        <v>35</v>
      </c>
      <c r="J2597" t="str">
        <f>_xlfn.XLOOKUP(branches[[#This Row],[Филиал]], tbl_Filialy[Филиал], tbl_Filialy[Менеджер])</f>
        <v>Ольга Кузнецова</v>
      </c>
    </row>
    <row r="2598" spans="1:10" x14ac:dyDescent="0.3">
      <c r="A2598" t="str">
        <f>_xlfn.XLOOKUP(branches[[#This Row],[Филиал]], tbl_Filialy[Филиал], tbl_Filialy[Город])</f>
        <v>Новосибирск</v>
      </c>
      <c r="B2598" s="1" t="s">
        <v>37</v>
      </c>
      <c r="C2598" s="2">
        <v>45661</v>
      </c>
      <c r="D2598" s="2" t="str">
        <f>CHOOSE(MONTH(branches[[#This Row],[Дата]]),"Январь","Февраль","Март","Апрель","Май","Июнь","Июль","Август","Сентябрь","Октябрь","Ноябрь","Декабрь")&amp;" "&amp;YEAR(branches[[#This Row],[Дата]])</f>
        <v>Январь 2025</v>
      </c>
      <c r="E2598" t="s">
        <v>20</v>
      </c>
      <c r="F2598" t="s">
        <v>12</v>
      </c>
      <c r="G2598">
        <v>1</v>
      </c>
      <c r="H2598">
        <v>266</v>
      </c>
      <c r="I2598" t="s">
        <v>32</v>
      </c>
      <c r="J2598" t="str">
        <f>_xlfn.XLOOKUP(branches[[#This Row],[Филиал]], tbl_Filialy[Филиал], tbl_Filialy[Менеджер])</f>
        <v>Ольга Кузнецова</v>
      </c>
    </row>
    <row r="2599" spans="1:10" x14ac:dyDescent="0.3">
      <c r="A2599" t="str">
        <f>_xlfn.XLOOKUP(branches[[#This Row],[Филиал]], tbl_Filialy[Филиал], tbl_Filialy[Город])</f>
        <v>Новосибирск</v>
      </c>
      <c r="B2599" s="1" t="s">
        <v>37</v>
      </c>
      <c r="C2599" s="2">
        <v>45789</v>
      </c>
      <c r="D2599" s="2" t="str">
        <f>CHOOSE(MONTH(branches[[#This Row],[Дата]]),"Январь","Февраль","Март","Апрель","Май","Июнь","Июль","Август","Сентябрь","Октябрь","Ноябрь","Декабрь")&amp;" "&amp;YEAR(branches[[#This Row],[Дата]])</f>
        <v>Май 2025</v>
      </c>
      <c r="E2599" t="s">
        <v>26</v>
      </c>
      <c r="F2599" t="s">
        <v>9</v>
      </c>
      <c r="G2599">
        <v>1</v>
      </c>
      <c r="H2599">
        <v>224</v>
      </c>
      <c r="I2599" t="s">
        <v>34</v>
      </c>
      <c r="J2599" t="str">
        <f>_xlfn.XLOOKUP(branches[[#This Row],[Филиал]], tbl_Filialy[Филиал], tbl_Filialy[Менеджер])</f>
        <v>Ольга Кузнецова</v>
      </c>
    </row>
    <row r="2600" spans="1:10" x14ac:dyDescent="0.3">
      <c r="A2600" t="str">
        <f>_xlfn.XLOOKUP(branches[[#This Row],[Филиал]], tbl_Filialy[Филиал], tbl_Filialy[Город])</f>
        <v>Новосибирск</v>
      </c>
      <c r="B2600" s="1" t="s">
        <v>37</v>
      </c>
      <c r="C2600" s="2">
        <v>45693</v>
      </c>
      <c r="D2600" s="2" t="str">
        <f>CHOOSE(MONTH(branches[[#This Row],[Дата]]),"Январь","Февраль","Март","Апрель","Май","Июнь","Июль","Август","Сентябрь","Октябрь","Ноябрь","Декабрь")&amp;" "&amp;YEAR(branches[[#This Row],[Дата]])</f>
        <v>Февраль 2025</v>
      </c>
      <c r="E2600" t="s">
        <v>20</v>
      </c>
      <c r="F2600" t="s">
        <v>12</v>
      </c>
      <c r="G2600">
        <v>2</v>
      </c>
      <c r="H2600">
        <v>534</v>
      </c>
      <c r="I2600" t="s">
        <v>33</v>
      </c>
      <c r="J2600" t="str">
        <f>_xlfn.XLOOKUP(branches[[#This Row],[Филиал]], tbl_Filialy[Филиал], tbl_Filialy[Менеджер])</f>
        <v>Ольга Кузнецова</v>
      </c>
    </row>
    <row r="2601" spans="1:10" x14ac:dyDescent="0.3">
      <c r="A2601" t="str">
        <f>_xlfn.XLOOKUP(branches[[#This Row],[Филиал]], tbl_Filialy[Филиал], tbl_Filialy[Город])</f>
        <v>Новосибирск</v>
      </c>
      <c r="B2601" s="1" t="s">
        <v>37</v>
      </c>
      <c r="C2601" s="2">
        <v>45970</v>
      </c>
      <c r="D2601" s="2" t="str">
        <f>CHOOSE(MONTH(branches[[#This Row],[Дата]]),"Январь","Февраль","Март","Апрель","Май","Июнь","Июль","Август","Сентябрь","Октябрь","Ноябрь","Декабрь")&amp;" "&amp;YEAR(branches[[#This Row],[Дата]])</f>
        <v>Ноябрь 2025</v>
      </c>
      <c r="E2601" t="s">
        <v>11</v>
      </c>
      <c r="F2601" t="s">
        <v>12</v>
      </c>
      <c r="G2601">
        <v>3</v>
      </c>
      <c r="H2601">
        <v>516</v>
      </c>
      <c r="I2601" t="s">
        <v>33</v>
      </c>
      <c r="J2601" t="str">
        <f>_xlfn.XLOOKUP(branches[[#This Row],[Филиал]], tbl_Filialy[Филиал], tbl_Filialy[Менеджер])</f>
        <v>Ольга Кузнецова</v>
      </c>
    </row>
    <row r="2602" spans="1:10" x14ac:dyDescent="0.3">
      <c r="A2602" t="str">
        <f>_xlfn.XLOOKUP(branches[[#This Row],[Филиал]], tbl_Filialy[Филиал], tbl_Filialy[Город])</f>
        <v>Новосибирск</v>
      </c>
      <c r="B2602" s="1" t="s">
        <v>37</v>
      </c>
      <c r="C2602" s="2">
        <v>45818</v>
      </c>
      <c r="D2602" s="2" t="str">
        <f>CHOOSE(MONTH(branches[[#This Row],[Дата]]),"Январь","Февраль","Март","Апрель","Май","Июнь","Июль","Август","Сентябрь","Октябрь","Ноябрь","Декабрь")&amp;" "&amp;YEAR(branches[[#This Row],[Дата]])</f>
        <v>Июнь 2025</v>
      </c>
      <c r="E2602" t="s">
        <v>26</v>
      </c>
      <c r="F2602" t="s">
        <v>9</v>
      </c>
      <c r="G2602">
        <v>1</v>
      </c>
      <c r="H2602">
        <v>230</v>
      </c>
      <c r="I2602" t="s">
        <v>32</v>
      </c>
      <c r="J2602" t="str">
        <f>_xlfn.XLOOKUP(branches[[#This Row],[Филиал]], tbl_Filialy[Филиал], tbl_Filialy[Менеджер])</f>
        <v>Ольга Кузнецова</v>
      </c>
    </row>
    <row r="2603" spans="1:10" x14ac:dyDescent="0.3">
      <c r="A2603" t="str">
        <f>_xlfn.XLOOKUP(branches[[#This Row],[Филиал]], tbl_Filialy[Филиал], tbl_Filialy[Город])</f>
        <v>Новосибирск</v>
      </c>
      <c r="B2603" s="1" t="s">
        <v>37</v>
      </c>
      <c r="C2603" s="2">
        <v>45787</v>
      </c>
      <c r="D2603" s="2" t="str">
        <f>CHOOSE(MONTH(branches[[#This Row],[Дата]]),"Январь","Февраль","Март","Апрель","Май","Июнь","Июль","Август","Сентябрь","Октябрь","Ноябрь","Декабрь")&amp;" "&amp;YEAR(branches[[#This Row],[Дата]])</f>
        <v>Май 2025</v>
      </c>
      <c r="E2603" t="s">
        <v>8</v>
      </c>
      <c r="F2603" t="s">
        <v>9</v>
      </c>
      <c r="G2603">
        <v>1</v>
      </c>
      <c r="H2603">
        <v>231</v>
      </c>
      <c r="I2603" t="s">
        <v>32</v>
      </c>
      <c r="J2603" t="str">
        <f>_xlfn.XLOOKUP(branches[[#This Row],[Филиал]], tbl_Filialy[Филиал], tbl_Filialy[Менеджер])</f>
        <v>Ольга Кузнецова</v>
      </c>
    </row>
    <row r="2604" spans="1:10" x14ac:dyDescent="0.3">
      <c r="A2604" t="str">
        <f>_xlfn.XLOOKUP(branches[[#This Row],[Филиал]], tbl_Filialy[Филиал], tbl_Filialy[Город])</f>
        <v>Новосибирск</v>
      </c>
      <c r="B2604" s="1" t="s">
        <v>37</v>
      </c>
      <c r="C2604" s="2">
        <v>45939</v>
      </c>
      <c r="D2604" s="2" t="str">
        <f>CHOOSE(MONTH(branches[[#This Row],[Дата]]),"Январь","Февраль","Март","Апрель","Май","Июнь","Июль","Август","Сентябрь","Октябрь","Ноябрь","Декабрь")&amp;" "&amp;YEAR(branches[[#This Row],[Дата]])</f>
        <v>Октябрь 2025</v>
      </c>
      <c r="E2604" t="s">
        <v>22</v>
      </c>
      <c r="F2604" t="s">
        <v>9</v>
      </c>
      <c r="G2604">
        <v>3</v>
      </c>
      <c r="H2604">
        <v>600</v>
      </c>
      <c r="I2604" t="s">
        <v>13</v>
      </c>
      <c r="J2604" t="str">
        <f>_xlfn.XLOOKUP(branches[[#This Row],[Филиал]], tbl_Filialy[Филиал], tbl_Filialy[Менеджер])</f>
        <v>Ольга Кузнецова</v>
      </c>
    </row>
    <row r="2605" spans="1:10" x14ac:dyDescent="0.3">
      <c r="A2605" t="str">
        <f>_xlfn.XLOOKUP(branches[[#This Row],[Филиал]], tbl_Filialy[Филиал], tbl_Filialy[Город])</f>
        <v>Новосибирск</v>
      </c>
      <c r="B2605" s="1" t="s">
        <v>37</v>
      </c>
      <c r="C2605" s="2">
        <v>45705</v>
      </c>
      <c r="D2605" s="2" t="str">
        <f>CHOOSE(MONTH(branches[[#This Row],[Дата]]),"Январь","Февраль","Март","Апрель","Май","Июнь","Июль","Август","Сентябрь","Октябрь","Ноябрь","Декабрь")&amp;" "&amp;YEAR(branches[[#This Row],[Дата]])</f>
        <v>Февраль 2025</v>
      </c>
      <c r="E2605" t="s">
        <v>20</v>
      </c>
      <c r="F2605" t="s">
        <v>12</v>
      </c>
      <c r="G2605">
        <v>2</v>
      </c>
      <c r="H2605">
        <v>612</v>
      </c>
      <c r="I2605" t="s">
        <v>34</v>
      </c>
      <c r="J2605" t="str">
        <f>_xlfn.XLOOKUP(branches[[#This Row],[Филиал]], tbl_Filialy[Филиал], tbl_Filialy[Менеджер])</f>
        <v>Ольга Кузнецова</v>
      </c>
    </row>
    <row r="2606" spans="1:10" x14ac:dyDescent="0.3">
      <c r="A2606" t="str">
        <f>_xlfn.XLOOKUP(branches[[#This Row],[Филиал]], tbl_Filialy[Филиал], tbl_Filialy[Город])</f>
        <v>Новосибирск</v>
      </c>
      <c r="B2606" s="1" t="s">
        <v>37</v>
      </c>
      <c r="C2606" s="2">
        <v>45861</v>
      </c>
      <c r="D2606" s="2" t="str">
        <f>CHOOSE(MONTH(branches[[#This Row],[Дата]]),"Январь","Февраль","Март","Апрель","Май","Июнь","Июль","Август","Сентябрь","Октябрь","Ноябрь","Декабрь")&amp;" "&amp;YEAR(branches[[#This Row],[Дата]])</f>
        <v>Июль 2025</v>
      </c>
      <c r="E2606" t="s">
        <v>18</v>
      </c>
      <c r="F2606" t="s">
        <v>12</v>
      </c>
      <c r="G2606">
        <v>1</v>
      </c>
      <c r="H2606">
        <v>131</v>
      </c>
      <c r="I2606" t="s">
        <v>35</v>
      </c>
      <c r="J2606" t="str">
        <f>_xlfn.XLOOKUP(branches[[#This Row],[Филиал]], tbl_Filialy[Филиал], tbl_Filialy[Менеджер])</f>
        <v>Ольга Кузнецова</v>
      </c>
    </row>
    <row r="2607" spans="1:10" x14ac:dyDescent="0.3">
      <c r="A2607" t="str">
        <f>_xlfn.XLOOKUP(branches[[#This Row],[Филиал]], tbl_Filialy[Филиал], tbl_Filialy[Город])</f>
        <v>Новосибирск</v>
      </c>
      <c r="B2607" s="1" t="s">
        <v>37</v>
      </c>
      <c r="C2607" s="2">
        <v>45979</v>
      </c>
      <c r="D2607" s="2" t="str">
        <f>CHOOSE(MONTH(branches[[#This Row],[Дата]]),"Январь","Февраль","Март","Апрель","Май","Июнь","Июль","Август","Сентябрь","Октябрь","Ноябрь","Декабрь")&amp;" "&amp;YEAR(branches[[#This Row],[Дата]])</f>
        <v>Ноябрь 2025</v>
      </c>
      <c r="E2607" t="s">
        <v>22</v>
      </c>
      <c r="F2607" t="s">
        <v>9</v>
      </c>
      <c r="G2607">
        <v>1</v>
      </c>
      <c r="H2607">
        <v>175</v>
      </c>
      <c r="I2607" t="s">
        <v>13</v>
      </c>
      <c r="J2607" t="str">
        <f>_xlfn.XLOOKUP(branches[[#This Row],[Филиал]], tbl_Filialy[Филиал], tbl_Filialy[Менеджер])</f>
        <v>Ольга Кузнецова</v>
      </c>
    </row>
    <row r="2608" spans="1:10" x14ac:dyDescent="0.3">
      <c r="A2608" t="str">
        <f>_xlfn.XLOOKUP(branches[[#This Row],[Филиал]], tbl_Filialy[Филиал], tbl_Filialy[Город])</f>
        <v>Новосибирск</v>
      </c>
      <c r="B2608" s="1" t="s">
        <v>37</v>
      </c>
      <c r="C2608" s="2">
        <v>45989</v>
      </c>
      <c r="D2608" s="2" t="str">
        <f>CHOOSE(MONTH(branches[[#This Row],[Дата]]),"Январь","Февраль","Март","Апрель","Май","Июнь","Июль","Август","Сентябрь","Октябрь","Ноябрь","Декабрь")&amp;" "&amp;YEAR(branches[[#This Row],[Дата]])</f>
        <v>Ноябрь 2025</v>
      </c>
      <c r="E2608" t="s">
        <v>25</v>
      </c>
      <c r="F2608" t="s">
        <v>12</v>
      </c>
      <c r="G2608">
        <v>1</v>
      </c>
      <c r="H2608">
        <v>211</v>
      </c>
      <c r="I2608" t="s">
        <v>35</v>
      </c>
      <c r="J2608" t="str">
        <f>_xlfn.XLOOKUP(branches[[#This Row],[Филиал]], tbl_Filialy[Филиал], tbl_Filialy[Менеджер])</f>
        <v>Ольга Кузнецова</v>
      </c>
    </row>
    <row r="2609" spans="1:10" x14ac:dyDescent="0.3">
      <c r="A2609" t="str">
        <f>_xlfn.XLOOKUP(branches[[#This Row],[Филиал]], tbl_Filialy[Филиал], tbl_Filialy[Город])</f>
        <v>Новосибирск</v>
      </c>
      <c r="B2609" s="1" t="s">
        <v>37</v>
      </c>
      <c r="C2609" s="2">
        <v>45729</v>
      </c>
      <c r="D2609" s="2" t="str">
        <f>CHOOSE(MONTH(branches[[#This Row],[Дата]]),"Январь","Февраль","Март","Апрель","Май","Июнь","Июль","Август","Сентябрь","Октябрь","Ноябрь","Декабрь")&amp;" "&amp;YEAR(branches[[#This Row],[Дата]])</f>
        <v>Март 2025</v>
      </c>
      <c r="E2609" t="s">
        <v>26</v>
      </c>
      <c r="F2609" t="s">
        <v>9</v>
      </c>
      <c r="G2609">
        <v>3</v>
      </c>
      <c r="H2609">
        <v>702</v>
      </c>
      <c r="I2609" t="s">
        <v>32</v>
      </c>
      <c r="J2609" t="str">
        <f>_xlfn.XLOOKUP(branches[[#This Row],[Филиал]], tbl_Filialy[Филиал], tbl_Filialy[Менеджер])</f>
        <v>Ольга Кузнецова</v>
      </c>
    </row>
    <row r="2610" spans="1:10" x14ac:dyDescent="0.3">
      <c r="A2610" t="str">
        <f>_xlfn.XLOOKUP(branches[[#This Row],[Филиал]], tbl_Filialy[Филиал], tbl_Filialy[Город])</f>
        <v>Новосибирск</v>
      </c>
      <c r="B2610" s="1" t="s">
        <v>37</v>
      </c>
      <c r="C2610" s="2">
        <v>45664</v>
      </c>
      <c r="D2610" s="2" t="str">
        <f>CHOOSE(MONTH(branches[[#This Row],[Дата]]),"Январь","Февраль","Март","Апрель","Май","Июнь","Июль","Август","Сентябрь","Октябрь","Ноябрь","Декабрь")&amp;" "&amp;YEAR(branches[[#This Row],[Дата]])</f>
        <v>Январь 2025</v>
      </c>
      <c r="E2610" t="s">
        <v>24</v>
      </c>
      <c r="F2610" t="s">
        <v>17</v>
      </c>
      <c r="G2610">
        <v>2</v>
      </c>
      <c r="H2610">
        <v>750</v>
      </c>
      <c r="I2610" t="s">
        <v>34</v>
      </c>
      <c r="J2610" t="str">
        <f>_xlfn.XLOOKUP(branches[[#This Row],[Филиал]], tbl_Filialy[Филиал], tbl_Filialy[Менеджер])</f>
        <v>Ольга Кузнецова</v>
      </c>
    </row>
    <row r="2611" spans="1:10" x14ac:dyDescent="0.3">
      <c r="A2611" t="str">
        <f>_xlfn.XLOOKUP(branches[[#This Row],[Филиал]], tbl_Filialy[Филиал], tbl_Filialy[Город])</f>
        <v>Новосибирск</v>
      </c>
      <c r="B2611" s="1" t="s">
        <v>37</v>
      </c>
      <c r="C2611" s="2">
        <v>45786</v>
      </c>
      <c r="D2611" s="2" t="str">
        <f>CHOOSE(MONTH(branches[[#This Row],[Дата]]),"Январь","Февраль","Март","Апрель","Май","Июнь","Июль","Август","Сентябрь","Октябрь","Ноябрь","Декабрь")&amp;" "&amp;YEAR(branches[[#This Row],[Дата]])</f>
        <v>Май 2025</v>
      </c>
      <c r="E2611" t="s">
        <v>24</v>
      </c>
      <c r="F2611" t="s">
        <v>17</v>
      </c>
      <c r="G2611">
        <v>3</v>
      </c>
      <c r="H2611">
        <v>1074</v>
      </c>
      <c r="I2611" t="s">
        <v>34</v>
      </c>
      <c r="J2611" t="str">
        <f>_xlfn.XLOOKUP(branches[[#This Row],[Филиал]], tbl_Filialy[Филиал], tbl_Filialy[Менеджер])</f>
        <v>Ольга Кузнецова</v>
      </c>
    </row>
    <row r="2612" spans="1:10" x14ac:dyDescent="0.3">
      <c r="A2612" t="str">
        <f>_xlfn.XLOOKUP(branches[[#This Row],[Филиал]], tbl_Filialy[Филиал], tbl_Filialy[Город])</f>
        <v>Новосибирск</v>
      </c>
      <c r="B2612" s="1" t="s">
        <v>37</v>
      </c>
      <c r="C2612" s="2">
        <v>45873</v>
      </c>
      <c r="D2612" s="2" t="str">
        <f>CHOOSE(MONTH(branches[[#This Row],[Дата]]),"Январь","Февраль","Март","Апрель","Май","Июнь","Июль","Август","Сентябрь","Октябрь","Ноябрь","Декабрь")&amp;" "&amp;YEAR(branches[[#This Row],[Дата]])</f>
        <v>Август 2025</v>
      </c>
      <c r="E2612" t="s">
        <v>26</v>
      </c>
      <c r="F2612" t="s">
        <v>9</v>
      </c>
      <c r="G2612">
        <v>2</v>
      </c>
      <c r="H2612">
        <v>376</v>
      </c>
      <c r="I2612" t="s">
        <v>19</v>
      </c>
      <c r="J2612" t="str">
        <f>_xlfn.XLOOKUP(branches[[#This Row],[Филиал]], tbl_Filialy[Филиал], tbl_Filialy[Менеджер])</f>
        <v>Ольга Кузнецова</v>
      </c>
    </row>
    <row r="2613" spans="1:10" x14ac:dyDescent="0.3">
      <c r="A2613" t="str">
        <f>_xlfn.XLOOKUP(branches[[#This Row],[Филиал]], tbl_Filialy[Филиал], tbl_Filialy[Город])</f>
        <v>Новосибирск</v>
      </c>
      <c r="B2613" s="1" t="s">
        <v>37</v>
      </c>
      <c r="C2613" s="2">
        <v>45998</v>
      </c>
      <c r="D2613" s="2" t="str">
        <f>CHOOSE(MONTH(branches[[#This Row],[Дата]]),"Январь","Февраль","Март","Апрель","Май","Июнь","Июль","Август","Сентябрь","Октябрь","Ноябрь","Декабрь")&amp;" "&amp;YEAR(branches[[#This Row],[Дата]])</f>
        <v>Декабрь 2025</v>
      </c>
      <c r="E2613" t="s">
        <v>20</v>
      </c>
      <c r="F2613" t="s">
        <v>12</v>
      </c>
      <c r="G2613">
        <v>3</v>
      </c>
      <c r="H2613">
        <v>750</v>
      </c>
      <c r="I2613" t="s">
        <v>19</v>
      </c>
      <c r="J2613" t="str">
        <f>_xlfn.XLOOKUP(branches[[#This Row],[Филиал]], tbl_Filialy[Филиал], tbl_Filialy[Менеджер])</f>
        <v>Ольга Кузнецова</v>
      </c>
    </row>
    <row r="2614" spans="1:10" x14ac:dyDescent="0.3">
      <c r="A2614" t="str">
        <f>_xlfn.XLOOKUP(branches[[#This Row],[Филиал]], tbl_Filialy[Филиал], tbl_Filialy[Город])</f>
        <v>Новосибирск</v>
      </c>
      <c r="B2614" s="1" t="s">
        <v>37</v>
      </c>
      <c r="C2614" s="2">
        <v>45974</v>
      </c>
      <c r="D2614" s="2" t="str">
        <f>CHOOSE(MONTH(branches[[#This Row],[Дата]]),"Январь","Февраль","Март","Апрель","Май","Июнь","Июль","Август","Сентябрь","Октябрь","Ноябрь","Декабрь")&amp;" "&amp;YEAR(branches[[#This Row],[Дата]])</f>
        <v>Ноябрь 2025</v>
      </c>
      <c r="E2614" t="s">
        <v>16</v>
      </c>
      <c r="F2614" t="s">
        <v>17</v>
      </c>
      <c r="G2614">
        <v>2</v>
      </c>
      <c r="H2614">
        <v>664</v>
      </c>
      <c r="I2614" t="s">
        <v>35</v>
      </c>
      <c r="J2614" t="str">
        <f>_xlfn.XLOOKUP(branches[[#This Row],[Филиал]], tbl_Filialy[Филиал], tbl_Filialy[Менеджер])</f>
        <v>Ольга Кузнецова</v>
      </c>
    </row>
    <row r="2615" spans="1:10" x14ac:dyDescent="0.3">
      <c r="A2615" t="str">
        <f>_xlfn.XLOOKUP(branches[[#This Row],[Филиал]], tbl_Filialy[Филиал], tbl_Filialy[Город])</f>
        <v>Новосибирск</v>
      </c>
      <c r="B2615" s="1" t="s">
        <v>37</v>
      </c>
      <c r="C2615" s="2">
        <v>45994</v>
      </c>
      <c r="D2615" s="2" t="str">
        <f>CHOOSE(MONTH(branches[[#This Row],[Дата]]),"Январь","Февраль","Март","Апрель","Май","Июнь","Июль","Август","Сентябрь","Октябрь","Ноябрь","Декабрь")&amp;" "&amp;YEAR(branches[[#This Row],[Дата]])</f>
        <v>Декабрь 2025</v>
      </c>
      <c r="E2615" t="s">
        <v>26</v>
      </c>
      <c r="F2615" t="s">
        <v>9</v>
      </c>
      <c r="G2615">
        <v>1</v>
      </c>
      <c r="H2615">
        <v>218</v>
      </c>
      <c r="I2615" t="s">
        <v>35</v>
      </c>
      <c r="J2615" t="str">
        <f>_xlfn.XLOOKUP(branches[[#This Row],[Филиал]], tbl_Filialy[Филиал], tbl_Filialy[Менеджер])</f>
        <v>Ольга Кузнецова</v>
      </c>
    </row>
    <row r="2616" spans="1:10" x14ac:dyDescent="0.3">
      <c r="A2616" t="str">
        <f>_xlfn.XLOOKUP(branches[[#This Row],[Филиал]], tbl_Filialy[Филиал], tbl_Filialy[Город])</f>
        <v>Новосибирск</v>
      </c>
      <c r="B2616" s="1" t="s">
        <v>37</v>
      </c>
      <c r="C2616" s="2">
        <v>45887</v>
      </c>
      <c r="D2616" s="2" t="str">
        <f>CHOOSE(MONTH(branches[[#This Row],[Дата]]),"Январь","Февраль","Март","Апрель","Май","Июнь","Июль","Август","Сентябрь","Октябрь","Ноябрь","Декабрь")&amp;" "&amp;YEAR(branches[[#This Row],[Дата]])</f>
        <v>Август 2025</v>
      </c>
      <c r="E2616" t="s">
        <v>8</v>
      </c>
      <c r="F2616" t="s">
        <v>9</v>
      </c>
      <c r="G2616">
        <v>1</v>
      </c>
      <c r="H2616">
        <v>270</v>
      </c>
      <c r="I2616" t="s">
        <v>33</v>
      </c>
      <c r="J2616" t="str">
        <f>_xlfn.XLOOKUP(branches[[#This Row],[Филиал]], tbl_Filialy[Филиал], tbl_Filialy[Менеджер])</f>
        <v>Ольга Кузнецова</v>
      </c>
    </row>
    <row r="2617" spans="1:10" x14ac:dyDescent="0.3">
      <c r="A2617" t="str">
        <f>_xlfn.XLOOKUP(branches[[#This Row],[Филиал]], tbl_Filialy[Филиал], tbl_Filialy[Город])</f>
        <v>Новосибирск</v>
      </c>
      <c r="B2617" s="1" t="s">
        <v>37</v>
      </c>
      <c r="C2617" s="2">
        <v>45969</v>
      </c>
      <c r="D2617" s="2" t="str">
        <f>CHOOSE(MONTH(branches[[#This Row],[Дата]]),"Январь","Февраль","Март","Апрель","Май","Июнь","Июль","Август","Сентябрь","Октябрь","Ноябрь","Декабрь")&amp;" "&amp;YEAR(branches[[#This Row],[Дата]])</f>
        <v>Ноябрь 2025</v>
      </c>
      <c r="E2617" t="s">
        <v>16</v>
      </c>
      <c r="F2617" t="s">
        <v>17</v>
      </c>
      <c r="G2617">
        <v>1</v>
      </c>
      <c r="H2617">
        <v>322</v>
      </c>
      <c r="I2617" t="s">
        <v>34</v>
      </c>
      <c r="J2617" t="str">
        <f>_xlfn.XLOOKUP(branches[[#This Row],[Филиал]], tbl_Filialy[Филиал], tbl_Filialy[Менеджер])</f>
        <v>Ольга Кузнецова</v>
      </c>
    </row>
    <row r="2618" spans="1:10" x14ac:dyDescent="0.3">
      <c r="A2618" t="str">
        <f>_xlfn.XLOOKUP(branches[[#This Row],[Филиал]], tbl_Filialy[Филиал], tbl_Filialy[Город])</f>
        <v>Новосибирск</v>
      </c>
      <c r="B2618" s="1" t="s">
        <v>37</v>
      </c>
      <c r="C2618" s="2">
        <v>45689</v>
      </c>
      <c r="D2618" s="2" t="str">
        <f>CHOOSE(MONTH(branches[[#This Row],[Дата]]),"Январь","Февраль","Март","Апрель","Май","Июнь","Июль","Август","Сентябрь","Октябрь","Ноябрь","Декабрь")&amp;" "&amp;YEAR(branches[[#This Row],[Дата]])</f>
        <v>Февраль 2025</v>
      </c>
      <c r="E2618" t="s">
        <v>18</v>
      </c>
      <c r="F2618" t="s">
        <v>12</v>
      </c>
      <c r="G2618">
        <v>2</v>
      </c>
      <c r="H2618">
        <v>270</v>
      </c>
      <c r="I2618" t="s">
        <v>19</v>
      </c>
      <c r="J2618" t="str">
        <f>_xlfn.XLOOKUP(branches[[#This Row],[Филиал]], tbl_Filialy[Филиал], tbl_Filialy[Менеджер])</f>
        <v>Ольга Кузнецова</v>
      </c>
    </row>
    <row r="2619" spans="1:10" x14ac:dyDescent="0.3">
      <c r="A2619" t="str">
        <f>_xlfn.XLOOKUP(branches[[#This Row],[Филиал]], tbl_Filialy[Филиал], tbl_Filialy[Город])</f>
        <v>Новосибирск</v>
      </c>
      <c r="B2619" s="1" t="s">
        <v>37</v>
      </c>
      <c r="C2619" s="2">
        <v>45822</v>
      </c>
      <c r="D2619" s="2" t="str">
        <f>CHOOSE(MONTH(branches[[#This Row],[Дата]]),"Январь","Февраль","Март","Апрель","Май","Июнь","Июль","Август","Сентябрь","Октябрь","Ноябрь","Декабрь")&amp;" "&amp;YEAR(branches[[#This Row],[Дата]])</f>
        <v>Июнь 2025</v>
      </c>
      <c r="E2619" t="s">
        <v>26</v>
      </c>
      <c r="F2619" t="s">
        <v>9</v>
      </c>
      <c r="G2619">
        <v>2</v>
      </c>
      <c r="H2619">
        <v>462</v>
      </c>
      <c r="I2619" t="s">
        <v>19</v>
      </c>
      <c r="J2619" t="str">
        <f>_xlfn.XLOOKUP(branches[[#This Row],[Филиал]], tbl_Filialy[Филиал], tbl_Filialy[Менеджер])</f>
        <v>Ольга Кузнецова</v>
      </c>
    </row>
    <row r="2620" spans="1:10" x14ac:dyDescent="0.3">
      <c r="A2620" t="str">
        <f>_xlfn.XLOOKUP(branches[[#This Row],[Филиал]], tbl_Filialy[Филиал], tbl_Filialy[Город])</f>
        <v>Новосибирск</v>
      </c>
      <c r="B2620" s="1" t="s">
        <v>37</v>
      </c>
      <c r="C2620" s="2">
        <v>45714</v>
      </c>
      <c r="D2620" s="2" t="str">
        <f>CHOOSE(MONTH(branches[[#This Row],[Дата]]),"Январь","Февраль","Март","Апрель","Май","Июнь","Июль","Август","Сентябрь","Октябрь","Ноябрь","Декабрь")&amp;" "&amp;YEAR(branches[[#This Row],[Дата]])</f>
        <v>Февраль 2025</v>
      </c>
      <c r="E2620" t="s">
        <v>14</v>
      </c>
      <c r="F2620" t="s">
        <v>12</v>
      </c>
      <c r="G2620">
        <v>1</v>
      </c>
      <c r="H2620">
        <v>239</v>
      </c>
      <c r="I2620" t="s">
        <v>35</v>
      </c>
      <c r="J2620" t="str">
        <f>_xlfn.XLOOKUP(branches[[#This Row],[Филиал]], tbl_Filialy[Филиал], tbl_Filialy[Менеджер])</f>
        <v>Ольга Кузнецова</v>
      </c>
    </row>
    <row r="2621" spans="1:10" x14ac:dyDescent="0.3">
      <c r="A2621" t="str">
        <f>_xlfn.XLOOKUP(branches[[#This Row],[Филиал]], tbl_Filialy[Филиал], tbl_Filialy[Город])</f>
        <v>Новосибирск</v>
      </c>
      <c r="B2621" s="1" t="s">
        <v>37</v>
      </c>
      <c r="C2621" s="2">
        <v>45792</v>
      </c>
      <c r="D2621" s="2" t="str">
        <f>CHOOSE(MONTH(branches[[#This Row],[Дата]]),"Январь","Февраль","Март","Апрель","Май","Июнь","Июль","Август","Сентябрь","Октябрь","Ноябрь","Декабрь")&amp;" "&amp;YEAR(branches[[#This Row],[Дата]])</f>
        <v>Май 2025</v>
      </c>
      <c r="E2621" t="s">
        <v>25</v>
      </c>
      <c r="F2621" t="s">
        <v>12</v>
      </c>
      <c r="G2621">
        <v>1</v>
      </c>
      <c r="H2621">
        <v>217</v>
      </c>
      <c r="I2621" t="s">
        <v>35</v>
      </c>
      <c r="J2621" t="str">
        <f>_xlfn.XLOOKUP(branches[[#This Row],[Филиал]], tbl_Filialy[Филиал], tbl_Filialy[Менеджер])</f>
        <v>Ольга Кузнецова</v>
      </c>
    </row>
    <row r="2622" spans="1:10" x14ac:dyDescent="0.3">
      <c r="A2622" t="str">
        <f>_xlfn.XLOOKUP(branches[[#This Row],[Филиал]], tbl_Filialy[Филиал], tbl_Filialy[Город])</f>
        <v>Новосибирск</v>
      </c>
      <c r="B2622" s="1" t="s">
        <v>37</v>
      </c>
      <c r="C2622" s="2">
        <v>45729</v>
      </c>
      <c r="D2622" s="2" t="str">
        <f>CHOOSE(MONTH(branches[[#This Row],[Дата]]),"Январь","Февраль","Март","Апрель","Май","Июнь","Июль","Август","Сентябрь","Октябрь","Ноябрь","Декабрь")&amp;" "&amp;YEAR(branches[[#This Row],[Дата]])</f>
        <v>Март 2025</v>
      </c>
      <c r="E2622" t="s">
        <v>25</v>
      </c>
      <c r="F2622" t="s">
        <v>12</v>
      </c>
      <c r="G2622">
        <v>2</v>
      </c>
      <c r="H2622">
        <v>488</v>
      </c>
      <c r="I2622" t="s">
        <v>35</v>
      </c>
      <c r="J2622" t="str">
        <f>_xlfn.XLOOKUP(branches[[#This Row],[Филиал]], tbl_Filialy[Филиал], tbl_Filialy[Менеджер])</f>
        <v>Ольга Кузнецова</v>
      </c>
    </row>
    <row r="2623" spans="1:10" x14ac:dyDescent="0.3">
      <c r="A2623" t="str">
        <f>_xlfn.XLOOKUP(branches[[#This Row],[Филиал]], tbl_Filialy[Филиал], tbl_Filialy[Город])</f>
        <v>Новосибирск</v>
      </c>
      <c r="B2623" s="1" t="s">
        <v>37</v>
      </c>
      <c r="C2623" s="2">
        <v>45773</v>
      </c>
      <c r="D2623" s="2" t="str">
        <f>CHOOSE(MONTH(branches[[#This Row],[Дата]]),"Январь","Февраль","Март","Апрель","Май","Июнь","Июль","Август","Сентябрь","Октябрь","Ноябрь","Декабрь")&amp;" "&amp;YEAR(branches[[#This Row],[Дата]])</f>
        <v>Апрель 2025</v>
      </c>
      <c r="E2623" t="s">
        <v>11</v>
      </c>
      <c r="F2623" t="s">
        <v>12</v>
      </c>
      <c r="G2623">
        <v>1</v>
      </c>
      <c r="H2623">
        <v>173</v>
      </c>
      <c r="I2623" t="s">
        <v>34</v>
      </c>
      <c r="J2623" t="str">
        <f>_xlfn.XLOOKUP(branches[[#This Row],[Филиал]], tbl_Filialy[Филиал], tbl_Filialy[Менеджер])</f>
        <v>Ольга Кузнецова</v>
      </c>
    </row>
    <row r="2624" spans="1:10" x14ac:dyDescent="0.3">
      <c r="A2624" t="str">
        <f>_xlfn.XLOOKUP(branches[[#This Row],[Филиал]], tbl_Filialy[Филиал], tbl_Filialy[Город])</f>
        <v>Новосибирск</v>
      </c>
      <c r="B2624" s="1" t="s">
        <v>37</v>
      </c>
      <c r="C2624" s="2">
        <v>45995</v>
      </c>
      <c r="D2624" s="2" t="str">
        <f>CHOOSE(MONTH(branches[[#This Row],[Дата]]),"Январь","Февраль","Март","Апрель","Май","Июнь","Июль","Август","Сентябрь","Октябрь","Ноябрь","Декабрь")&amp;" "&amp;YEAR(branches[[#This Row],[Дата]])</f>
        <v>Декабрь 2025</v>
      </c>
      <c r="E2624" t="s">
        <v>22</v>
      </c>
      <c r="F2624" t="s">
        <v>9</v>
      </c>
      <c r="G2624">
        <v>2</v>
      </c>
      <c r="H2624">
        <v>332</v>
      </c>
      <c r="I2624" t="s">
        <v>13</v>
      </c>
      <c r="J2624" t="str">
        <f>_xlfn.XLOOKUP(branches[[#This Row],[Филиал]], tbl_Filialy[Филиал], tbl_Filialy[Менеджер])</f>
        <v>Ольга Кузнецова</v>
      </c>
    </row>
    <row r="2625" spans="1:10" x14ac:dyDescent="0.3">
      <c r="A2625" t="str">
        <f>_xlfn.XLOOKUP(branches[[#This Row],[Филиал]], tbl_Filialy[Филиал], tbl_Filialy[Город])</f>
        <v>Новосибирск</v>
      </c>
      <c r="B2625" s="1" t="s">
        <v>37</v>
      </c>
      <c r="C2625" s="2">
        <v>45800</v>
      </c>
      <c r="D2625" s="2" t="str">
        <f>CHOOSE(MONTH(branches[[#This Row],[Дата]]),"Январь","Февраль","Март","Апрель","Май","Июнь","Июль","Август","Сентябрь","Октябрь","Ноябрь","Декабрь")&amp;" "&amp;YEAR(branches[[#This Row],[Дата]])</f>
        <v>Май 2025</v>
      </c>
      <c r="E2625" t="s">
        <v>27</v>
      </c>
      <c r="F2625" t="s">
        <v>12</v>
      </c>
      <c r="G2625">
        <v>1</v>
      </c>
      <c r="H2625">
        <v>240</v>
      </c>
      <c r="I2625" t="s">
        <v>34</v>
      </c>
      <c r="J2625" t="str">
        <f>_xlfn.XLOOKUP(branches[[#This Row],[Филиал]], tbl_Filialy[Филиал], tbl_Filialy[Менеджер])</f>
        <v>Ольга Кузнецова</v>
      </c>
    </row>
    <row r="2626" spans="1:10" x14ac:dyDescent="0.3">
      <c r="A2626" t="str">
        <f>_xlfn.XLOOKUP(branches[[#This Row],[Филиал]], tbl_Filialy[Филиал], tbl_Filialy[Город])</f>
        <v>Новосибирск</v>
      </c>
      <c r="B2626" s="1" t="s">
        <v>37</v>
      </c>
      <c r="C2626" s="2">
        <v>45803</v>
      </c>
      <c r="D2626" s="2" t="str">
        <f>CHOOSE(MONTH(branches[[#This Row],[Дата]]),"Январь","Февраль","Март","Апрель","Май","Июнь","Июль","Август","Сентябрь","Октябрь","Ноябрь","Декабрь")&amp;" "&amp;YEAR(branches[[#This Row],[Дата]])</f>
        <v>Май 2025</v>
      </c>
      <c r="E2626" t="s">
        <v>8</v>
      </c>
      <c r="F2626" t="s">
        <v>9</v>
      </c>
      <c r="G2626">
        <v>1</v>
      </c>
      <c r="H2626">
        <v>264</v>
      </c>
      <c r="I2626" t="s">
        <v>19</v>
      </c>
      <c r="J2626" t="str">
        <f>_xlfn.XLOOKUP(branches[[#This Row],[Филиал]], tbl_Filialy[Филиал], tbl_Filialy[Менеджер])</f>
        <v>Ольга Кузнецова</v>
      </c>
    </row>
    <row r="2627" spans="1:10" x14ac:dyDescent="0.3">
      <c r="A2627" t="str">
        <f>_xlfn.XLOOKUP(branches[[#This Row],[Филиал]], tbl_Filialy[Филиал], tbl_Filialy[Город])</f>
        <v>Новосибирск</v>
      </c>
      <c r="B2627" s="1" t="s">
        <v>37</v>
      </c>
      <c r="C2627" s="2">
        <v>45943</v>
      </c>
      <c r="D2627" s="2" t="str">
        <f>CHOOSE(MONTH(branches[[#This Row],[Дата]]),"Январь","Февраль","Март","Апрель","Май","Июнь","Июль","Август","Сентябрь","Октябрь","Ноябрь","Декабрь")&amp;" "&amp;YEAR(branches[[#This Row],[Дата]])</f>
        <v>Октябрь 2025</v>
      </c>
      <c r="E2627" t="s">
        <v>18</v>
      </c>
      <c r="F2627" t="s">
        <v>12</v>
      </c>
      <c r="G2627">
        <v>1</v>
      </c>
      <c r="H2627">
        <v>123</v>
      </c>
      <c r="I2627" t="s">
        <v>32</v>
      </c>
      <c r="J2627" t="str">
        <f>_xlfn.XLOOKUP(branches[[#This Row],[Филиал]], tbl_Filialy[Филиал], tbl_Filialy[Менеджер])</f>
        <v>Ольга Кузнецова</v>
      </c>
    </row>
    <row r="2628" spans="1:10" x14ac:dyDescent="0.3">
      <c r="A2628" t="str">
        <f>_xlfn.XLOOKUP(branches[[#This Row],[Филиал]], tbl_Filialy[Филиал], tbl_Filialy[Город])</f>
        <v>Новосибирск</v>
      </c>
      <c r="B2628" s="1" t="s">
        <v>37</v>
      </c>
      <c r="C2628" s="2">
        <v>45917</v>
      </c>
      <c r="D2628" s="2" t="str">
        <f>CHOOSE(MONTH(branches[[#This Row],[Дата]]),"Январь","Февраль","Март","Апрель","Май","Июнь","Июль","Август","Сентябрь","Октябрь","Ноябрь","Декабрь")&amp;" "&amp;YEAR(branches[[#This Row],[Дата]])</f>
        <v>Сентябрь 2025</v>
      </c>
      <c r="E2628" t="s">
        <v>14</v>
      </c>
      <c r="F2628" t="s">
        <v>12</v>
      </c>
      <c r="G2628">
        <v>3</v>
      </c>
      <c r="H2628">
        <v>837</v>
      </c>
      <c r="I2628" t="s">
        <v>32</v>
      </c>
      <c r="J2628" t="str">
        <f>_xlfn.XLOOKUP(branches[[#This Row],[Филиал]], tbl_Filialy[Филиал], tbl_Filialy[Менеджер])</f>
        <v>Ольга Кузнецова</v>
      </c>
    </row>
    <row r="2629" spans="1:10" x14ac:dyDescent="0.3">
      <c r="A2629" t="str">
        <f>_xlfn.XLOOKUP(branches[[#This Row],[Филиал]], tbl_Filialy[Филиал], tbl_Filialy[Город])</f>
        <v>Новосибирск</v>
      </c>
      <c r="B2629" s="1" t="s">
        <v>37</v>
      </c>
      <c r="C2629" s="2">
        <v>45866</v>
      </c>
      <c r="D2629" s="2" t="str">
        <f>CHOOSE(MONTH(branches[[#This Row],[Дата]]),"Январь","Февраль","Март","Апрель","Май","Июнь","Июль","Август","Сентябрь","Октябрь","Ноябрь","Декабрь")&amp;" "&amp;YEAR(branches[[#This Row],[Дата]])</f>
        <v>Июль 2025</v>
      </c>
      <c r="E2629" t="s">
        <v>14</v>
      </c>
      <c r="F2629" t="s">
        <v>12</v>
      </c>
      <c r="G2629">
        <v>2</v>
      </c>
      <c r="H2629">
        <v>528</v>
      </c>
      <c r="I2629" t="s">
        <v>35</v>
      </c>
      <c r="J2629" t="str">
        <f>_xlfn.XLOOKUP(branches[[#This Row],[Филиал]], tbl_Filialy[Филиал], tbl_Filialy[Менеджер])</f>
        <v>Ольга Кузнецова</v>
      </c>
    </row>
    <row r="2630" spans="1:10" x14ac:dyDescent="0.3">
      <c r="A2630" t="str">
        <f>_xlfn.XLOOKUP(branches[[#This Row],[Филиал]], tbl_Filialy[Филиал], tbl_Filialy[Город])</f>
        <v>Новосибирск</v>
      </c>
      <c r="B2630" s="1" t="s">
        <v>37</v>
      </c>
      <c r="C2630" s="2">
        <v>45982</v>
      </c>
      <c r="D2630" s="2" t="str">
        <f>CHOOSE(MONTH(branches[[#This Row],[Дата]]),"Январь","Февраль","Март","Апрель","Май","Июнь","Июль","Август","Сентябрь","Октябрь","Ноябрь","Декабрь")&amp;" "&amp;YEAR(branches[[#This Row],[Дата]])</f>
        <v>Ноябрь 2025</v>
      </c>
      <c r="E2630" t="s">
        <v>18</v>
      </c>
      <c r="F2630" t="s">
        <v>12</v>
      </c>
      <c r="G2630">
        <v>1</v>
      </c>
      <c r="H2630">
        <v>148</v>
      </c>
      <c r="I2630" t="s">
        <v>13</v>
      </c>
      <c r="J2630" t="str">
        <f>_xlfn.XLOOKUP(branches[[#This Row],[Филиал]], tbl_Filialy[Филиал], tbl_Filialy[Менеджер])</f>
        <v>Ольга Кузнецова</v>
      </c>
    </row>
    <row r="2631" spans="1:10" x14ac:dyDescent="0.3">
      <c r="A2631" t="str">
        <f>_xlfn.XLOOKUP(branches[[#This Row],[Филиал]], tbl_Filialy[Филиал], tbl_Filialy[Город])</f>
        <v>Новосибирск</v>
      </c>
      <c r="B2631" s="1" t="s">
        <v>37</v>
      </c>
      <c r="C2631" s="2">
        <v>45969</v>
      </c>
      <c r="D2631" s="2" t="str">
        <f>CHOOSE(MONTH(branches[[#This Row],[Дата]]),"Январь","Февраль","Март","Апрель","Май","Июнь","Июль","Август","Сентябрь","Октябрь","Ноябрь","Декабрь")&amp;" "&amp;YEAR(branches[[#This Row],[Дата]])</f>
        <v>Ноябрь 2025</v>
      </c>
      <c r="E2631" t="s">
        <v>14</v>
      </c>
      <c r="F2631" t="s">
        <v>12</v>
      </c>
      <c r="G2631">
        <v>1</v>
      </c>
      <c r="H2631">
        <v>261</v>
      </c>
      <c r="I2631" t="s">
        <v>35</v>
      </c>
      <c r="J2631" t="str">
        <f>_xlfn.XLOOKUP(branches[[#This Row],[Филиал]], tbl_Filialy[Филиал], tbl_Filialy[Менеджер])</f>
        <v>Ольга Кузнецова</v>
      </c>
    </row>
    <row r="2632" spans="1:10" x14ac:dyDescent="0.3">
      <c r="A2632" t="str">
        <f>_xlfn.XLOOKUP(branches[[#This Row],[Филиал]], tbl_Filialy[Филиал], tbl_Filialy[Город])</f>
        <v>Новосибирск</v>
      </c>
      <c r="B2632" s="1" t="s">
        <v>37</v>
      </c>
      <c r="C2632" s="2">
        <v>45893</v>
      </c>
      <c r="D2632" s="2" t="str">
        <f>CHOOSE(MONTH(branches[[#This Row],[Дата]]),"Январь","Февраль","Март","Апрель","Май","Июнь","Июль","Август","Сентябрь","Октябрь","Ноябрь","Декабрь")&amp;" "&amp;YEAR(branches[[#This Row],[Дата]])</f>
        <v>Август 2025</v>
      </c>
      <c r="E2632" t="s">
        <v>18</v>
      </c>
      <c r="F2632" t="s">
        <v>12</v>
      </c>
      <c r="G2632">
        <v>1</v>
      </c>
      <c r="H2632">
        <v>140</v>
      </c>
      <c r="I2632" t="s">
        <v>33</v>
      </c>
      <c r="J2632" t="str">
        <f>_xlfn.XLOOKUP(branches[[#This Row],[Филиал]], tbl_Filialy[Филиал], tbl_Filialy[Менеджер])</f>
        <v>Ольга Кузнецова</v>
      </c>
    </row>
    <row r="2633" spans="1:10" x14ac:dyDescent="0.3">
      <c r="A2633" t="str">
        <f>_xlfn.XLOOKUP(branches[[#This Row],[Филиал]], tbl_Filialy[Филиал], tbl_Filialy[Город])</f>
        <v>Новосибирск</v>
      </c>
      <c r="B2633" s="1" t="s">
        <v>37</v>
      </c>
      <c r="C2633" s="2">
        <v>45948</v>
      </c>
      <c r="D2633" s="2" t="str">
        <f>CHOOSE(MONTH(branches[[#This Row],[Дата]]),"Январь","Февраль","Март","Апрель","Май","Июнь","Июль","Август","Сентябрь","Октябрь","Ноябрь","Декабрь")&amp;" "&amp;YEAR(branches[[#This Row],[Дата]])</f>
        <v>Октябрь 2025</v>
      </c>
      <c r="E2633" t="s">
        <v>8</v>
      </c>
      <c r="F2633" t="s">
        <v>9</v>
      </c>
      <c r="G2633">
        <v>1</v>
      </c>
      <c r="H2633">
        <v>271</v>
      </c>
      <c r="I2633" t="s">
        <v>32</v>
      </c>
      <c r="J2633" t="str">
        <f>_xlfn.XLOOKUP(branches[[#This Row],[Филиал]], tbl_Filialy[Филиал], tbl_Filialy[Менеджер])</f>
        <v>Ольга Кузнецова</v>
      </c>
    </row>
    <row r="2634" spans="1:10" x14ac:dyDescent="0.3">
      <c r="A2634" t="str">
        <f>_xlfn.XLOOKUP(branches[[#This Row],[Филиал]], tbl_Filialy[Филиал], tbl_Filialy[Город])</f>
        <v>Новосибирск</v>
      </c>
      <c r="B2634" s="1" t="s">
        <v>37</v>
      </c>
      <c r="C2634" s="2">
        <v>45894</v>
      </c>
      <c r="D2634" s="2" t="str">
        <f>CHOOSE(MONTH(branches[[#This Row],[Дата]]),"Январь","Февраль","Март","Апрель","Май","Июнь","Июль","Август","Сентябрь","Октябрь","Ноябрь","Декабрь")&amp;" "&amp;YEAR(branches[[#This Row],[Дата]])</f>
        <v>Август 2025</v>
      </c>
      <c r="E2634" t="s">
        <v>16</v>
      </c>
      <c r="F2634" t="s">
        <v>17</v>
      </c>
      <c r="G2634">
        <v>1</v>
      </c>
      <c r="H2634">
        <v>289</v>
      </c>
      <c r="I2634" t="s">
        <v>35</v>
      </c>
      <c r="J2634" t="str">
        <f>_xlfn.XLOOKUP(branches[[#This Row],[Филиал]], tbl_Filialy[Филиал], tbl_Filialy[Менеджер])</f>
        <v>Ольга Кузнецова</v>
      </c>
    </row>
    <row r="2635" spans="1:10" x14ac:dyDescent="0.3">
      <c r="A2635" t="str">
        <f>_xlfn.XLOOKUP(branches[[#This Row],[Филиал]], tbl_Filialy[Филиал], tbl_Filialy[Город])</f>
        <v>Новосибирск</v>
      </c>
      <c r="B2635" s="1" t="s">
        <v>37</v>
      </c>
      <c r="C2635" s="2">
        <v>45903</v>
      </c>
      <c r="D2635" s="2" t="str">
        <f>CHOOSE(MONTH(branches[[#This Row],[Дата]]),"Январь","Февраль","Март","Апрель","Май","Июнь","Июль","Август","Сентябрь","Октябрь","Ноябрь","Декабрь")&amp;" "&amp;YEAR(branches[[#This Row],[Дата]])</f>
        <v>Сентябрь 2025</v>
      </c>
      <c r="E2635" t="s">
        <v>18</v>
      </c>
      <c r="F2635" t="s">
        <v>12</v>
      </c>
      <c r="G2635">
        <v>1</v>
      </c>
      <c r="H2635">
        <v>146</v>
      </c>
      <c r="I2635" t="s">
        <v>19</v>
      </c>
      <c r="J2635" t="str">
        <f>_xlfn.XLOOKUP(branches[[#This Row],[Филиал]], tbl_Filialy[Филиал], tbl_Filialy[Менеджер])</f>
        <v>Ольга Кузнецова</v>
      </c>
    </row>
    <row r="2636" spans="1:10" x14ac:dyDescent="0.3">
      <c r="A2636" t="str">
        <f>_xlfn.XLOOKUP(branches[[#This Row],[Филиал]], tbl_Filialy[Филиал], tbl_Filialy[Город])</f>
        <v>Новосибирск</v>
      </c>
      <c r="B2636" s="1" t="s">
        <v>37</v>
      </c>
      <c r="C2636" s="2">
        <v>45738</v>
      </c>
      <c r="D2636" s="2" t="str">
        <f>CHOOSE(MONTH(branches[[#This Row],[Дата]]),"Январь","Февраль","Март","Апрель","Май","Июнь","Июль","Август","Сентябрь","Октябрь","Ноябрь","Декабрь")&amp;" "&amp;YEAR(branches[[#This Row],[Дата]])</f>
        <v>Март 2025</v>
      </c>
      <c r="E2636" t="s">
        <v>8</v>
      </c>
      <c r="F2636" t="s">
        <v>9</v>
      </c>
      <c r="G2636">
        <v>2</v>
      </c>
      <c r="H2636">
        <v>522</v>
      </c>
      <c r="I2636" t="s">
        <v>13</v>
      </c>
      <c r="J2636" t="str">
        <f>_xlfn.XLOOKUP(branches[[#This Row],[Филиал]], tbl_Filialy[Филиал], tbl_Filialy[Менеджер])</f>
        <v>Ольга Кузнецова</v>
      </c>
    </row>
    <row r="2637" spans="1:10" x14ac:dyDescent="0.3">
      <c r="A2637" t="str">
        <f>_xlfn.XLOOKUP(branches[[#This Row],[Филиал]], tbl_Filialy[Филиал], tbl_Filialy[Город])</f>
        <v>Новосибирск</v>
      </c>
      <c r="B2637" s="1" t="s">
        <v>37</v>
      </c>
      <c r="C2637" s="2">
        <v>45862</v>
      </c>
      <c r="D2637" s="2" t="str">
        <f>CHOOSE(MONTH(branches[[#This Row],[Дата]]),"Январь","Февраль","Март","Апрель","Май","Июнь","Июль","Август","Сентябрь","Октябрь","Ноябрь","Декабрь")&amp;" "&amp;YEAR(branches[[#This Row],[Дата]])</f>
        <v>Июль 2025</v>
      </c>
      <c r="E2637" t="s">
        <v>26</v>
      </c>
      <c r="F2637" t="s">
        <v>9</v>
      </c>
      <c r="G2637">
        <v>2</v>
      </c>
      <c r="H2637">
        <v>384</v>
      </c>
      <c r="I2637" t="s">
        <v>33</v>
      </c>
      <c r="J2637" t="str">
        <f>_xlfn.XLOOKUP(branches[[#This Row],[Филиал]], tbl_Filialy[Филиал], tbl_Filialy[Менеджер])</f>
        <v>Ольга Кузнецова</v>
      </c>
    </row>
    <row r="2638" spans="1:10" x14ac:dyDescent="0.3">
      <c r="A2638" t="str">
        <f>_xlfn.XLOOKUP(branches[[#This Row],[Филиал]], tbl_Filialy[Филиал], tbl_Filialy[Город])</f>
        <v>Новосибирск</v>
      </c>
      <c r="B2638" s="1" t="s">
        <v>37</v>
      </c>
      <c r="C2638" s="2">
        <v>45744</v>
      </c>
      <c r="D2638" s="2" t="str">
        <f>CHOOSE(MONTH(branches[[#This Row],[Дата]]),"Январь","Февраль","Март","Апрель","Май","Июнь","Июль","Август","Сентябрь","Октябрь","Ноябрь","Декабрь")&amp;" "&amp;YEAR(branches[[#This Row],[Дата]])</f>
        <v>Март 2025</v>
      </c>
      <c r="E2638" t="s">
        <v>14</v>
      </c>
      <c r="F2638" t="s">
        <v>12</v>
      </c>
      <c r="G2638">
        <v>1</v>
      </c>
      <c r="H2638">
        <v>282</v>
      </c>
      <c r="I2638" t="s">
        <v>33</v>
      </c>
      <c r="J2638" t="str">
        <f>_xlfn.XLOOKUP(branches[[#This Row],[Филиал]], tbl_Filialy[Филиал], tbl_Filialy[Менеджер])</f>
        <v>Ольга Кузнецова</v>
      </c>
    </row>
    <row r="2639" spans="1:10" x14ac:dyDescent="0.3">
      <c r="A2639" t="str">
        <f>_xlfn.XLOOKUP(branches[[#This Row],[Филиал]], tbl_Filialy[Филиал], tbl_Filialy[Город])</f>
        <v>Новосибирск</v>
      </c>
      <c r="B2639" s="1" t="s">
        <v>37</v>
      </c>
      <c r="C2639" s="2">
        <v>45902</v>
      </c>
      <c r="D2639" s="2" t="str">
        <f>CHOOSE(MONTH(branches[[#This Row],[Дата]]),"Январь","Февраль","Март","Апрель","Май","Июнь","Июль","Август","Сентябрь","Октябрь","Ноябрь","Декабрь")&amp;" "&amp;YEAR(branches[[#This Row],[Дата]])</f>
        <v>Сентябрь 2025</v>
      </c>
      <c r="E2639" t="s">
        <v>24</v>
      </c>
      <c r="F2639" t="s">
        <v>17</v>
      </c>
      <c r="G2639">
        <v>2</v>
      </c>
      <c r="H2639">
        <v>678</v>
      </c>
      <c r="I2639" t="s">
        <v>34</v>
      </c>
      <c r="J2639" t="str">
        <f>_xlfn.XLOOKUP(branches[[#This Row],[Филиал]], tbl_Filialy[Филиал], tbl_Filialy[Менеджер])</f>
        <v>Ольга Кузнецова</v>
      </c>
    </row>
    <row r="2640" spans="1:10" x14ac:dyDescent="0.3">
      <c r="A2640" t="str">
        <f>_xlfn.XLOOKUP(branches[[#This Row],[Филиал]], tbl_Filialy[Филиал], tbl_Filialy[Город])</f>
        <v>Новосибирск</v>
      </c>
      <c r="B2640" s="1" t="s">
        <v>37</v>
      </c>
      <c r="C2640" s="2">
        <v>45737</v>
      </c>
      <c r="D2640" s="2" t="str">
        <f>CHOOSE(MONTH(branches[[#This Row],[Дата]]),"Январь","Февраль","Март","Апрель","Май","Июнь","Июль","Август","Сентябрь","Октябрь","Ноябрь","Декабрь")&amp;" "&amp;YEAR(branches[[#This Row],[Дата]])</f>
        <v>Март 2025</v>
      </c>
      <c r="E2640" t="s">
        <v>26</v>
      </c>
      <c r="F2640" t="s">
        <v>9</v>
      </c>
      <c r="G2640">
        <v>1</v>
      </c>
      <c r="H2640">
        <v>195</v>
      </c>
      <c r="I2640" t="s">
        <v>32</v>
      </c>
      <c r="J2640" t="str">
        <f>_xlfn.XLOOKUP(branches[[#This Row],[Филиал]], tbl_Filialy[Филиал], tbl_Filialy[Менеджер])</f>
        <v>Ольга Кузнецова</v>
      </c>
    </row>
    <row r="2641" spans="1:10" x14ac:dyDescent="0.3">
      <c r="A2641" t="str">
        <f>_xlfn.XLOOKUP(branches[[#This Row],[Филиал]], tbl_Filialy[Филиал], tbl_Filialy[Город])</f>
        <v>Новосибирск</v>
      </c>
      <c r="B2641" s="1" t="s">
        <v>37</v>
      </c>
      <c r="C2641" s="2">
        <v>45740</v>
      </c>
      <c r="D2641" s="2" t="str">
        <f>CHOOSE(MONTH(branches[[#This Row],[Дата]]),"Январь","Февраль","Март","Апрель","Май","Июнь","Июль","Август","Сентябрь","Октябрь","Ноябрь","Декабрь")&amp;" "&amp;YEAR(branches[[#This Row],[Дата]])</f>
        <v>Март 2025</v>
      </c>
      <c r="E2641" t="s">
        <v>24</v>
      </c>
      <c r="F2641" t="s">
        <v>17</v>
      </c>
      <c r="G2641">
        <v>1</v>
      </c>
      <c r="H2641">
        <v>425</v>
      </c>
      <c r="I2641" t="s">
        <v>13</v>
      </c>
      <c r="J2641" t="str">
        <f>_xlfn.XLOOKUP(branches[[#This Row],[Филиал]], tbl_Filialy[Филиал], tbl_Filialy[Менеджер])</f>
        <v>Ольга Кузнецова</v>
      </c>
    </row>
    <row r="2642" spans="1:10" x14ac:dyDescent="0.3">
      <c r="A2642" t="str">
        <f>_xlfn.XLOOKUP(branches[[#This Row],[Филиал]], tbl_Filialy[Филиал], tbl_Filialy[Город])</f>
        <v>Новосибирск</v>
      </c>
      <c r="B2642" s="1" t="s">
        <v>37</v>
      </c>
      <c r="C2642" s="2">
        <v>45721</v>
      </c>
      <c r="D2642" s="2" t="str">
        <f>CHOOSE(MONTH(branches[[#This Row],[Дата]]),"Январь","Февраль","Март","Апрель","Май","Июнь","Июль","Август","Сентябрь","Октябрь","Ноябрь","Декабрь")&amp;" "&amp;YEAR(branches[[#This Row],[Дата]])</f>
        <v>Март 2025</v>
      </c>
      <c r="E2642" t="s">
        <v>18</v>
      </c>
      <c r="F2642" t="s">
        <v>12</v>
      </c>
      <c r="G2642">
        <v>1</v>
      </c>
      <c r="H2642">
        <v>159</v>
      </c>
      <c r="I2642" t="s">
        <v>13</v>
      </c>
      <c r="J2642" t="str">
        <f>_xlfn.XLOOKUP(branches[[#This Row],[Филиал]], tbl_Filialy[Филиал], tbl_Filialy[Менеджер])</f>
        <v>Ольга Кузнецова</v>
      </c>
    </row>
    <row r="2643" spans="1:10" x14ac:dyDescent="0.3">
      <c r="A2643" t="str">
        <f>_xlfn.XLOOKUP(branches[[#This Row],[Филиал]], tbl_Filialy[Филиал], tbl_Filialy[Город])</f>
        <v>Новосибирск</v>
      </c>
      <c r="B2643" s="1" t="s">
        <v>37</v>
      </c>
      <c r="C2643" s="2">
        <v>45859</v>
      </c>
      <c r="D2643" s="2" t="str">
        <f>CHOOSE(MONTH(branches[[#This Row],[Дата]]),"Январь","Февраль","Март","Апрель","Май","Июнь","Июль","Август","Сентябрь","Октябрь","Ноябрь","Декабрь")&amp;" "&amp;YEAR(branches[[#This Row],[Дата]])</f>
        <v>Июль 2025</v>
      </c>
      <c r="E2643" t="s">
        <v>26</v>
      </c>
      <c r="F2643" t="s">
        <v>9</v>
      </c>
      <c r="G2643">
        <v>1</v>
      </c>
      <c r="H2643">
        <v>207</v>
      </c>
      <c r="I2643" t="s">
        <v>13</v>
      </c>
      <c r="J2643" t="str">
        <f>_xlfn.XLOOKUP(branches[[#This Row],[Филиал]], tbl_Filialy[Филиал], tbl_Filialy[Менеджер])</f>
        <v>Ольга Кузнецова</v>
      </c>
    </row>
    <row r="2644" spans="1:10" x14ac:dyDescent="0.3">
      <c r="A2644" t="str">
        <f>_xlfn.XLOOKUP(branches[[#This Row],[Филиал]], tbl_Filialy[Филиал], tbl_Filialy[Город])</f>
        <v>Новосибирск</v>
      </c>
      <c r="B2644" s="1" t="s">
        <v>37</v>
      </c>
      <c r="C2644" s="2">
        <v>45924</v>
      </c>
      <c r="D2644" s="2" t="str">
        <f>CHOOSE(MONTH(branches[[#This Row],[Дата]]),"Январь","Февраль","Март","Апрель","Май","Июнь","Июль","Август","Сентябрь","Октябрь","Ноябрь","Декабрь")&amp;" "&amp;YEAR(branches[[#This Row],[Дата]])</f>
        <v>Сентябрь 2025</v>
      </c>
      <c r="E2644" t="s">
        <v>27</v>
      </c>
      <c r="F2644" t="s">
        <v>12</v>
      </c>
      <c r="G2644">
        <v>2</v>
      </c>
      <c r="H2644">
        <v>364</v>
      </c>
      <c r="I2644" t="s">
        <v>13</v>
      </c>
      <c r="J2644" t="str">
        <f>_xlfn.XLOOKUP(branches[[#This Row],[Филиал]], tbl_Filialy[Филиал], tbl_Filialy[Менеджер])</f>
        <v>Ольга Кузнецова</v>
      </c>
    </row>
    <row r="2645" spans="1:10" x14ac:dyDescent="0.3">
      <c r="A2645" t="str">
        <f>_xlfn.XLOOKUP(branches[[#This Row],[Филиал]], tbl_Filialy[Филиал], tbl_Filialy[Город])</f>
        <v>Новосибирск</v>
      </c>
      <c r="B2645" s="1" t="s">
        <v>37</v>
      </c>
      <c r="C2645" s="2">
        <v>45689</v>
      </c>
      <c r="D2645" s="2" t="str">
        <f>CHOOSE(MONTH(branches[[#This Row],[Дата]]),"Январь","Февраль","Март","Апрель","Май","Июнь","Июль","Август","Сентябрь","Октябрь","Ноябрь","Декабрь")&amp;" "&amp;YEAR(branches[[#This Row],[Дата]])</f>
        <v>Февраль 2025</v>
      </c>
      <c r="E2645" t="s">
        <v>8</v>
      </c>
      <c r="F2645" t="s">
        <v>9</v>
      </c>
      <c r="G2645">
        <v>1</v>
      </c>
      <c r="H2645">
        <v>244</v>
      </c>
      <c r="I2645" t="s">
        <v>33</v>
      </c>
      <c r="J2645" t="str">
        <f>_xlfn.XLOOKUP(branches[[#This Row],[Филиал]], tbl_Filialy[Филиал], tbl_Filialy[Менеджер])</f>
        <v>Ольга Кузнецова</v>
      </c>
    </row>
    <row r="2646" spans="1:10" x14ac:dyDescent="0.3">
      <c r="A2646" t="str">
        <f>_xlfn.XLOOKUP(branches[[#This Row],[Филиал]], tbl_Filialy[Филиал], tbl_Filialy[Город])</f>
        <v>Новосибирск</v>
      </c>
      <c r="B2646" s="1" t="s">
        <v>37</v>
      </c>
      <c r="C2646" s="2">
        <v>45790</v>
      </c>
      <c r="D2646" s="2" t="str">
        <f>CHOOSE(MONTH(branches[[#This Row],[Дата]]),"Январь","Февраль","Март","Апрель","Май","Июнь","Июль","Август","Сентябрь","Октябрь","Ноябрь","Декабрь")&amp;" "&amp;YEAR(branches[[#This Row],[Дата]])</f>
        <v>Май 2025</v>
      </c>
      <c r="E2646" t="s">
        <v>24</v>
      </c>
      <c r="F2646" t="s">
        <v>17</v>
      </c>
      <c r="G2646">
        <v>3</v>
      </c>
      <c r="H2646">
        <v>1041</v>
      </c>
      <c r="I2646" t="s">
        <v>34</v>
      </c>
      <c r="J2646" t="str">
        <f>_xlfn.XLOOKUP(branches[[#This Row],[Филиал]], tbl_Filialy[Филиал], tbl_Filialy[Менеджер])</f>
        <v>Ольга Кузнецова</v>
      </c>
    </row>
    <row r="2647" spans="1:10" x14ac:dyDescent="0.3">
      <c r="A2647" t="str">
        <f>_xlfn.XLOOKUP(branches[[#This Row],[Филиал]], tbl_Filialy[Филиал], tbl_Filialy[Город])</f>
        <v>Новосибирск</v>
      </c>
      <c r="B2647" s="1" t="s">
        <v>37</v>
      </c>
      <c r="C2647" s="2">
        <v>45870</v>
      </c>
      <c r="D2647" s="2" t="str">
        <f>CHOOSE(MONTH(branches[[#This Row],[Дата]]),"Январь","Февраль","Март","Апрель","Май","Июнь","Июль","Август","Сентябрь","Октябрь","Ноябрь","Декабрь")&amp;" "&amp;YEAR(branches[[#This Row],[Дата]])</f>
        <v>Август 2025</v>
      </c>
      <c r="E2647" t="s">
        <v>22</v>
      </c>
      <c r="F2647" t="s">
        <v>9</v>
      </c>
      <c r="G2647">
        <v>2</v>
      </c>
      <c r="H2647">
        <v>374</v>
      </c>
      <c r="I2647" t="s">
        <v>33</v>
      </c>
      <c r="J2647" t="str">
        <f>_xlfn.XLOOKUP(branches[[#This Row],[Филиал]], tbl_Filialy[Филиал], tbl_Filialy[Менеджер])</f>
        <v>Ольга Кузнецова</v>
      </c>
    </row>
    <row r="2648" spans="1:10" x14ac:dyDescent="0.3">
      <c r="A2648" t="str">
        <f>_xlfn.XLOOKUP(branches[[#This Row],[Филиал]], tbl_Filialy[Филиал], tbl_Filialy[Город])</f>
        <v>Новосибирск</v>
      </c>
      <c r="B2648" s="1" t="s">
        <v>37</v>
      </c>
      <c r="C2648" s="2">
        <v>45769</v>
      </c>
      <c r="D2648" s="2" t="str">
        <f>CHOOSE(MONTH(branches[[#This Row],[Дата]]),"Январь","Февраль","Март","Апрель","Май","Июнь","Июль","Август","Сентябрь","Октябрь","Ноябрь","Декабрь")&amp;" "&amp;YEAR(branches[[#This Row],[Дата]])</f>
        <v>Апрель 2025</v>
      </c>
      <c r="E2648" t="s">
        <v>11</v>
      </c>
      <c r="F2648" t="s">
        <v>12</v>
      </c>
      <c r="G2648">
        <v>2</v>
      </c>
      <c r="H2648">
        <v>290</v>
      </c>
      <c r="I2648" t="s">
        <v>13</v>
      </c>
      <c r="J2648" t="str">
        <f>_xlfn.XLOOKUP(branches[[#This Row],[Филиал]], tbl_Filialy[Филиал], tbl_Filialy[Менеджер])</f>
        <v>Ольга Кузнецова</v>
      </c>
    </row>
    <row r="2649" spans="1:10" x14ac:dyDescent="0.3">
      <c r="A2649" t="str">
        <f>_xlfn.XLOOKUP(branches[[#This Row],[Филиал]], tbl_Filialy[Филиал], tbl_Filialy[Город])</f>
        <v>Новосибирск</v>
      </c>
      <c r="B2649" s="1" t="s">
        <v>37</v>
      </c>
      <c r="C2649" s="2">
        <v>45760</v>
      </c>
      <c r="D2649" s="2" t="str">
        <f>CHOOSE(MONTH(branches[[#This Row],[Дата]]),"Январь","Февраль","Март","Апрель","Май","Июнь","Июль","Август","Сентябрь","Октябрь","Ноябрь","Декабрь")&amp;" "&amp;YEAR(branches[[#This Row],[Дата]])</f>
        <v>Апрель 2025</v>
      </c>
      <c r="E2649" t="s">
        <v>24</v>
      </c>
      <c r="F2649" t="s">
        <v>17</v>
      </c>
      <c r="G2649">
        <v>1</v>
      </c>
      <c r="H2649">
        <v>347</v>
      </c>
      <c r="I2649" t="s">
        <v>13</v>
      </c>
      <c r="J2649" t="str">
        <f>_xlfn.XLOOKUP(branches[[#This Row],[Филиал]], tbl_Filialy[Филиал], tbl_Filialy[Менеджер])</f>
        <v>Ольга Кузнецова</v>
      </c>
    </row>
    <row r="2650" spans="1:10" x14ac:dyDescent="0.3">
      <c r="A2650" t="str">
        <f>_xlfn.XLOOKUP(branches[[#This Row],[Филиал]], tbl_Filialy[Филиал], tbl_Filialy[Город])</f>
        <v>Новосибирск</v>
      </c>
      <c r="B2650" s="1" t="s">
        <v>37</v>
      </c>
      <c r="C2650" s="2">
        <v>45802</v>
      </c>
      <c r="D2650" s="2" t="str">
        <f>CHOOSE(MONTH(branches[[#This Row],[Дата]]),"Январь","Февраль","Март","Апрель","Май","Июнь","Июль","Август","Сентябрь","Октябрь","Ноябрь","Декабрь")&amp;" "&amp;YEAR(branches[[#This Row],[Дата]])</f>
        <v>Май 2025</v>
      </c>
      <c r="E2650" t="s">
        <v>16</v>
      </c>
      <c r="F2650" t="s">
        <v>17</v>
      </c>
      <c r="G2650">
        <v>2</v>
      </c>
      <c r="H2650">
        <v>668</v>
      </c>
      <c r="I2650" t="s">
        <v>19</v>
      </c>
      <c r="J2650" t="str">
        <f>_xlfn.XLOOKUP(branches[[#This Row],[Филиал]], tbl_Filialy[Филиал], tbl_Filialy[Менеджер])</f>
        <v>Ольга Кузнецова</v>
      </c>
    </row>
    <row r="2651" spans="1:10" x14ac:dyDescent="0.3">
      <c r="A2651" t="str">
        <f>_xlfn.XLOOKUP(branches[[#This Row],[Филиал]], tbl_Filialy[Филиал], tbl_Filialy[Город])</f>
        <v>Новосибирск</v>
      </c>
      <c r="B2651" s="1" t="s">
        <v>37</v>
      </c>
      <c r="C2651" s="2">
        <v>45827</v>
      </c>
      <c r="D2651" s="2" t="str">
        <f>CHOOSE(MONTH(branches[[#This Row],[Дата]]),"Январь","Февраль","Март","Апрель","Май","Июнь","Июль","Август","Сентябрь","Октябрь","Ноябрь","Декабрь")&amp;" "&amp;YEAR(branches[[#This Row],[Дата]])</f>
        <v>Июнь 2025</v>
      </c>
      <c r="E2651" t="s">
        <v>16</v>
      </c>
      <c r="F2651" t="s">
        <v>17</v>
      </c>
      <c r="G2651">
        <v>1</v>
      </c>
      <c r="H2651">
        <v>329</v>
      </c>
      <c r="I2651" t="s">
        <v>35</v>
      </c>
      <c r="J2651" t="str">
        <f>_xlfn.XLOOKUP(branches[[#This Row],[Филиал]], tbl_Filialy[Филиал], tbl_Filialy[Менеджер])</f>
        <v>Ольга Кузнецова</v>
      </c>
    </row>
    <row r="2652" spans="1:10" x14ac:dyDescent="0.3">
      <c r="A2652" t="str">
        <f>_xlfn.XLOOKUP(branches[[#This Row],[Филиал]], tbl_Filialy[Филиал], tbl_Filialy[Город])</f>
        <v>Новосибирск</v>
      </c>
      <c r="B2652" s="1" t="s">
        <v>37</v>
      </c>
      <c r="C2652" s="2">
        <v>46007</v>
      </c>
      <c r="D2652" s="2" t="str">
        <f>CHOOSE(MONTH(branches[[#This Row],[Дата]]),"Январь","Февраль","Март","Апрель","Май","Июнь","Июль","Август","Сентябрь","Октябрь","Ноябрь","Декабрь")&amp;" "&amp;YEAR(branches[[#This Row],[Дата]])</f>
        <v>Декабрь 2025</v>
      </c>
      <c r="E2652" t="s">
        <v>18</v>
      </c>
      <c r="F2652" t="s">
        <v>12</v>
      </c>
      <c r="G2652">
        <v>3</v>
      </c>
      <c r="H2652">
        <v>477</v>
      </c>
      <c r="I2652" t="s">
        <v>13</v>
      </c>
      <c r="J2652" t="str">
        <f>_xlfn.XLOOKUP(branches[[#This Row],[Филиал]], tbl_Filialy[Филиал], tbl_Filialy[Менеджер])</f>
        <v>Ольга Кузнецова</v>
      </c>
    </row>
    <row r="2653" spans="1:10" x14ac:dyDescent="0.3">
      <c r="A2653" t="str">
        <f>_xlfn.XLOOKUP(branches[[#This Row],[Филиал]], tbl_Filialy[Филиал], tbl_Filialy[Город])</f>
        <v>Новосибирск</v>
      </c>
      <c r="B2653" s="1" t="s">
        <v>37</v>
      </c>
      <c r="C2653" s="2">
        <v>45787</v>
      </c>
      <c r="D2653" s="2" t="str">
        <f>CHOOSE(MONTH(branches[[#This Row],[Дата]]),"Январь","Февраль","Март","Апрель","Май","Июнь","Июль","Август","Сентябрь","Октябрь","Ноябрь","Декабрь")&amp;" "&amp;YEAR(branches[[#This Row],[Дата]])</f>
        <v>Май 2025</v>
      </c>
      <c r="E2653" t="s">
        <v>25</v>
      </c>
      <c r="F2653" t="s">
        <v>12</v>
      </c>
      <c r="G2653">
        <v>1</v>
      </c>
      <c r="H2653">
        <v>243</v>
      </c>
      <c r="I2653" t="s">
        <v>34</v>
      </c>
      <c r="J2653" t="str">
        <f>_xlfn.XLOOKUP(branches[[#This Row],[Филиал]], tbl_Filialy[Филиал], tbl_Filialy[Менеджер])</f>
        <v>Ольга Кузнецова</v>
      </c>
    </row>
    <row r="2654" spans="1:10" x14ac:dyDescent="0.3">
      <c r="A2654" t="str">
        <f>_xlfn.XLOOKUP(branches[[#This Row],[Филиал]], tbl_Filialy[Филиал], tbl_Filialy[Город])</f>
        <v>Новосибирск</v>
      </c>
      <c r="B2654" s="1" t="s">
        <v>37</v>
      </c>
      <c r="C2654" s="2">
        <v>45789</v>
      </c>
      <c r="D2654" s="2" t="str">
        <f>CHOOSE(MONTH(branches[[#This Row],[Дата]]),"Январь","Февраль","Март","Апрель","Май","Июнь","Июль","Август","Сентябрь","Октябрь","Ноябрь","Декабрь")&amp;" "&amp;YEAR(branches[[#This Row],[Дата]])</f>
        <v>Май 2025</v>
      </c>
      <c r="E2654" t="s">
        <v>25</v>
      </c>
      <c r="F2654" t="s">
        <v>12</v>
      </c>
      <c r="G2654">
        <v>2</v>
      </c>
      <c r="H2654">
        <v>442</v>
      </c>
      <c r="I2654" t="s">
        <v>13</v>
      </c>
      <c r="J2654" t="str">
        <f>_xlfn.XLOOKUP(branches[[#This Row],[Филиал]], tbl_Filialy[Филиал], tbl_Filialy[Менеджер])</f>
        <v>Ольга Кузнецова</v>
      </c>
    </row>
    <row r="2655" spans="1:10" x14ac:dyDescent="0.3">
      <c r="A2655" t="str">
        <f>_xlfn.XLOOKUP(branches[[#This Row],[Филиал]], tbl_Filialy[Филиал], tbl_Filialy[Город])</f>
        <v>Новосибирск</v>
      </c>
      <c r="B2655" s="1" t="s">
        <v>37</v>
      </c>
      <c r="C2655" s="2">
        <v>45916</v>
      </c>
      <c r="D2655" s="2" t="str">
        <f>CHOOSE(MONTH(branches[[#This Row],[Дата]]),"Январь","Февраль","Март","Апрель","Май","Июнь","Июль","Август","Сентябрь","Октябрь","Ноябрь","Декабрь")&amp;" "&amp;YEAR(branches[[#This Row],[Дата]])</f>
        <v>Сентябрь 2025</v>
      </c>
      <c r="E2655" t="s">
        <v>16</v>
      </c>
      <c r="F2655" t="s">
        <v>17</v>
      </c>
      <c r="G2655">
        <v>1</v>
      </c>
      <c r="H2655">
        <v>319</v>
      </c>
      <c r="I2655" t="s">
        <v>33</v>
      </c>
      <c r="J2655" t="str">
        <f>_xlfn.XLOOKUP(branches[[#This Row],[Филиал]], tbl_Filialy[Филиал], tbl_Filialy[Менеджер])</f>
        <v>Ольга Кузнецова</v>
      </c>
    </row>
    <row r="2656" spans="1:10" x14ac:dyDescent="0.3">
      <c r="A2656" t="str">
        <f>_xlfn.XLOOKUP(branches[[#This Row],[Филиал]], tbl_Filialy[Филиал], tbl_Filialy[Город])</f>
        <v>Новосибирск</v>
      </c>
      <c r="B2656" s="1" t="s">
        <v>37</v>
      </c>
      <c r="C2656" s="2">
        <v>45969</v>
      </c>
      <c r="D2656" s="2" t="str">
        <f>CHOOSE(MONTH(branches[[#This Row],[Дата]]),"Январь","Февраль","Март","Апрель","Май","Июнь","Июль","Август","Сентябрь","Октябрь","Ноябрь","Декабрь")&amp;" "&amp;YEAR(branches[[#This Row],[Дата]])</f>
        <v>Ноябрь 2025</v>
      </c>
      <c r="E2656" t="s">
        <v>24</v>
      </c>
      <c r="F2656" t="s">
        <v>17</v>
      </c>
      <c r="G2656">
        <v>1</v>
      </c>
      <c r="H2656">
        <v>359</v>
      </c>
      <c r="I2656" t="s">
        <v>34</v>
      </c>
      <c r="J2656" t="str">
        <f>_xlfn.XLOOKUP(branches[[#This Row],[Филиал]], tbl_Filialy[Филиал], tbl_Filialy[Менеджер])</f>
        <v>Ольга Кузнецова</v>
      </c>
    </row>
    <row r="2657" spans="1:10" x14ac:dyDescent="0.3">
      <c r="A2657" t="str">
        <f>_xlfn.XLOOKUP(branches[[#This Row],[Филиал]], tbl_Filialy[Филиал], tbl_Filialy[Город])</f>
        <v>Новосибирск</v>
      </c>
      <c r="B2657" s="1" t="s">
        <v>37</v>
      </c>
      <c r="C2657" s="2">
        <v>45784</v>
      </c>
      <c r="D2657" s="2" t="str">
        <f>CHOOSE(MONTH(branches[[#This Row],[Дата]]),"Январь","Февраль","Март","Апрель","Май","Июнь","Июль","Август","Сентябрь","Октябрь","Ноябрь","Декабрь")&amp;" "&amp;YEAR(branches[[#This Row],[Дата]])</f>
        <v>Май 2025</v>
      </c>
      <c r="E2657" t="s">
        <v>14</v>
      </c>
      <c r="F2657" t="s">
        <v>12</v>
      </c>
      <c r="G2657">
        <v>1</v>
      </c>
      <c r="H2657">
        <v>256</v>
      </c>
      <c r="I2657" t="s">
        <v>19</v>
      </c>
      <c r="J2657" t="str">
        <f>_xlfn.XLOOKUP(branches[[#This Row],[Филиал]], tbl_Filialy[Филиал], tbl_Filialy[Менеджер])</f>
        <v>Ольга Кузнецова</v>
      </c>
    </row>
    <row r="2658" spans="1:10" x14ac:dyDescent="0.3">
      <c r="A2658" t="str">
        <f>_xlfn.XLOOKUP(branches[[#This Row],[Филиал]], tbl_Filialy[Филиал], tbl_Filialy[Город])</f>
        <v>Новосибирск</v>
      </c>
      <c r="B2658" s="1" t="s">
        <v>37</v>
      </c>
      <c r="C2658" s="2">
        <v>45984</v>
      </c>
      <c r="D2658" s="2" t="str">
        <f>CHOOSE(MONTH(branches[[#This Row],[Дата]]),"Январь","Февраль","Март","Апрель","Май","Июнь","Июль","Август","Сентябрь","Октябрь","Ноябрь","Декабрь")&amp;" "&amp;YEAR(branches[[#This Row],[Дата]])</f>
        <v>Ноябрь 2025</v>
      </c>
      <c r="E2658" t="s">
        <v>25</v>
      </c>
      <c r="F2658" t="s">
        <v>12</v>
      </c>
      <c r="G2658">
        <v>1</v>
      </c>
      <c r="H2658">
        <v>204</v>
      </c>
      <c r="I2658" t="s">
        <v>32</v>
      </c>
      <c r="J2658" t="str">
        <f>_xlfn.XLOOKUP(branches[[#This Row],[Филиал]], tbl_Filialy[Филиал], tbl_Filialy[Менеджер])</f>
        <v>Ольга Кузнецова</v>
      </c>
    </row>
    <row r="2659" spans="1:10" x14ac:dyDescent="0.3">
      <c r="A2659" t="str">
        <f>_xlfn.XLOOKUP(branches[[#This Row],[Филиал]], tbl_Filialy[Филиал], tbl_Filialy[Город])</f>
        <v>Новосибирск</v>
      </c>
      <c r="B2659" s="1" t="s">
        <v>37</v>
      </c>
      <c r="C2659" s="2">
        <v>45785</v>
      </c>
      <c r="D2659" s="2" t="str">
        <f>CHOOSE(MONTH(branches[[#This Row],[Дата]]),"Январь","Февраль","Март","Апрель","Май","Июнь","Июль","Август","Сентябрь","Октябрь","Ноябрь","Декабрь")&amp;" "&amp;YEAR(branches[[#This Row],[Дата]])</f>
        <v>Май 2025</v>
      </c>
      <c r="E2659" t="s">
        <v>16</v>
      </c>
      <c r="F2659" t="s">
        <v>17</v>
      </c>
      <c r="G2659">
        <v>1</v>
      </c>
      <c r="H2659">
        <v>292</v>
      </c>
      <c r="I2659" t="s">
        <v>13</v>
      </c>
      <c r="J2659" t="str">
        <f>_xlfn.XLOOKUP(branches[[#This Row],[Филиал]], tbl_Filialy[Филиал], tbl_Filialy[Менеджер])</f>
        <v>Ольга Кузнецова</v>
      </c>
    </row>
    <row r="2660" spans="1:10" x14ac:dyDescent="0.3">
      <c r="A2660" t="str">
        <f>_xlfn.XLOOKUP(branches[[#This Row],[Филиал]], tbl_Filialy[Филиал], tbl_Filialy[Город])</f>
        <v>Новосибирск</v>
      </c>
      <c r="B2660" s="1" t="s">
        <v>37</v>
      </c>
      <c r="C2660" s="2">
        <v>45804</v>
      </c>
      <c r="D2660" s="2" t="str">
        <f>CHOOSE(MONTH(branches[[#This Row],[Дата]]),"Январь","Февраль","Март","Апрель","Май","Июнь","Июль","Август","Сентябрь","Октябрь","Ноябрь","Декабрь")&amp;" "&amp;YEAR(branches[[#This Row],[Дата]])</f>
        <v>Май 2025</v>
      </c>
      <c r="E2660" t="s">
        <v>24</v>
      </c>
      <c r="F2660" t="s">
        <v>17</v>
      </c>
      <c r="G2660">
        <v>3</v>
      </c>
      <c r="H2660">
        <v>1035</v>
      </c>
      <c r="I2660" t="s">
        <v>33</v>
      </c>
      <c r="J2660" t="str">
        <f>_xlfn.XLOOKUP(branches[[#This Row],[Филиал]], tbl_Filialy[Филиал], tbl_Filialy[Менеджер])</f>
        <v>Ольга Кузнецова</v>
      </c>
    </row>
    <row r="2661" spans="1:10" x14ac:dyDescent="0.3">
      <c r="A2661" t="str">
        <f>_xlfn.XLOOKUP(branches[[#This Row],[Филиал]], tbl_Filialy[Филиал], tbl_Filialy[Город])</f>
        <v>Новосибирск</v>
      </c>
      <c r="B2661" s="1" t="s">
        <v>37</v>
      </c>
      <c r="C2661" s="2">
        <v>46016</v>
      </c>
      <c r="D2661" s="2" t="str">
        <f>CHOOSE(MONTH(branches[[#This Row],[Дата]]),"Январь","Февраль","Март","Апрель","Май","Июнь","Июль","Август","Сентябрь","Октябрь","Ноябрь","Декабрь")&amp;" "&amp;YEAR(branches[[#This Row],[Дата]])</f>
        <v>Декабрь 2025</v>
      </c>
      <c r="E2661" t="s">
        <v>11</v>
      </c>
      <c r="F2661" t="s">
        <v>12</v>
      </c>
      <c r="G2661">
        <v>2</v>
      </c>
      <c r="H2661">
        <v>366</v>
      </c>
      <c r="I2661" t="s">
        <v>19</v>
      </c>
      <c r="J2661" t="str">
        <f>_xlfn.XLOOKUP(branches[[#This Row],[Филиал]], tbl_Filialy[Филиал], tbl_Filialy[Менеджер])</f>
        <v>Ольга Кузнецова</v>
      </c>
    </row>
    <row r="2662" spans="1:10" x14ac:dyDescent="0.3">
      <c r="A2662" t="str">
        <f>_xlfn.XLOOKUP(branches[[#This Row],[Филиал]], tbl_Filialy[Филиал], tbl_Filialy[Город])</f>
        <v>Новосибирск</v>
      </c>
      <c r="B2662" s="1" t="s">
        <v>37</v>
      </c>
      <c r="C2662" s="2">
        <v>45757</v>
      </c>
      <c r="D2662" s="2" t="str">
        <f>CHOOSE(MONTH(branches[[#This Row],[Дата]]),"Январь","Февраль","Март","Апрель","Май","Июнь","Июль","Август","Сентябрь","Октябрь","Ноябрь","Декабрь")&amp;" "&amp;YEAR(branches[[#This Row],[Дата]])</f>
        <v>Апрель 2025</v>
      </c>
      <c r="E2662" t="s">
        <v>11</v>
      </c>
      <c r="F2662" t="s">
        <v>12</v>
      </c>
      <c r="G2662">
        <v>2</v>
      </c>
      <c r="H2662">
        <v>308</v>
      </c>
      <c r="I2662" t="s">
        <v>32</v>
      </c>
      <c r="J2662" t="str">
        <f>_xlfn.XLOOKUP(branches[[#This Row],[Филиал]], tbl_Filialy[Филиал], tbl_Filialy[Менеджер])</f>
        <v>Ольга Кузнецова</v>
      </c>
    </row>
    <row r="2663" spans="1:10" x14ac:dyDescent="0.3">
      <c r="A2663" t="str">
        <f>_xlfn.XLOOKUP(branches[[#This Row],[Филиал]], tbl_Filialy[Филиал], tbl_Filialy[Город])</f>
        <v>Новосибирск</v>
      </c>
      <c r="B2663" s="1" t="s">
        <v>37</v>
      </c>
      <c r="C2663" s="2">
        <v>45881</v>
      </c>
      <c r="D2663" s="2" t="str">
        <f>CHOOSE(MONTH(branches[[#This Row],[Дата]]),"Январь","Февраль","Март","Апрель","Май","Июнь","Июль","Август","Сентябрь","Октябрь","Ноябрь","Декабрь")&amp;" "&amp;YEAR(branches[[#This Row],[Дата]])</f>
        <v>Август 2025</v>
      </c>
      <c r="E2663" t="s">
        <v>20</v>
      </c>
      <c r="F2663" t="s">
        <v>12</v>
      </c>
      <c r="G2663">
        <v>1</v>
      </c>
      <c r="H2663">
        <v>313</v>
      </c>
      <c r="I2663" t="s">
        <v>33</v>
      </c>
      <c r="J2663" t="str">
        <f>_xlfn.XLOOKUP(branches[[#This Row],[Филиал]], tbl_Filialy[Филиал], tbl_Filialy[Менеджер])</f>
        <v>Ольга Кузнецова</v>
      </c>
    </row>
    <row r="2664" spans="1:10" x14ac:dyDescent="0.3">
      <c r="A2664" t="str">
        <f>_xlfn.XLOOKUP(branches[[#This Row],[Филиал]], tbl_Filialy[Филиал], tbl_Filialy[Город])</f>
        <v>Новосибирск</v>
      </c>
      <c r="B2664" s="1" t="s">
        <v>37</v>
      </c>
      <c r="C2664" s="2">
        <v>45932</v>
      </c>
      <c r="D2664" s="2" t="str">
        <f>CHOOSE(MONTH(branches[[#This Row],[Дата]]),"Январь","Февраль","Март","Апрель","Май","Июнь","Июль","Август","Сентябрь","Октябрь","Ноябрь","Декабрь")&amp;" "&amp;YEAR(branches[[#This Row],[Дата]])</f>
        <v>Октябрь 2025</v>
      </c>
      <c r="E2664" t="s">
        <v>8</v>
      </c>
      <c r="F2664" t="s">
        <v>9</v>
      </c>
      <c r="G2664">
        <v>3</v>
      </c>
      <c r="H2664">
        <v>732</v>
      </c>
      <c r="I2664" t="s">
        <v>34</v>
      </c>
      <c r="J2664" t="str">
        <f>_xlfn.XLOOKUP(branches[[#This Row],[Филиал]], tbl_Filialy[Филиал], tbl_Filialy[Менеджер])</f>
        <v>Ольга Кузнецова</v>
      </c>
    </row>
    <row r="2665" spans="1:10" x14ac:dyDescent="0.3">
      <c r="A2665" t="str">
        <f>_xlfn.XLOOKUP(branches[[#This Row],[Филиал]], tbl_Filialy[Филиал], tbl_Filialy[Город])</f>
        <v>Новосибирск</v>
      </c>
      <c r="B2665" s="1" t="s">
        <v>37</v>
      </c>
      <c r="C2665" s="2">
        <v>45698</v>
      </c>
      <c r="D2665" s="2" t="str">
        <f>CHOOSE(MONTH(branches[[#This Row],[Дата]]),"Январь","Февраль","Март","Апрель","Май","Июнь","Июль","Август","Сентябрь","Октябрь","Ноябрь","Декабрь")&amp;" "&amp;YEAR(branches[[#This Row],[Дата]])</f>
        <v>Февраль 2025</v>
      </c>
      <c r="E2665" t="s">
        <v>8</v>
      </c>
      <c r="F2665" t="s">
        <v>9</v>
      </c>
      <c r="G2665">
        <v>3</v>
      </c>
      <c r="H2665">
        <v>663</v>
      </c>
      <c r="I2665" t="s">
        <v>32</v>
      </c>
      <c r="J2665" t="str">
        <f>_xlfn.XLOOKUP(branches[[#This Row],[Филиал]], tbl_Filialy[Филиал], tbl_Filialy[Менеджер])</f>
        <v>Ольга Кузнецова</v>
      </c>
    </row>
    <row r="2666" spans="1:10" x14ac:dyDescent="0.3">
      <c r="A2666" t="str">
        <f>_xlfn.XLOOKUP(branches[[#This Row],[Филиал]], tbl_Filialy[Филиал], tbl_Filialy[Город])</f>
        <v>Новосибирск</v>
      </c>
      <c r="B2666" s="1" t="s">
        <v>37</v>
      </c>
      <c r="C2666" s="2">
        <v>45798</v>
      </c>
      <c r="D2666" s="2" t="str">
        <f>CHOOSE(MONTH(branches[[#This Row],[Дата]]),"Январь","Февраль","Март","Апрель","Май","Июнь","Июль","Август","Сентябрь","Октябрь","Ноябрь","Декабрь")&amp;" "&amp;YEAR(branches[[#This Row],[Дата]])</f>
        <v>Май 2025</v>
      </c>
      <c r="E2666" t="s">
        <v>28</v>
      </c>
      <c r="F2666" t="s">
        <v>12</v>
      </c>
      <c r="G2666">
        <v>1</v>
      </c>
      <c r="H2666">
        <v>259</v>
      </c>
      <c r="I2666" t="s">
        <v>35</v>
      </c>
      <c r="J2666" t="str">
        <f>_xlfn.XLOOKUP(branches[[#This Row],[Филиал]], tbl_Filialy[Филиал], tbl_Filialy[Менеджер])</f>
        <v>Ольга Кузнецова</v>
      </c>
    </row>
    <row r="2667" spans="1:10" x14ac:dyDescent="0.3">
      <c r="A2667" t="str">
        <f>_xlfn.XLOOKUP(branches[[#This Row],[Филиал]], tbl_Filialy[Филиал], tbl_Filialy[Город])</f>
        <v>Новосибирск</v>
      </c>
      <c r="B2667" s="1" t="s">
        <v>37</v>
      </c>
      <c r="C2667" s="2">
        <v>45722</v>
      </c>
      <c r="D2667" s="2" t="str">
        <f>CHOOSE(MONTH(branches[[#This Row],[Дата]]),"Январь","Февраль","Март","Апрель","Май","Июнь","Июль","Август","Сентябрь","Октябрь","Ноябрь","Декабрь")&amp;" "&amp;YEAR(branches[[#This Row],[Дата]])</f>
        <v>Март 2025</v>
      </c>
      <c r="E2667" t="s">
        <v>18</v>
      </c>
      <c r="F2667" t="s">
        <v>12</v>
      </c>
      <c r="G2667">
        <v>2</v>
      </c>
      <c r="H2667">
        <v>286</v>
      </c>
      <c r="I2667" t="s">
        <v>35</v>
      </c>
      <c r="J2667" t="str">
        <f>_xlfn.XLOOKUP(branches[[#This Row],[Филиал]], tbl_Filialy[Филиал], tbl_Filialy[Менеджер])</f>
        <v>Ольга Кузнецова</v>
      </c>
    </row>
    <row r="2668" spans="1:10" x14ac:dyDescent="0.3">
      <c r="A2668" t="str">
        <f>_xlfn.XLOOKUP(branches[[#This Row],[Филиал]], tbl_Filialy[Филиал], tbl_Filialy[Город])</f>
        <v>Новосибирск</v>
      </c>
      <c r="B2668" s="1" t="s">
        <v>37</v>
      </c>
      <c r="C2668" s="2">
        <v>45936</v>
      </c>
      <c r="D2668" s="2" t="str">
        <f>CHOOSE(MONTH(branches[[#This Row],[Дата]]),"Январь","Февраль","Март","Апрель","Май","Июнь","Июль","Август","Сентябрь","Октябрь","Ноябрь","Декабрь")&amp;" "&amp;YEAR(branches[[#This Row],[Дата]])</f>
        <v>Октябрь 2025</v>
      </c>
      <c r="E2668" t="s">
        <v>27</v>
      </c>
      <c r="F2668" t="s">
        <v>12</v>
      </c>
      <c r="G2668">
        <v>1</v>
      </c>
      <c r="H2668">
        <v>216</v>
      </c>
      <c r="I2668" t="s">
        <v>19</v>
      </c>
      <c r="J2668" t="str">
        <f>_xlfn.XLOOKUP(branches[[#This Row],[Филиал]], tbl_Filialy[Филиал], tbl_Filialy[Менеджер])</f>
        <v>Ольга Кузнецова</v>
      </c>
    </row>
    <row r="2669" spans="1:10" x14ac:dyDescent="0.3">
      <c r="A2669" t="str">
        <f>_xlfn.XLOOKUP(branches[[#This Row],[Филиал]], tbl_Filialy[Филиал], tbl_Filialy[Город])</f>
        <v>Новосибирск</v>
      </c>
      <c r="B2669" s="1" t="s">
        <v>37</v>
      </c>
      <c r="C2669" s="2">
        <v>45839</v>
      </c>
      <c r="D2669" s="2" t="str">
        <f>CHOOSE(MONTH(branches[[#This Row],[Дата]]),"Январь","Февраль","Март","Апрель","Май","Июнь","Июль","Август","Сентябрь","Октябрь","Ноябрь","Декабрь")&amp;" "&amp;YEAR(branches[[#This Row],[Дата]])</f>
        <v>Июль 2025</v>
      </c>
      <c r="E2669" t="s">
        <v>22</v>
      </c>
      <c r="F2669" t="s">
        <v>9</v>
      </c>
      <c r="G2669">
        <v>2</v>
      </c>
      <c r="H2669">
        <v>400</v>
      </c>
      <c r="I2669" t="s">
        <v>35</v>
      </c>
      <c r="J2669" t="str">
        <f>_xlfn.XLOOKUP(branches[[#This Row],[Филиал]], tbl_Filialy[Филиал], tbl_Filialy[Менеджер])</f>
        <v>Ольга Кузнецова</v>
      </c>
    </row>
    <row r="2670" spans="1:10" x14ac:dyDescent="0.3">
      <c r="A2670" t="str">
        <f>_xlfn.XLOOKUP(branches[[#This Row],[Филиал]], tbl_Filialy[Филиал], tbl_Filialy[Город])</f>
        <v>Новосибирск</v>
      </c>
      <c r="B2670" s="1" t="s">
        <v>37</v>
      </c>
      <c r="C2670" s="2">
        <v>46006</v>
      </c>
      <c r="D2670" s="2" t="str">
        <f>CHOOSE(MONTH(branches[[#This Row],[Дата]]),"Январь","Февраль","Март","Апрель","Май","Июнь","Июль","Август","Сентябрь","Октябрь","Ноябрь","Декабрь")&amp;" "&amp;YEAR(branches[[#This Row],[Дата]])</f>
        <v>Декабрь 2025</v>
      </c>
      <c r="E2670" t="s">
        <v>8</v>
      </c>
      <c r="F2670" t="s">
        <v>9</v>
      </c>
      <c r="G2670">
        <v>2</v>
      </c>
      <c r="H2670">
        <v>540</v>
      </c>
      <c r="I2670" t="s">
        <v>19</v>
      </c>
      <c r="J2670" t="str">
        <f>_xlfn.XLOOKUP(branches[[#This Row],[Филиал]], tbl_Filialy[Филиал], tbl_Filialy[Менеджер])</f>
        <v>Ольга Кузнецова</v>
      </c>
    </row>
    <row r="2671" spans="1:10" x14ac:dyDescent="0.3">
      <c r="A2671" t="str">
        <f>_xlfn.XLOOKUP(branches[[#This Row],[Филиал]], tbl_Filialy[Филиал], tbl_Filialy[Город])</f>
        <v>Новосибирск</v>
      </c>
      <c r="B2671" s="1" t="s">
        <v>37</v>
      </c>
      <c r="C2671" s="2">
        <v>45917</v>
      </c>
      <c r="D2671" s="2" t="str">
        <f>CHOOSE(MONTH(branches[[#This Row],[Дата]]),"Январь","Февраль","Март","Апрель","Май","Июнь","Июль","Август","Сентябрь","Октябрь","Ноябрь","Декабрь")&amp;" "&amp;YEAR(branches[[#This Row],[Дата]])</f>
        <v>Сентябрь 2025</v>
      </c>
      <c r="E2671" t="s">
        <v>26</v>
      </c>
      <c r="F2671" t="s">
        <v>9</v>
      </c>
      <c r="G2671">
        <v>1</v>
      </c>
      <c r="H2671">
        <v>193</v>
      </c>
      <c r="I2671" t="s">
        <v>13</v>
      </c>
      <c r="J2671" t="str">
        <f>_xlfn.XLOOKUP(branches[[#This Row],[Филиал]], tbl_Filialy[Филиал], tbl_Filialy[Менеджер])</f>
        <v>Ольга Кузнецова</v>
      </c>
    </row>
    <row r="2672" spans="1:10" x14ac:dyDescent="0.3">
      <c r="A2672" t="str">
        <f>_xlfn.XLOOKUP(branches[[#This Row],[Филиал]], tbl_Filialy[Филиал], tbl_Filialy[Город])</f>
        <v>Новосибирск</v>
      </c>
      <c r="B2672" s="1" t="s">
        <v>37</v>
      </c>
      <c r="C2672" s="2">
        <v>45802</v>
      </c>
      <c r="D2672" s="2" t="str">
        <f>CHOOSE(MONTH(branches[[#This Row],[Дата]]),"Январь","Февраль","Март","Апрель","Май","Июнь","Июль","Август","Сентябрь","Октябрь","Ноябрь","Декабрь")&amp;" "&amp;YEAR(branches[[#This Row],[Дата]])</f>
        <v>Май 2025</v>
      </c>
      <c r="E2672" t="s">
        <v>26</v>
      </c>
      <c r="F2672" t="s">
        <v>9</v>
      </c>
      <c r="G2672">
        <v>2</v>
      </c>
      <c r="H2672">
        <v>396</v>
      </c>
      <c r="I2672" t="s">
        <v>33</v>
      </c>
      <c r="J2672" t="str">
        <f>_xlfn.XLOOKUP(branches[[#This Row],[Филиал]], tbl_Filialy[Филиал], tbl_Filialy[Менеджер])</f>
        <v>Ольга Кузнецова</v>
      </c>
    </row>
    <row r="2673" spans="1:10" x14ac:dyDescent="0.3">
      <c r="A2673" t="str">
        <f>_xlfn.XLOOKUP(branches[[#This Row],[Филиал]], tbl_Filialy[Филиал], tbl_Filialy[Город])</f>
        <v>Новосибирск</v>
      </c>
      <c r="B2673" s="1" t="s">
        <v>37</v>
      </c>
      <c r="C2673" s="2">
        <v>45821</v>
      </c>
      <c r="D2673" s="2" t="str">
        <f>CHOOSE(MONTH(branches[[#This Row],[Дата]]),"Январь","Февраль","Март","Апрель","Май","Июнь","Июль","Август","Сентябрь","Октябрь","Ноябрь","Декабрь")&amp;" "&amp;YEAR(branches[[#This Row],[Дата]])</f>
        <v>Июнь 2025</v>
      </c>
      <c r="E2673" t="s">
        <v>22</v>
      </c>
      <c r="F2673" t="s">
        <v>9</v>
      </c>
      <c r="G2673">
        <v>1</v>
      </c>
      <c r="H2673">
        <v>171</v>
      </c>
      <c r="I2673" t="s">
        <v>32</v>
      </c>
      <c r="J2673" t="str">
        <f>_xlfn.XLOOKUP(branches[[#This Row],[Филиал]], tbl_Filialy[Филиал], tbl_Filialy[Менеджер])</f>
        <v>Ольга Кузнецова</v>
      </c>
    </row>
    <row r="2674" spans="1:10" x14ac:dyDescent="0.3">
      <c r="A2674" t="str">
        <f>_xlfn.XLOOKUP(branches[[#This Row],[Филиал]], tbl_Filialy[Филиал], tbl_Filialy[Город])</f>
        <v>Новосибирск</v>
      </c>
      <c r="B2674" s="1" t="s">
        <v>37</v>
      </c>
      <c r="C2674" s="2">
        <v>45662</v>
      </c>
      <c r="D2674" s="2" t="str">
        <f>CHOOSE(MONTH(branches[[#This Row],[Дата]]),"Январь","Февраль","Март","Апрель","Май","Июнь","Июль","Август","Сентябрь","Октябрь","Ноябрь","Декабрь")&amp;" "&amp;YEAR(branches[[#This Row],[Дата]])</f>
        <v>Январь 2025</v>
      </c>
      <c r="E2674" t="s">
        <v>14</v>
      </c>
      <c r="F2674" t="s">
        <v>12</v>
      </c>
      <c r="G2674">
        <v>1</v>
      </c>
      <c r="H2674">
        <v>285</v>
      </c>
      <c r="I2674" t="s">
        <v>32</v>
      </c>
      <c r="J2674" t="str">
        <f>_xlfn.XLOOKUP(branches[[#This Row],[Филиал]], tbl_Filialy[Филиал], tbl_Filialy[Менеджер])</f>
        <v>Ольга Кузнецова</v>
      </c>
    </row>
    <row r="2675" spans="1:10" x14ac:dyDescent="0.3">
      <c r="A2675" t="str">
        <f>_xlfn.XLOOKUP(branches[[#This Row],[Филиал]], tbl_Filialy[Филиал], tbl_Filialy[Город])</f>
        <v>Новосибирск</v>
      </c>
      <c r="B2675" s="1" t="s">
        <v>37</v>
      </c>
      <c r="C2675" s="2">
        <v>46013</v>
      </c>
      <c r="D2675" s="2" t="str">
        <f>CHOOSE(MONTH(branches[[#This Row],[Дата]]),"Январь","Февраль","Март","Апрель","Май","Июнь","Июль","Август","Сентябрь","Октябрь","Ноябрь","Декабрь")&amp;" "&amp;YEAR(branches[[#This Row],[Дата]])</f>
        <v>Декабрь 2025</v>
      </c>
      <c r="E2675" t="s">
        <v>14</v>
      </c>
      <c r="F2675" t="s">
        <v>12</v>
      </c>
      <c r="G2675">
        <v>1</v>
      </c>
      <c r="H2675">
        <v>252</v>
      </c>
      <c r="I2675" t="s">
        <v>13</v>
      </c>
      <c r="J2675" t="str">
        <f>_xlfn.XLOOKUP(branches[[#This Row],[Филиал]], tbl_Filialy[Филиал], tbl_Filialy[Менеджер])</f>
        <v>Ольга Кузнецова</v>
      </c>
    </row>
    <row r="2676" spans="1:10" x14ac:dyDescent="0.3">
      <c r="A2676" t="str">
        <f>_xlfn.XLOOKUP(branches[[#This Row],[Филиал]], tbl_Filialy[Филиал], tbl_Filialy[Город])</f>
        <v>Новосибирск</v>
      </c>
      <c r="B2676" s="1" t="s">
        <v>37</v>
      </c>
      <c r="C2676" s="2">
        <v>45749</v>
      </c>
      <c r="D2676" s="2" t="str">
        <f>CHOOSE(MONTH(branches[[#This Row],[Дата]]),"Январь","Февраль","Март","Апрель","Май","Июнь","Июль","Август","Сентябрь","Октябрь","Ноябрь","Декабрь")&amp;" "&amp;YEAR(branches[[#This Row],[Дата]])</f>
        <v>Апрель 2025</v>
      </c>
      <c r="E2676" t="s">
        <v>25</v>
      </c>
      <c r="F2676" t="s">
        <v>12</v>
      </c>
      <c r="G2676">
        <v>3</v>
      </c>
      <c r="H2676">
        <v>696</v>
      </c>
      <c r="I2676" t="s">
        <v>32</v>
      </c>
      <c r="J2676" t="str">
        <f>_xlfn.XLOOKUP(branches[[#This Row],[Филиал]], tbl_Filialy[Филиал], tbl_Filialy[Менеджер])</f>
        <v>Ольга Кузнецова</v>
      </c>
    </row>
    <row r="2677" spans="1:10" x14ac:dyDescent="0.3">
      <c r="A2677" t="str">
        <f>_xlfn.XLOOKUP(branches[[#This Row],[Филиал]], tbl_Filialy[Филиал], tbl_Filialy[Город])</f>
        <v>Новосибирск</v>
      </c>
      <c r="B2677" s="1" t="s">
        <v>37</v>
      </c>
      <c r="C2677" s="2">
        <v>45938</v>
      </c>
      <c r="D2677" s="2" t="str">
        <f>CHOOSE(MONTH(branches[[#This Row],[Дата]]),"Январь","Февраль","Март","Апрель","Май","Июнь","Июль","Август","Сентябрь","Октябрь","Ноябрь","Декабрь")&amp;" "&amp;YEAR(branches[[#This Row],[Дата]])</f>
        <v>Октябрь 2025</v>
      </c>
      <c r="E2677" t="s">
        <v>18</v>
      </c>
      <c r="F2677" t="s">
        <v>12</v>
      </c>
      <c r="G2677">
        <v>1</v>
      </c>
      <c r="H2677">
        <v>124</v>
      </c>
      <c r="I2677" t="s">
        <v>32</v>
      </c>
      <c r="J2677" t="str">
        <f>_xlfn.XLOOKUP(branches[[#This Row],[Филиал]], tbl_Filialy[Филиал], tbl_Filialy[Менеджер])</f>
        <v>Ольга Кузнецова</v>
      </c>
    </row>
    <row r="2678" spans="1:10" x14ac:dyDescent="0.3">
      <c r="A2678" t="str">
        <f>_xlfn.XLOOKUP(branches[[#This Row],[Филиал]], tbl_Filialy[Филиал], tbl_Filialy[Город])</f>
        <v>Новосибирск</v>
      </c>
      <c r="B2678" s="1" t="s">
        <v>37</v>
      </c>
      <c r="C2678" s="2">
        <v>45799</v>
      </c>
      <c r="D2678" s="2" t="str">
        <f>CHOOSE(MONTH(branches[[#This Row],[Дата]]),"Январь","Февраль","Март","Апрель","Май","Июнь","Июль","Август","Сентябрь","Октябрь","Ноябрь","Декабрь")&amp;" "&amp;YEAR(branches[[#This Row],[Дата]])</f>
        <v>Май 2025</v>
      </c>
      <c r="E2678" t="s">
        <v>18</v>
      </c>
      <c r="F2678" t="s">
        <v>12</v>
      </c>
      <c r="G2678">
        <v>2</v>
      </c>
      <c r="H2678">
        <v>260</v>
      </c>
      <c r="I2678" t="s">
        <v>33</v>
      </c>
      <c r="J2678" t="str">
        <f>_xlfn.XLOOKUP(branches[[#This Row],[Филиал]], tbl_Filialy[Филиал], tbl_Filialy[Менеджер])</f>
        <v>Ольга Кузнецова</v>
      </c>
    </row>
    <row r="2679" spans="1:10" x14ac:dyDescent="0.3">
      <c r="A2679" t="str">
        <f>_xlfn.XLOOKUP(branches[[#This Row],[Филиал]], tbl_Filialy[Филиал], tbl_Filialy[Город])</f>
        <v>Новосибирск</v>
      </c>
      <c r="B2679" s="1" t="s">
        <v>37</v>
      </c>
      <c r="C2679" s="2">
        <v>45681</v>
      </c>
      <c r="D2679" s="2" t="str">
        <f>CHOOSE(MONTH(branches[[#This Row],[Дата]]),"Январь","Февраль","Март","Апрель","Май","Июнь","Июль","Август","Сентябрь","Октябрь","Ноябрь","Декабрь")&amp;" "&amp;YEAR(branches[[#This Row],[Дата]])</f>
        <v>Январь 2025</v>
      </c>
      <c r="E2679" t="s">
        <v>27</v>
      </c>
      <c r="F2679" t="s">
        <v>12</v>
      </c>
      <c r="G2679">
        <v>3</v>
      </c>
      <c r="H2679">
        <v>708</v>
      </c>
      <c r="I2679" t="s">
        <v>13</v>
      </c>
      <c r="J2679" t="str">
        <f>_xlfn.XLOOKUP(branches[[#This Row],[Филиал]], tbl_Filialy[Филиал], tbl_Filialy[Менеджер])</f>
        <v>Ольга Кузнецова</v>
      </c>
    </row>
    <row r="2680" spans="1:10" x14ac:dyDescent="0.3">
      <c r="A2680" t="str">
        <f>_xlfn.XLOOKUP(branches[[#This Row],[Филиал]], tbl_Filialy[Филиал], tbl_Filialy[Город])</f>
        <v>Новосибирск</v>
      </c>
      <c r="B2680" s="1" t="s">
        <v>37</v>
      </c>
      <c r="C2680" s="2">
        <v>45908</v>
      </c>
      <c r="D2680" s="2" t="str">
        <f>CHOOSE(MONTH(branches[[#This Row],[Дата]]),"Январь","Февраль","Март","Апрель","Май","Июнь","Июль","Август","Сентябрь","Октябрь","Ноябрь","Декабрь")&amp;" "&amp;YEAR(branches[[#This Row],[Дата]])</f>
        <v>Сентябрь 2025</v>
      </c>
      <c r="E2680" t="s">
        <v>26</v>
      </c>
      <c r="F2680" t="s">
        <v>9</v>
      </c>
      <c r="G2680">
        <v>1</v>
      </c>
      <c r="H2680">
        <v>193</v>
      </c>
      <c r="I2680" t="s">
        <v>34</v>
      </c>
      <c r="J2680" t="str">
        <f>_xlfn.XLOOKUP(branches[[#This Row],[Филиал]], tbl_Filialy[Филиал], tbl_Filialy[Менеджер])</f>
        <v>Ольга Кузнецова</v>
      </c>
    </row>
    <row r="2681" spans="1:10" x14ac:dyDescent="0.3">
      <c r="A2681" t="str">
        <f>_xlfn.XLOOKUP(branches[[#This Row],[Филиал]], tbl_Filialy[Филиал], tbl_Filialy[Город])</f>
        <v>Новосибирск</v>
      </c>
      <c r="B2681" s="1" t="s">
        <v>37</v>
      </c>
      <c r="C2681" s="2">
        <v>45802</v>
      </c>
      <c r="D2681" s="2" t="str">
        <f>CHOOSE(MONTH(branches[[#This Row],[Дата]]),"Январь","Февраль","Март","Апрель","Май","Июнь","Июль","Август","Сентябрь","Октябрь","Ноябрь","Декабрь")&amp;" "&amp;YEAR(branches[[#This Row],[Дата]])</f>
        <v>Май 2025</v>
      </c>
      <c r="E2681" t="s">
        <v>22</v>
      </c>
      <c r="F2681" t="s">
        <v>9</v>
      </c>
      <c r="G2681">
        <v>2</v>
      </c>
      <c r="H2681">
        <v>366</v>
      </c>
      <c r="I2681" t="s">
        <v>33</v>
      </c>
      <c r="J2681" t="str">
        <f>_xlfn.XLOOKUP(branches[[#This Row],[Филиал]], tbl_Filialy[Филиал], tbl_Filialy[Менеджер])</f>
        <v>Ольга Кузнецова</v>
      </c>
    </row>
    <row r="2682" spans="1:10" x14ac:dyDescent="0.3">
      <c r="A2682" t="str">
        <f>_xlfn.XLOOKUP(branches[[#This Row],[Филиал]], tbl_Filialy[Филиал], tbl_Filialy[Город])</f>
        <v>Новосибирск</v>
      </c>
      <c r="B2682" s="1" t="s">
        <v>37</v>
      </c>
      <c r="C2682" s="2">
        <v>45689</v>
      </c>
      <c r="D2682" s="2" t="str">
        <f>CHOOSE(MONTH(branches[[#This Row],[Дата]]),"Январь","Февраль","Март","Апрель","Май","Июнь","Июль","Август","Сентябрь","Октябрь","Ноябрь","Декабрь")&amp;" "&amp;YEAR(branches[[#This Row],[Дата]])</f>
        <v>Февраль 2025</v>
      </c>
      <c r="E2682" t="s">
        <v>25</v>
      </c>
      <c r="F2682" t="s">
        <v>12</v>
      </c>
      <c r="G2682">
        <v>1</v>
      </c>
      <c r="H2682">
        <v>243</v>
      </c>
      <c r="I2682" t="s">
        <v>13</v>
      </c>
      <c r="J2682" t="str">
        <f>_xlfn.XLOOKUP(branches[[#This Row],[Филиал]], tbl_Filialy[Филиал], tbl_Filialy[Менеджер])</f>
        <v>Ольга Кузнецова</v>
      </c>
    </row>
    <row r="2683" spans="1:10" x14ac:dyDescent="0.3">
      <c r="A2683" t="str">
        <f>_xlfn.XLOOKUP(branches[[#This Row],[Филиал]], tbl_Filialy[Филиал], tbl_Filialy[Город])</f>
        <v>Новосибирск</v>
      </c>
      <c r="B2683" s="1" t="s">
        <v>37</v>
      </c>
      <c r="C2683" s="2">
        <v>45984</v>
      </c>
      <c r="D2683" s="2" t="str">
        <f>CHOOSE(MONTH(branches[[#This Row],[Дата]]),"Январь","Февраль","Март","Апрель","Май","Июнь","Июль","Август","Сентябрь","Октябрь","Ноябрь","Декабрь")&amp;" "&amp;YEAR(branches[[#This Row],[Дата]])</f>
        <v>Ноябрь 2025</v>
      </c>
      <c r="E2683" t="s">
        <v>18</v>
      </c>
      <c r="F2683" t="s">
        <v>12</v>
      </c>
      <c r="G2683">
        <v>1</v>
      </c>
      <c r="H2683">
        <v>125</v>
      </c>
      <c r="I2683" t="s">
        <v>29</v>
      </c>
      <c r="J2683" t="str">
        <f>_xlfn.XLOOKUP(branches[[#This Row],[Филиал]], tbl_Filialy[Филиал], tbl_Filialy[Менеджер])</f>
        <v>Ольга Кузнецова</v>
      </c>
    </row>
    <row r="2684" spans="1:10" x14ac:dyDescent="0.3">
      <c r="A2684" t="str">
        <f>_xlfn.XLOOKUP(branches[[#This Row],[Филиал]], tbl_Filialy[Филиал], tbl_Filialy[Город])</f>
        <v>Новосибирск</v>
      </c>
      <c r="B2684" s="1" t="s">
        <v>37</v>
      </c>
      <c r="C2684" s="2">
        <v>45718</v>
      </c>
      <c r="D2684" s="2" t="str">
        <f>CHOOSE(MONTH(branches[[#This Row],[Дата]]),"Январь","Февраль","Март","Апрель","Май","Июнь","Июль","Август","Сентябрь","Октябрь","Ноябрь","Декабрь")&amp;" "&amp;YEAR(branches[[#This Row],[Дата]])</f>
        <v>Март 2025</v>
      </c>
      <c r="E2684" t="s">
        <v>25</v>
      </c>
      <c r="F2684" t="s">
        <v>12</v>
      </c>
      <c r="G2684">
        <v>3</v>
      </c>
      <c r="H2684">
        <v>711</v>
      </c>
      <c r="I2684" t="s">
        <v>19</v>
      </c>
      <c r="J2684" t="str">
        <f>_xlfn.XLOOKUP(branches[[#This Row],[Филиал]], tbl_Filialy[Филиал], tbl_Filialy[Менеджер])</f>
        <v>Ольга Кузнецова</v>
      </c>
    </row>
    <row r="2685" spans="1:10" x14ac:dyDescent="0.3">
      <c r="A2685" t="str">
        <f>_xlfn.XLOOKUP(branches[[#This Row],[Филиал]], tbl_Filialy[Филиал], tbl_Filialy[Город])</f>
        <v>Новосибирск</v>
      </c>
      <c r="B2685" s="1" t="s">
        <v>37</v>
      </c>
      <c r="C2685" s="2">
        <v>45801</v>
      </c>
      <c r="D2685" s="2" t="str">
        <f>CHOOSE(MONTH(branches[[#This Row],[Дата]]),"Январь","Февраль","Март","Апрель","Май","Июнь","Июль","Август","Сентябрь","Октябрь","Ноябрь","Декабрь")&amp;" "&amp;YEAR(branches[[#This Row],[Дата]])</f>
        <v>Май 2025</v>
      </c>
      <c r="E2685" t="s">
        <v>26</v>
      </c>
      <c r="F2685" t="s">
        <v>9</v>
      </c>
      <c r="G2685">
        <v>1</v>
      </c>
      <c r="H2685">
        <v>207</v>
      </c>
      <c r="I2685" t="s">
        <v>19</v>
      </c>
      <c r="J2685" t="str">
        <f>_xlfn.XLOOKUP(branches[[#This Row],[Филиал]], tbl_Filialy[Филиал], tbl_Filialy[Менеджер])</f>
        <v>Ольга Кузнецова</v>
      </c>
    </row>
    <row r="2686" spans="1:10" x14ac:dyDescent="0.3">
      <c r="A2686" t="str">
        <f>_xlfn.XLOOKUP(branches[[#This Row],[Филиал]], tbl_Filialy[Филиал], tbl_Filialy[Город])</f>
        <v>Новосибирск</v>
      </c>
      <c r="B2686" s="1" t="s">
        <v>37</v>
      </c>
      <c r="C2686" s="2">
        <v>45705</v>
      </c>
      <c r="D2686" s="2" t="str">
        <f>CHOOSE(MONTH(branches[[#This Row],[Дата]]),"Январь","Февраль","Март","Апрель","Май","Июнь","Июль","Август","Сентябрь","Октябрь","Ноябрь","Декабрь")&amp;" "&amp;YEAR(branches[[#This Row],[Дата]])</f>
        <v>Февраль 2025</v>
      </c>
      <c r="E2686" t="s">
        <v>18</v>
      </c>
      <c r="F2686" t="s">
        <v>12</v>
      </c>
      <c r="G2686">
        <v>2</v>
      </c>
      <c r="H2686">
        <v>286</v>
      </c>
      <c r="I2686" t="s">
        <v>34</v>
      </c>
      <c r="J2686" t="str">
        <f>_xlfn.XLOOKUP(branches[[#This Row],[Филиал]], tbl_Filialy[Филиал], tbl_Filialy[Менеджер])</f>
        <v>Ольга Кузнецова</v>
      </c>
    </row>
    <row r="2687" spans="1:10" x14ac:dyDescent="0.3">
      <c r="A2687" t="str">
        <f>_xlfn.XLOOKUP(branches[[#This Row],[Филиал]], tbl_Filialy[Филиал], tbl_Filialy[Город])</f>
        <v>Новосибирск</v>
      </c>
      <c r="B2687" s="1" t="s">
        <v>37</v>
      </c>
      <c r="C2687" s="2">
        <v>45915</v>
      </c>
      <c r="D2687" s="2" t="str">
        <f>CHOOSE(MONTH(branches[[#This Row],[Дата]]),"Январь","Февраль","Март","Апрель","Май","Июнь","Июль","Август","Сентябрь","Октябрь","Ноябрь","Декабрь")&amp;" "&amp;YEAR(branches[[#This Row],[Дата]])</f>
        <v>Сентябрь 2025</v>
      </c>
      <c r="E2687" t="s">
        <v>22</v>
      </c>
      <c r="F2687" t="s">
        <v>9</v>
      </c>
      <c r="G2687">
        <v>2</v>
      </c>
      <c r="H2687">
        <v>388</v>
      </c>
      <c r="I2687" t="s">
        <v>13</v>
      </c>
      <c r="J2687" t="str">
        <f>_xlfn.XLOOKUP(branches[[#This Row],[Филиал]], tbl_Filialy[Филиал], tbl_Filialy[Менеджер])</f>
        <v>Ольга Кузнецова</v>
      </c>
    </row>
    <row r="2688" spans="1:10" x14ac:dyDescent="0.3">
      <c r="A2688" t="str">
        <f>_xlfn.XLOOKUP(branches[[#This Row],[Филиал]], tbl_Filialy[Филиал], tbl_Filialy[Город])</f>
        <v>Новосибирск</v>
      </c>
      <c r="B2688" s="1" t="s">
        <v>37</v>
      </c>
      <c r="C2688" s="2">
        <v>45892</v>
      </c>
      <c r="D2688" s="2" t="str">
        <f>CHOOSE(MONTH(branches[[#This Row],[Дата]]),"Январь","Февраль","Март","Апрель","Май","Июнь","Июль","Август","Сентябрь","Октябрь","Ноябрь","Декабрь")&amp;" "&amp;YEAR(branches[[#This Row],[Дата]])</f>
        <v>Август 2025</v>
      </c>
      <c r="E2688" t="s">
        <v>11</v>
      </c>
      <c r="F2688" t="s">
        <v>12</v>
      </c>
      <c r="G2688">
        <v>1</v>
      </c>
      <c r="H2688">
        <v>195</v>
      </c>
      <c r="I2688" t="s">
        <v>35</v>
      </c>
      <c r="J2688" t="str">
        <f>_xlfn.XLOOKUP(branches[[#This Row],[Филиал]], tbl_Filialy[Филиал], tbl_Filialy[Менеджер])</f>
        <v>Ольга Кузнецова</v>
      </c>
    </row>
    <row r="2689" spans="1:10" x14ac:dyDescent="0.3">
      <c r="A2689" t="str">
        <f>_xlfn.XLOOKUP(branches[[#This Row],[Филиал]], tbl_Filialy[Филиал], tbl_Filialy[Город])</f>
        <v>Новосибирск</v>
      </c>
      <c r="B2689" s="1" t="s">
        <v>37</v>
      </c>
      <c r="C2689" s="2">
        <v>46019</v>
      </c>
      <c r="D2689" s="2" t="str">
        <f>CHOOSE(MONTH(branches[[#This Row],[Дата]]),"Январь","Февраль","Март","Апрель","Май","Июнь","Июль","Август","Сентябрь","Октябрь","Ноябрь","Декабрь")&amp;" "&amp;YEAR(branches[[#This Row],[Дата]])</f>
        <v>Декабрь 2025</v>
      </c>
      <c r="E2689" t="s">
        <v>8</v>
      </c>
      <c r="F2689" t="s">
        <v>9</v>
      </c>
      <c r="G2689">
        <v>1</v>
      </c>
      <c r="H2689">
        <v>238</v>
      </c>
      <c r="I2689" t="s">
        <v>34</v>
      </c>
      <c r="J2689" t="str">
        <f>_xlfn.XLOOKUP(branches[[#This Row],[Филиал]], tbl_Filialy[Филиал], tbl_Filialy[Менеджер])</f>
        <v>Ольга Кузнецова</v>
      </c>
    </row>
    <row r="2690" spans="1:10" x14ac:dyDescent="0.3">
      <c r="A2690" t="str">
        <f>_xlfn.XLOOKUP(branches[[#This Row],[Филиал]], tbl_Filialy[Филиал], tbl_Filialy[Город])</f>
        <v>Новосибирск</v>
      </c>
      <c r="B2690" s="1" t="s">
        <v>37</v>
      </c>
      <c r="C2690" s="2">
        <v>45695</v>
      </c>
      <c r="D2690" s="2" t="str">
        <f>CHOOSE(MONTH(branches[[#This Row],[Дата]]),"Январь","Февраль","Март","Апрель","Май","Июнь","Июль","Август","Сентябрь","Октябрь","Ноябрь","Декабрь")&amp;" "&amp;YEAR(branches[[#This Row],[Дата]])</f>
        <v>Февраль 2025</v>
      </c>
      <c r="E2690" t="s">
        <v>28</v>
      </c>
      <c r="F2690" t="s">
        <v>12</v>
      </c>
      <c r="G2690">
        <v>2</v>
      </c>
      <c r="H2690">
        <v>420</v>
      </c>
      <c r="I2690" t="s">
        <v>33</v>
      </c>
      <c r="J2690" t="str">
        <f>_xlfn.XLOOKUP(branches[[#This Row],[Филиал]], tbl_Filialy[Филиал], tbl_Filialy[Менеджер])</f>
        <v>Ольга Кузнецова</v>
      </c>
    </row>
    <row r="2691" spans="1:10" x14ac:dyDescent="0.3">
      <c r="A2691" t="str">
        <f>_xlfn.XLOOKUP(branches[[#This Row],[Филиал]], tbl_Filialy[Филиал], tbl_Filialy[Город])</f>
        <v>Новосибирск</v>
      </c>
      <c r="B2691" s="1" t="s">
        <v>37</v>
      </c>
      <c r="C2691" s="2">
        <v>45758</v>
      </c>
      <c r="D2691" s="2" t="str">
        <f>CHOOSE(MONTH(branches[[#This Row],[Дата]]),"Январь","Февраль","Март","Апрель","Май","Июнь","Июль","Август","Сентябрь","Октябрь","Ноябрь","Декабрь")&amp;" "&amp;YEAR(branches[[#This Row],[Дата]])</f>
        <v>Апрель 2025</v>
      </c>
      <c r="E2691" t="s">
        <v>25</v>
      </c>
      <c r="F2691" t="s">
        <v>12</v>
      </c>
      <c r="G2691">
        <v>1</v>
      </c>
      <c r="H2691">
        <v>205</v>
      </c>
      <c r="I2691" t="s">
        <v>13</v>
      </c>
      <c r="J2691" t="str">
        <f>_xlfn.XLOOKUP(branches[[#This Row],[Филиал]], tbl_Filialy[Филиал], tbl_Filialy[Менеджер])</f>
        <v>Ольга Кузнецова</v>
      </c>
    </row>
    <row r="2692" spans="1:10" x14ac:dyDescent="0.3">
      <c r="A2692" t="str">
        <f>_xlfn.XLOOKUP(branches[[#This Row],[Филиал]], tbl_Filialy[Филиал], tbl_Filialy[Город])</f>
        <v>Новосибирск</v>
      </c>
      <c r="B2692" s="1" t="s">
        <v>37</v>
      </c>
      <c r="C2692" s="2">
        <v>45981</v>
      </c>
      <c r="D2692" s="2" t="str">
        <f>CHOOSE(MONTH(branches[[#This Row],[Дата]]),"Январь","Февраль","Март","Апрель","Май","Июнь","Июль","Август","Сентябрь","Октябрь","Ноябрь","Декабрь")&amp;" "&amp;YEAR(branches[[#This Row],[Дата]])</f>
        <v>Ноябрь 2025</v>
      </c>
      <c r="E2692" t="s">
        <v>8</v>
      </c>
      <c r="F2692" t="s">
        <v>9</v>
      </c>
      <c r="G2692">
        <v>1</v>
      </c>
      <c r="H2692">
        <v>245</v>
      </c>
      <c r="I2692" t="s">
        <v>35</v>
      </c>
      <c r="J2692" t="str">
        <f>_xlfn.XLOOKUP(branches[[#This Row],[Филиал]], tbl_Filialy[Филиал], tbl_Filialy[Менеджер])</f>
        <v>Ольга Кузнецова</v>
      </c>
    </row>
    <row r="2693" spans="1:10" x14ac:dyDescent="0.3">
      <c r="A2693" t="str">
        <f>_xlfn.XLOOKUP(branches[[#This Row],[Филиал]], tbl_Filialy[Филиал], tbl_Filialy[Город])</f>
        <v>Новосибирск</v>
      </c>
      <c r="B2693" s="1" t="s">
        <v>37</v>
      </c>
      <c r="C2693" s="2">
        <v>45841</v>
      </c>
      <c r="D2693" s="2" t="str">
        <f>CHOOSE(MONTH(branches[[#This Row],[Дата]]),"Январь","Февраль","Март","Апрель","Май","Июнь","Июль","Август","Сентябрь","Октябрь","Ноябрь","Декабрь")&amp;" "&amp;YEAR(branches[[#This Row],[Дата]])</f>
        <v>Июль 2025</v>
      </c>
      <c r="E2693" t="s">
        <v>25</v>
      </c>
      <c r="F2693" t="s">
        <v>12</v>
      </c>
      <c r="G2693">
        <v>1</v>
      </c>
      <c r="H2693">
        <v>237</v>
      </c>
      <c r="I2693" t="s">
        <v>32</v>
      </c>
      <c r="J2693" t="str">
        <f>_xlfn.XLOOKUP(branches[[#This Row],[Филиал]], tbl_Filialy[Филиал], tbl_Filialy[Менеджер])</f>
        <v>Ольга Кузнецова</v>
      </c>
    </row>
    <row r="2694" spans="1:10" x14ac:dyDescent="0.3">
      <c r="A2694" t="str">
        <f>_xlfn.XLOOKUP(branches[[#This Row],[Филиал]], tbl_Filialy[Филиал], tbl_Filialy[Город])</f>
        <v>Новосибирск</v>
      </c>
      <c r="B2694" s="1" t="s">
        <v>37</v>
      </c>
      <c r="C2694" s="2">
        <v>46005</v>
      </c>
      <c r="D2694" s="2" t="str">
        <f>CHOOSE(MONTH(branches[[#This Row],[Дата]]),"Январь","Февраль","Март","Апрель","Май","Июнь","Июль","Август","Сентябрь","Октябрь","Ноябрь","Декабрь")&amp;" "&amp;YEAR(branches[[#This Row],[Дата]])</f>
        <v>Декабрь 2025</v>
      </c>
      <c r="E2694" t="s">
        <v>18</v>
      </c>
      <c r="F2694" t="s">
        <v>12</v>
      </c>
      <c r="G2694">
        <v>1</v>
      </c>
      <c r="H2694">
        <v>160</v>
      </c>
      <c r="I2694" t="s">
        <v>33</v>
      </c>
      <c r="J2694" t="str">
        <f>_xlfn.XLOOKUP(branches[[#This Row],[Филиал]], tbl_Filialy[Филиал], tbl_Filialy[Менеджер])</f>
        <v>Ольга Кузнецова</v>
      </c>
    </row>
    <row r="2695" spans="1:10" x14ac:dyDescent="0.3">
      <c r="A2695" t="str">
        <f>_xlfn.XLOOKUP(branches[[#This Row],[Филиал]], tbl_Filialy[Филиал], tbl_Filialy[Город])</f>
        <v>Новосибирск</v>
      </c>
      <c r="B2695" s="1" t="s">
        <v>37</v>
      </c>
      <c r="C2695" s="2">
        <v>45711</v>
      </c>
      <c r="D2695" s="2" t="str">
        <f>CHOOSE(MONTH(branches[[#This Row],[Дата]]),"Январь","Февраль","Март","Апрель","Май","Июнь","Июль","Август","Сентябрь","Октябрь","Ноябрь","Декабрь")&amp;" "&amp;YEAR(branches[[#This Row],[Дата]])</f>
        <v>Февраль 2025</v>
      </c>
      <c r="E2695" t="s">
        <v>25</v>
      </c>
      <c r="F2695" t="s">
        <v>12</v>
      </c>
      <c r="G2695">
        <v>1</v>
      </c>
      <c r="H2695">
        <v>212</v>
      </c>
      <c r="I2695" t="s">
        <v>13</v>
      </c>
      <c r="J2695" t="str">
        <f>_xlfn.XLOOKUP(branches[[#This Row],[Филиал]], tbl_Filialy[Филиал], tbl_Filialy[Менеджер])</f>
        <v>Ольга Кузнецова</v>
      </c>
    </row>
    <row r="2696" spans="1:10" x14ac:dyDescent="0.3">
      <c r="A2696" t="str">
        <f>_xlfn.XLOOKUP(branches[[#This Row],[Филиал]], tbl_Filialy[Филиал], tbl_Filialy[Город])</f>
        <v>Новосибирск</v>
      </c>
      <c r="B2696" s="1" t="s">
        <v>37</v>
      </c>
      <c r="C2696" s="2">
        <v>46019</v>
      </c>
      <c r="D2696" s="2" t="str">
        <f>CHOOSE(MONTH(branches[[#This Row],[Дата]]),"Январь","Февраль","Март","Апрель","Май","Июнь","Июль","Август","Сентябрь","Октябрь","Ноябрь","Декабрь")&amp;" "&amp;YEAR(branches[[#This Row],[Дата]])</f>
        <v>Декабрь 2025</v>
      </c>
      <c r="E2696" t="s">
        <v>24</v>
      </c>
      <c r="F2696" t="s">
        <v>17</v>
      </c>
      <c r="G2696">
        <v>2</v>
      </c>
      <c r="H2696">
        <v>804</v>
      </c>
      <c r="I2696" t="s">
        <v>13</v>
      </c>
      <c r="J2696" t="str">
        <f>_xlfn.XLOOKUP(branches[[#This Row],[Филиал]], tbl_Filialy[Филиал], tbl_Filialy[Менеджер])</f>
        <v>Ольга Кузнецова</v>
      </c>
    </row>
    <row r="2697" spans="1:10" x14ac:dyDescent="0.3">
      <c r="A2697" t="str">
        <f>_xlfn.XLOOKUP(branches[[#This Row],[Филиал]], tbl_Filialy[Филиал], tbl_Filialy[Город])</f>
        <v>Новосибирск</v>
      </c>
      <c r="B2697" s="1" t="s">
        <v>37</v>
      </c>
      <c r="C2697" s="2">
        <v>45973</v>
      </c>
      <c r="D2697" s="2" t="str">
        <f>CHOOSE(MONTH(branches[[#This Row],[Дата]]),"Январь","Февраль","Март","Апрель","Май","Июнь","Июль","Август","Сентябрь","Октябрь","Ноябрь","Декабрь")&amp;" "&amp;YEAR(branches[[#This Row],[Дата]])</f>
        <v>Ноябрь 2025</v>
      </c>
      <c r="E2697" t="s">
        <v>8</v>
      </c>
      <c r="F2697" t="s">
        <v>9</v>
      </c>
      <c r="G2697">
        <v>3</v>
      </c>
      <c r="H2697">
        <v>669</v>
      </c>
      <c r="I2697" t="s">
        <v>33</v>
      </c>
      <c r="J2697" t="str">
        <f>_xlfn.XLOOKUP(branches[[#This Row],[Филиал]], tbl_Filialy[Филиал], tbl_Filialy[Менеджер])</f>
        <v>Ольга Кузнецова</v>
      </c>
    </row>
    <row r="2698" spans="1:10" x14ac:dyDescent="0.3">
      <c r="A2698" t="str">
        <f>_xlfn.XLOOKUP(branches[[#This Row],[Филиал]], tbl_Filialy[Филиал], tbl_Filialy[Город])</f>
        <v>Новосибирск</v>
      </c>
      <c r="B2698" s="1" t="s">
        <v>37</v>
      </c>
      <c r="C2698" s="2">
        <v>45818</v>
      </c>
      <c r="D2698" s="2" t="str">
        <f>CHOOSE(MONTH(branches[[#This Row],[Дата]]),"Январь","Февраль","Март","Апрель","Май","Июнь","Июль","Август","Сентябрь","Октябрь","Ноябрь","Декабрь")&amp;" "&amp;YEAR(branches[[#This Row],[Дата]])</f>
        <v>Июнь 2025</v>
      </c>
      <c r="E2698" t="s">
        <v>18</v>
      </c>
      <c r="F2698" t="s">
        <v>12</v>
      </c>
      <c r="G2698">
        <v>1</v>
      </c>
      <c r="H2698">
        <v>128</v>
      </c>
      <c r="I2698" t="s">
        <v>19</v>
      </c>
      <c r="J2698" t="str">
        <f>_xlfn.XLOOKUP(branches[[#This Row],[Филиал]], tbl_Filialy[Филиал], tbl_Filialy[Менеджер])</f>
        <v>Ольга Кузнецова</v>
      </c>
    </row>
    <row r="2699" spans="1:10" x14ac:dyDescent="0.3">
      <c r="A2699" t="str">
        <f>_xlfn.XLOOKUP(branches[[#This Row],[Филиал]], tbl_Filialy[Филиал], tbl_Filialy[Город])</f>
        <v>Новосибирск</v>
      </c>
      <c r="B2699" s="1" t="s">
        <v>37</v>
      </c>
      <c r="C2699" s="2">
        <v>45820</v>
      </c>
      <c r="D2699" s="2" t="str">
        <f>CHOOSE(MONTH(branches[[#This Row],[Дата]]),"Январь","Февраль","Март","Апрель","Май","Июнь","Июль","Август","Сентябрь","Октябрь","Ноябрь","Декабрь")&amp;" "&amp;YEAR(branches[[#This Row],[Дата]])</f>
        <v>Июнь 2025</v>
      </c>
      <c r="E2699" t="s">
        <v>14</v>
      </c>
      <c r="F2699" t="s">
        <v>12</v>
      </c>
      <c r="G2699">
        <v>1</v>
      </c>
      <c r="H2699">
        <v>279</v>
      </c>
      <c r="I2699" t="s">
        <v>35</v>
      </c>
      <c r="J2699" t="str">
        <f>_xlfn.XLOOKUP(branches[[#This Row],[Филиал]], tbl_Filialy[Филиал], tbl_Filialy[Менеджер])</f>
        <v>Ольга Кузнецова</v>
      </c>
    </row>
    <row r="2700" spans="1:10" x14ac:dyDescent="0.3">
      <c r="A2700" t="str">
        <f>_xlfn.XLOOKUP(branches[[#This Row],[Филиал]], tbl_Filialy[Филиал], tbl_Filialy[Город])</f>
        <v>Новосибирск</v>
      </c>
      <c r="B2700" s="1" t="s">
        <v>37</v>
      </c>
      <c r="C2700" s="2">
        <v>46002</v>
      </c>
      <c r="D2700" s="2" t="str">
        <f>CHOOSE(MONTH(branches[[#This Row],[Дата]]),"Январь","Февраль","Март","Апрель","Май","Июнь","Июль","Август","Сентябрь","Октябрь","Ноябрь","Декабрь")&amp;" "&amp;YEAR(branches[[#This Row],[Дата]])</f>
        <v>Декабрь 2025</v>
      </c>
      <c r="E2700" t="s">
        <v>16</v>
      </c>
      <c r="F2700" t="s">
        <v>17</v>
      </c>
      <c r="G2700">
        <v>1</v>
      </c>
      <c r="H2700">
        <v>316</v>
      </c>
      <c r="I2700" t="s">
        <v>13</v>
      </c>
      <c r="J2700" t="str">
        <f>_xlfn.XLOOKUP(branches[[#This Row],[Филиал]], tbl_Filialy[Филиал], tbl_Filialy[Менеджер])</f>
        <v>Ольга Кузнецова</v>
      </c>
    </row>
    <row r="2701" spans="1:10" x14ac:dyDescent="0.3">
      <c r="A2701" t="str">
        <f>_xlfn.XLOOKUP(branches[[#This Row],[Филиал]], tbl_Filialy[Филиал], tbl_Filialy[Город])</f>
        <v>Новосибирск</v>
      </c>
      <c r="B2701" s="1" t="s">
        <v>37</v>
      </c>
      <c r="C2701" s="2">
        <v>46017</v>
      </c>
      <c r="D2701" s="2" t="str">
        <f>CHOOSE(MONTH(branches[[#This Row],[Дата]]),"Январь","Февраль","Март","Апрель","Май","Июнь","Июль","Август","Сентябрь","Октябрь","Ноябрь","Декабрь")&amp;" "&amp;YEAR(branches[[#This Row],[Дата]])</f>
        <v>Декабрь 2025</v>
      </c>
      <c r="E2701" t="s">
        <v>18</v>
      </c>
      <c r="F2701" t="s">
        <v>12</v>
      </c>
      <c r="G2701">
        <v>2</v>
      </c>
      <c r="H2701">
        <v>264</v>
      </c>
      <c r="I2701" t="s">
        <v>33</v>
      </c>
      <c r="J2701" t="str">
        <f>_xlfn.XLOOKUP(branches[[#This Row],[Филиал]], tbl_Filialy[Филиал], tbl_Filialy[Менеджер])</f>
        <v>Ольга Кузнецова</v>
      </c>
    </row>
    <row r="2702" spans="1:10" x14ac:dyDescent="0.3">
      <c r="A2702" t="str">
        <f>_xlfn.XLOOKUP(branches[[#This Row],[Филиал]], tbl_Filialy[Филиал], tbl_Filialy[Город])</f>
        <v>Новосибирск</v>
      </c>
      <c r="B2702" s="1" t="s">
        <v>37</v>
      </c>
      <c r="C2702" s="2">
        <v>45758</v>
      </c>
      <c r="D2702" s="2" t="str">
        <f>CHOOSE(MONTH(branches[[#This Row],[Дата]]),"Январь","Февраль","Март","Апрель","Май","Июнь","Июль","Август","Сентябрь","Октябрь","Ноябрь","Декабрь")&amp;" "&amp;YEAR(branches[[#This Row],[Дата]])</f>
        <v>Апрель 2025</v>
      </c>
      <c r="E2702" t="s">
        <v>18</v>
      </c>
      <c r="F2702" t="s">
        <v>12</v>
      </c>
      <c r="G2702">
        <v>1</v>
      </c>
      <c r="H2702">
        <v>143</v>
      </c>
      <c r="I2702" t="s">
        <v>34</v>
      </c>
      <c r="J2702" t="str">
        <f>_xlfn.XLOOKUP(branches[[#This Row],[Филиал]], tbl_Filialy[Филиал], tbl_Filialy[Менеджер])</f>
        <v>Ольга Кузнецова</v>
      </c>
    </row>
    <row r="2703" spans="1:10" x14ac:dyDescent="0.3">
      <c r="A2703" t="str">
        <f>_xlfn.XLOOKUP(branches[[#This Row],[Филиал]], tbl_Filialy[Филиал], tbl_Filialy[Город])</f>
        <v>Новосибирск</v>
      </c>
      <c r="B2703" s="1" t="s">
        <v>37</v>
      </c>
      <c r="C2703" s="2">
        <v>45813</v>
      </c>
      <c r="D2703" s="2" t="str">
        <f>CHOOSE(MONTH(branches[[#This Row],[Дата]]),"Январь","Февраль","Март","Апрель","Май","Июнь","Июль","Август","Сентябрь","Октябрь","Ноябрь","Декабрь")&amp;" "&amp;YEAR(branches[[#This Row],[Дата]])</f>
        <v>Июнь 2025</v>
      </c>
      <c r="E2703" t="s">
        <v>25</v>
      </c>
      <c r="F2703" t="s">
        <v>12</v>
      </c>
      <c r="G2703">
        <v>1</v>
      </c>
      <c r="H2703">
        <v>201</v>
      </c>
      <c r="I2703" t="s">
        <v>32</v>
      </c>
      <c r="J2703" t="str">
        <f>_xlfn.XLOOKUP(branches[[#This Row],[Филиал]], tbl_Filialy[Филиал], tbl_Filialy[Менеджер])</f>
        <v>Ольга Кузнецова</v>
      </c>
    </row>
    <row r="2704" spans="1:10" x14ac:dyDescent="0.3">
      <c r="A2704" t="str">
        <f>_xlfn.XLOOKUP(branches[[#This Row],[Филиал]], tbl_Filialy[Филиал], tbl_Filialy[Город])</f>
        <v>Новосибирск</v>
      </c>
      <c r="B2704" s="1" t="s">
        <v>37</v>
      </c>
      <c r="C2704" s="2">
        <v>46017</v>
      </c>
      <c r="D2704" s="2" t="str">
        <f>CHOOSE(MONTH(branches[[#This Row],[Дата]]),"Январь","Февраль","Март","Апрель","Май","Июнь","Июль","Август","Сентябрь","Октябрь","Ноябрь","Декабрь")&amp;" "&amp;YEAR(branches[[#This Row],[Дата]])</f>
        <v>Декабрь 2025</v>
      </c>
      <c r="E2704" t="s">
        <v>20</v>
      </c>
      <c r="F2704" t="s">
        <v>12</v>
      </c>
      <c r="G2704">
        <v>1</v>
      </c>
      <c r="H2704">
        <v>306</v>
      </c>
      <c r="I2704" t="s">
        <v>35</v>
      </c>
      <c r="J2704" t="str">
        <f>_xlfn.XLOOKUP(branches[[#This Row],[Филиал]], tbl_Filialy[Филиал], tbl_Filialy[Менеджер])</f>
        <v>Ольга Кузнецова</v>
      </c>
    </row>
    <row r="2705" spans="1:10" x14ac:dyDescent="0.3">
      <c r="A2705" t="str">
        <f>_xlfn.XLOOKUP(branches[[#This Row],[Филиал]], tbl_Filialy[Филиал], tbl_Filialy[Город])</f>
        <v>Новосибирск</v>
      </c>
      <c r="B2705" s="1" t="s">
        <v>37</v>
      </c>
      <c r="C2705" s="2">
        <v>45825</v>
      </c>
      <c r="D2705" s="2" t="str">
        <f>CHOOSE(MONTH(branches[[#This Row],[Дата]]),"Январь","Февраль","Март","Апрель","Май","Июнь","Июль","Август","Сентябрь","Октябрь","Ноябрь","Декабрь")&amp;" "&amp;YEAR(branches[[#This Row],[Дата]])</f>
        <v>Июнь 2025</v>
      </c>
      <c r="E2705" t="s">
        <v>16</v>
      </c>
      <c r="F2705" t="s">
        <v>17</v>
      </c>
      <c r="G2705">
        <v>2</v>
      </c>
      <c r="H2705">
        <v>700</v>
      </c>
      <c r="I2705" t="s">
        <v>13</v>
      </c>
      <c r="J2705" t="str">
        <f>_xlfn.XLOOKUP(branches[[#This Row],[Филиал]], tbl_Filialy[Филиал], tbl_Filialy[Менеджер])</f>
        <v>Ольга Кузнецова</v>
      </c>
    </row>
    <row r="2706" spans="1:10" x14ac:dyDescent="0.3">
      <c r="A2706" t="str">
        <f>_xlfn.XLOOKUP(branches[[#This Row],[Филиал]], tbl_Filialy[Филиал], tbl_Filialy[Город])</f>
        <v>Новосибирск</v>
      </c>
      <c r="B2706" s="1" t="s">
        <v>37</v>
      </c>
      <c r="C2706" s="2">
        <v>45980</v>
      </c>
      <c r="D2706" s="2" t="str">
        <f>CHOOSE(MONTH(branches[[#This Row],[Дата]]),"Январь","Февраль","Март","Апрель","Май","Июнь","Июль","Август","Сентябрь","Октябрь","Ноябрь","Декабрь")&amp;" "&amp;YEAR(branches[[#This Row],[Дата]])</f>
        <v>Ноябрь 2025</v>
      </c>
      <c r="E2706" t="s">
        <v>25</v>
      </c>
      <c r="F2706" t="s">
        <v>12</v>
      </c>
      <c r="G2706">
        <v>1</v>
      </c>
      <c r="H2706">
        <v>228</v>
      </c>
      <c r="I2706" t="s">
        <v>33</v>
      </c>
      <c r="J2706" t="str">
        <f>_xlfn.XLOOKUP(branches[[#This Row],[Филиал]], tbl_Filialy[Филиал], tbl_Filialy[Менеджер])</f>
        <v>Ольга Кузнецова</v>
      </c>
    </row>
    <row r="2707" spans="1:10" x14ac:dyDescent="0.3">
      <c r="A2707" t="str">
        <f>_xlfn.XLOOKUP(branches[[#This Row],[Филиал]], tbl_Filialy[Филиал], tbl_Filialy[Город])</f>
        <v>Новосибирск</v>
      </c>
      <c r="B2707" s="1" t="s">
        <v>37</v>
      </c>
      <c r="C2707" s="2">
        <v>46005</v>
      </c>
      <c r="D2707" s="2" t="str">
        <f>CHOOSE(MONTH(branches[[#This Row],[Дата]]),"Январь","Февраль","Март","Апрель","Май","Июнь","Июль","Август","Сентябрь","Октябрь","Ноябрь","Декабрь")&amp;" "&amp;YEAR(branches[[#This Row],[Дата]])</f>
        <v>Декабрь 2025</v>
      </c>
      <c r="E2707" t="s">
        <v>25</v>
      </c>
      <c r="F2707" t="s">
        <v>12</v>
      </c>
      <c r="G2707">
        <v>3</v>
      </c>
      <c r="H2707">
        <v>585</v>
      </c>
      <c r="I2707" t="s">
        <v>33</v>
      </c>
      <c r="J2707" t="str">
        <f>_xlfn.XLOOKUP(branches[[#This Row],[Филиал]], tbl_Filialy[Филиал], tbl_Filialy[Менеджер])</f>
        <v>Ольга Кузнецова</v>
      </c>
    </row>
    <row r="2708" spans="1:10" x14ac:dyDescent="0.3">
      <c r="A2708" t="str">
        <f>_xlfn.XLOOKUP(branches[[#This Row],[Филиал]], tbl_Filialy[Филиал], tbl_Filialy[Город])</f>
        <v>Новосибирск</v>
      </c>
      <c r="B2708" s="1" t="s">
        <v>37</v>
      </c>
      <c r="C2708" s="2">
        <v>45842</v>
      </c>
      <c r="D2708" s="2" t="str">
        <f>CHOOSE(MONTH(branches[[#This Row],[Дата]]),"Январь","Февраль","Март","Апрель","Май","Июнь","Июль","Август","Сентябрь","Октябрь","Ноябрь","Декабрь")&amp;" "&amp;YEAR(branches[[#This Row],[Дата]])</f>
        <v>Июль 2025</v>
      </c>
      <c r="E2708" t="s">
        <v>28</v>
      </c>
      <c r="F2708" t="s">
        <v>12</v>
      </c>
      <c r="G2708">
        <v>2</v>
      </c>
      <c r="H2708">
        <v>424</v>
      </c>
      <c r="I2708" t="s">
        <v>34</v>
      </c>
      <c r="J2708" t="str">
        <f>_xlfn.XLOOKUP(branches[[#This Row],[Филиал]], tbl_Filialy[Филиал], tbl_Filialy[Менеджер])</f>
        <v>Ольга Кузнецова</v>
      </c>
    </row>
    <row r="2709" spans="1:10" x14ac:dyDescent="0.3">
      <c r="A2709" t="str">
        <f>_xlfn.XLOOKUP(branches[[#This Row],[Филиал]], tbl_Filialy[Филиал], tbl_Filialy[Город])</f>
        <v>Новосибирск</v>
      </c>
      <c r="B2709" s="1" t="s">
        <v>37</v>
      </c>
      <c r="C2709" s="2">
        <v>45904</v>
      </c>
      <c r="D2709" s="2" t="str">
        <f>CHOOSE(MONTH(branches[[#This Row],[Дата]]),"Январь","Февраль","Март","Апрель","Май","Июнь","Июль","Август","Сентябрь","Октябрь","Ноябрь","Декабрь")&amp;" "&amp;YEAR(branches[[#This Row],[Дата]])</f>
        <v>Сентябрь 2025</v>
      </c>
      <c r="E2709" t="s">
        <v>27</v>
      </c>
      <c r="F2709" t="s">
        <v>12</v>
      </c>
      <c r="G2709">
        <v>2</v>
      </c>
      <c r="H2709">
        <v>376</v>
      </c>
      <c r="I2709" t="s">
        <v>13</v>
      </c>
      <c r="J2709" t="str">
        <f>_xlfn.XLOOKUP(branches[[#This Row],[Филиал]], tbl_Filialy[Филиал], tbl_Filialy[Менеджер])</f>
        <v>Ольга Кузнецова</v>
      </c>
    </row>
    <row r="2710" spans="1:10" x14ac:dyDescent="0.3">
      <c r="A2710" t="str">
        <f>_xlfn.XLOOKUP(branches[[#This Row],[Филиал]], tbl_Filialy[Филиал], tbl_Filialy[Город])</f>
        <v>Новосибирск</v>
      </c>
      <c r="B2710" s="1" t="s">
        <v>37</v>
      </c>
      <c r="C2710" s="2">
        <v>45981</v>
      </c>
      <c r="D2710" s="2" t="str">
        <f>CHOOSE(MONTH(branches[[#This Row],[Дата]]),"Январь","Февраль","Март","Апрель","Май","Июнь","Июль","Август","Сентябрь","Октябрь","Ноябрь","Декабрь")&amp;" "&amp;YEAR(branches[[#This Row],[Дата]])</f>
        <v>Ноябрь 2025</v>
      </c>
      <c r="E2710" t="s">
        <v>8</v>
      </c>
      <c r="F2710" t="s">
        <v>9</v>
      </c>
      <c r="G2710">
        <v>1</v>
      </c>
      <c r="H2710">
        <v>221</v>
      </c>
      <c r="I2710" t="s">
        <v>19</v>
      </c>
      <c r="J2710" t="str">
        <f>_xlfn.XLOOKUP(branches[[#This Row],[Филиал]], tbl_Filialy[Филиал], tbl_Filialy[Менеджер])</f>
        <v>Ольга Кузнецова</v>
      </c>
    </row>
    <row r="2711" spans="1:10" x14ac:dyDescent="0.3">
      <c r="A2711" t="str">
        <f>_xlfn.XLOOKUP(branches[[#This Row],[Филиал]], tbl_Filialy[Филиал], tbl_Filialy[Город])</f>
        <v>Новосибирск</v>
      </c>
      <c r="B2711" s="1" t="s">
        <v>37</v>
      </c>
      <c r="C2711" s="2">
        <v>45672</v>
      </c>
      <c r="D2711" s="2" t="str">
        <f>CHOOSE(MONTH(branches[[#This Row],[Дата]]),"Январь","Февраль","Март","Апрель","Май","Июнь","Июль","Август","Сентябрь","Октябрь","Ноябрь","Декабрь")&amp;" "&amp;YEAR(branches[[#This Row],[Дата]])</f>
        <v>Январь 2025</v>
      </c>
      <c r="E2711" t="s">
        <v>24</v>
      </c>
      <c r="F2711" t="s">
        <v>17</v>
      </c>
      <c r="G2711">
        <v>3</v>
      </c>
      <c r="H2711">
        <v>1050</v>
      </c>
      <c r="I2711" t="s">
        <v>33</v>
      </c>
      <c r="J2711" t="str">
        <f>_xlfn.XLOOKUP(branches[[#This Row],[Филиал]], tbl_Filialy[Филиал], tbl_Filialy[Менеджер])</f>
        <v>Ольга Кузнецова</v>
      </c>
    </row>
    <row r="2712" spans="1:10" x14ac:dyDescent="0.3">
      <c r="A2712" t="str">
        <f>_xlfn.XLOOKUP(branches[[#This Row],[Филиал]], tbl_Filialy[Филиал], tbl_Filialy[Город])</f>
        <v>Новосибирск</v>
      </c>
      <c r="B2712" s="1" t="s">
        <v>37</v>
      </c>
      <c r="C2712" s="2">
        <v>45707</v>
      </c>
      <c r="D2712" s="2" t="str">
        <f>CHOOSE(MONTH(branches[[#This Row],[Дата]]),"Январь","Февраль","Март","Апрель","Май","Июнь","Июль","Август","Сентябрь","Октябрь","Ноябрь","Декабрь")&amp;" "&amp;YEAR(branches[[#This Row],[Дата]])</f>
        <v>Февраль 2025</v>
      </c>
      <c r="E2712" t="s">
        <v>8</v>
      </c>
      <c r="F2712" t="s">
        <v>9</v>
      </c>
      <c r="G2712">
        <v>3</v>
      </c>
      <c r="H2712">
        <v>819</v>
      </c>
      <c r="I2712" t="s">
        <v>13</v>
      </c>
      <c r="J2712" t="str">
        <f>_xlfn.XLOOKUP(branches[[#This Row],[Филиал]], tbl_Filialy[Филиал], tbl_Filialy[Менеджер])</f>
        <v>Ольга Кузнецова</v>
      </c>
    </row>
    <row r="2713" spans="1:10" x14ac:dyDescent="0.3">
      <c r="A2713" t="str">
        <f>_xlfn.XLOOKUP(branches[[#This Row],[Филиал]], tbl_Filialy[Филиал], tbl_Filialy[Город])</f>
        <v>Новосибирск</v>
      </c>
      <c r="B2713" s="1" t="s">
        <v>37</v>
      </c>
      <c r="C2713" s="2">
        <v>45683</v>
      </c>
      <c r="D2713" s="2" t="str">
        <f>CHOOSE(MONTH(branches[[#This Row],[Дата]]),"Январь","Февраль","Март","Апрель","Май","Июнь","Июль","Август","Сентябрь","Октябрь","Ноябрь","Декабрь")&amp;" "&amp;YEAR(branches[[#This Row],[Дата]])</f>
        <v>Январь 2025</v>
      </c>
      <c r="E2713" t="s">
        <v>16</v>
      </c>
      <c r="F2713" t="s">
        <v>17</v>
      </c>
      <c r="G2713">
        <v>2</v>
      </c>
      <c r="H2713">
        <v>684</v>
      </c>
      <c r="I2713" t="s">
        <v>35</v>
      </c>
      <c r="J2713" t="str">
        <f>_xlfn.XLOOKUP(branches[[#This Row],[Филиал]], tbl_Filialy[Филиал], tbl_Filialy[Менеджер])</f>
        <v>Ольга Кузнецова</v>
      </c>
    </row>
    <row r="2714" spans="1:10" x14ac:dyDescent="0.3">
      <c r="A2714" t="str">
        <f>_xlfn.XLOOKUP(branches[[#This Row],[Филиал]], tbl_Filialy[Филиал], tbl_Filialy[Город])</f>
        <v>Новосибирск</v>
      </c>
      <c r="B2714" s="1" t="s">
        <v>37</v>
      </c>
      <c r="C2714" s="2">
        <v>45790</v>
      </c>
      <c r="D2714" s="2" t="str">
        <f>CHOOSE(MONTH(branches[[#This Row],[Дата]]),"Январь","Февраль","Март","Апрель","Май","Июнь","Июль","Август","Сентябрь","Октябрь","Ноябрь","Декабрь")&amp;" "&amp;YEAR(branches[[#This Row],[Дата]])</f>
        <v>Май 2025</v>
      </c>
      <c r="E2714" t="s">
        <v>26</v>
      </c>
      <c r="F2714" t="s">
        <v>9</v>
      </c>
      <c r="G2714">
        <v>1</v>
      </c>
      <c r="H2714">
        <v>191</v>
      </c>
      <c r="I2714" t="s">
        <v>13</v>
      </c>
      <c r="J2714" t="str">
        <f>_xlfn.XLOOKUP(branches[[#This Row],[Филиал]], tbl_Filialy[Филиал], tbl_Filialy[Менеджер])</f>
        <v>Ольга Кузнецова</v>
      </c>
    </row>
    <row r="2715" spans="1:10" x14ac:dyDescent="0.3">
      <c r="A2715" t="str">
        <f>_xlfn.XLOOKUP(branches[[#This Row],[Филиал]], tbl_Filialy[Филиал], tbl_Filialy[Город])</f>
        <v>Новосибирск</v>
      </c>
      <c r="B2715" s="1" t="s">
        <v>37</v>
      </c>
      <c r="C2715" s="2">
        <v>45732</v>
      </c>
      <c r="D2715" s="2" t="str">
        <f>CHOOSE(MONTH(branches[[#This Row],[Дата]]),"Январь","Февраль","Март","Апрель","Май","Июнь","Июль","Август","Сентябрь","Октябрь","Ноябрь","Декабрь")&amp;" "&amp;YEAR(branches[[#This Row],[Дата]])</f>
        <v>Март 2025</v>
      </c>
      <c r="E2715" t="s">
        <v>27</v>
      </c>
      <c r="F2715" t="s">
        <v>12</v>
      </c>
      <c r="G2715">
        <v>3</v>
      </c>
      <c r="H2715">
        <v>717</v>
      </c>
      <c r="I2715" t="s">
        <v>34</v>
      </c>
      <c r="J2715" t="str">
        <f>_xlfn.XLOOKUP(branches[[#This Row],[Филиал]], tbl_Filialy[Филиал], tbl_Filialy[Менеджер])</f>
        <v>Ольга Кузнецова</v>
      </c>
    </row>
    <row r="2716" spans="1:10" x14ac:dyDescent="0.3">
      <c r="A2716" t="str">
        <f>_xlfn.XLOOKUP(branches[[#This Row],[Филиал]], tbl_Filialy[Филиал], tbl_Filialy[Город])</f>
        <v>Новосибирск</v>
      </c>
      <c r="B2716" s="1" t="s">
        <v>37</v>
      </c>
      <c r="C2716" s="2">
        <v>45923</v>
      </c>
      <c r="D2716" s="2" t="str">
        <f>CHOOSE(MONTH(branches[[#This Row],[Дата]]),"Январь","Февраль","Март","Апрель","Май","Июнь","Июль","Август","Сентябрь","Октябрь","Ноябрь","Декабрь")&amp;" "&amp;YEAR(branches[[#This Row],[Дата]])</f>
        <v>Сентябрь 2025</v>
      </c>
      <c r="E2716" t="s">
        <v>28</v>
      </c>
      <c r="F2716" t="s">
        <v>12</v>
      </c>
      <c r="G2716">
        <v>1</v>
      </c>
      <c r="H2716">
        <v>235</v>
      </c>
      <c r="I2716" t="s">
        <v>32</v>
      </c>
      <c r="J2716" t="str">
        <f>_xlfn.XLOOKUP(branches[[#This Row],[Филиал]], tbl_Filialy[Филиал], tbl_Filialy[Менеджер])</f>
        <v>Ольга Кузнецова</v>
      </c>
    </row>
    <row r="2717" spans="1:10" x14ac:dyDescent="0.3">
      <c r="A2717" t="str">
        <f>_xlfn.XLOOKUP(branches[[#This Row],[Филиал]], tbl_Filialy[Филиал], tbl_Filialy[Город])</f>
        <v>Новосибирск</v>
      </c>
      <c r="B2717" s="1" t="s">
        <v>37</v>
      </c>
      <c r="C2717" s="2">
        <v>45693</v>
      </c>
      <c r="D2717" s="2" t="str">
        <f>CHOOSE(MONTH(branches[[#This Row],[Дата]]),"Январь","Февраль","Март","Апрель","Май","Июнь","Июль","Август","Сентябрь","Октябрь","Ноябрь","Декабрь")&amp;" "&amp;YEAR(branches[[#This Row],[Дата]])</f>
        <v>Февраль 2025</v>
      </c>
      <c r="E2717" t="s">
        <v>25</v>
      </c>
      <c r="F2717" t="s">
        <v>12</v>
      </c>
      <c r="G2717">
        <v>3</v>
      </c>
      <c r="H2717">
        <v>660</v>
      </c>
      <c r="I2717" t="s">
        <v>35</v>
      </c>
      <c r="J2717" t="str">
        <f>_xlfn.XLOOKUP(branches[[#This Row],[Филиал]], tbl_Filialy[Филиал], tbl_Filialy[Менеджер])</f>
        <v>Ольга Кузнецова</v>
      </c>
    </row>
    <row r="2718" spans="1:10" x14ac:dyDescent="0.3">
      <c r="A2718" t="str">
        <f>_xlfn.XLOOKUP(branches[[#This Row],[Филиал]], tbl_Filialy[Филиал], tbl_Filialy[Город])</f>
        <v>Новосибирск</v>
      </c>
      <c r="B2718" s="1" t="s">
        <v>37</v>
      </c>
      <c r="C2718" s="2">
        <v>45681</v>
      </c>
      <c r="D2718" s="2" t="str">
        <f>CHOOSE(MONTH(branches[[#This Row],[Дата]]),"Январь","Февраль","Март","Апрель","Май","Июнь","Июль","Август","Сентябрь","Октябрь","Ноябрь","Декабрь")&amp;" "&amp;YEAR(branches[[#This Row],[Дата]])</f>
        <v>Январь 2025</v>
      </c>
      <c r="E2718" t="s">
        <v>11</v>
      </c>
      <c r="F2718" t="s">
        <v>12</v>
      </c>
      <c r="G2718">
        <v>3</v>
      </c>
      <c r="H2718">
        <v>468</v>
      </c>
      <c r="I2718" t="s">
        <v>34</v>
      </c>
      <c r="J2718" t="str">
        <f>_xlfn.XLOOKUP(branches[[#This Row],[Филиал]], tbl_Filialy[Филиал], tbl_Filialy[Менеджер])</f>
        <v>Ольга Кузнецова</v>
      </c>
    </row>
    <row r="2719" spans="1:10" x14ac:dyDescent="0.3">
      <c r="A2719" t="str">
        <f>_xlfn.XLOOKUP(branches[[#This Row],[Филиал]], tbl_Filialy[Филиал], tbl_Filialy[Город])</f>
        <v>Новосибирск</v>
      </c>
      <c r="B2719" s="1" t="s">
        <v>37</v>
      </c>
      <c r="C2719" s="2">
        <v>45915</v>
      </c>
      <c r="D2719" s="2" t="str">
        <f>CHOOSE(MONTH(branches[[#This Row],[Дата]]),"Январь","Февраль","Март","Апрель","Май","Июнь","Июль","Август","Сентябрь","Октябрь","Ноябрь","Декабрь")&amp;" "&amp;YEAR(branches[[#This Row],[Дата]])</f>
        <v>Сентябрь 2025</v>
      </c>
      <c r="E2719" t="s">
        <v>26</v>
      </c>
      <c r="F2719" t="s">
        <v>9</v>
      </c>
      <c r="G2719">
        <v>1</v>
      </c>
      <c r="H2719">
        <v>219</v>
      </c>
      <c r="I2719" t="s">
        <v>19</v>
      </c>
      <c r="J2719" t="str">
        <f>_xlfn.XLOOKUP(branches[[#This Row],[Филиал]], tbl_Filialy[Филиал], tbl_Filialy[Менеджер])</f>
        <v>Ольга Кузнецова</v>
      </c>
    </row>
    <row r="2720" spans="1:10" x14ac:dyDescent="0.3">
      <c r="A2720" t="str">
        <f>_xlfn.XLOOKUP(branches[[#This Row],[Филиал]], tbl_Filialy[Филиал], tbl_Filialy[Город])</f>
        <v>Новосибирск</v>
      </c>
      <c r="B2720" s="1" t="s">
        <v>37</v>
      </c>
      <c r="C2720" s="2">
        <v>45676</v>
      </c>
      <c r="D2720" s="2" t="str">
        <f>CHOOSE(MONTH(branches[[#This Row],[Дата]]),"Январь","Февраль","Март","Апрель","Май","Июнь","Июль","Август","Сентябрь","Октябрь","Ноябрь","Декабрь")&amp;" "&amp;YEAR(branches[[#This Row],[Дата]])</f>
        <v>Январь 2025</v>
      </c>
      <c r="E2720" t="s">
        <v>11</v>
      </c>
      <c r="F2720" t="s">
        <v>12</v>
      </c>
      <c r="G2720">
        <v>2</v>
      </c>
      <c r="H2720">
        <v>382</v>
      </c>
      <c r="I2720" t="s">
        <v>32</v>
      </c>
      <c r="J2720" t="str">
        <f>_xlfn.XLOOKUP(branches[[#This Row],[Филиал]], tbl_Filialy[Филиал], tbl_Filialy[Менеджер])</f>
        <v>Ольга Кузнецова</v>
      </c>
    </row>
    <row r="2721" spans="1:10" x14ac:dyDescent="0.3">
      <c r="A2721" t="str">
        <f>_xlfn.XLOOKUP(branches[[#This Row],[Филиал]], tbl_Filialy[Филиал], tbl_Filialy[Город])</f>
        <v>Новосибирск</v>
      </c>
      <c r="B2721" s="1" t="s">
        <v>37</v>
      </c>
      <c r="C2721" s="2">
        <v>45828</v>
      </c>
      <c r="D2721" s="2" t="str">
        <f>CHOOSE(MONTH(branches[[#This Row],[Дата]]),"Январь","Февраль","Март","Апрель","Май","Июнь","Июль","Август","Сентябрь","Октябрь","Ноябрь","Декабрь")&amp;" "&amp;YEAR(branches[[#This Row],[Дата]])</f>
        <v>Июнь 2025</v>
      </c>
      <c r="E2721" t="s">
        <v>18</v>
      </c>
      <c r="F2721" t="s">
        <v>12</v>
      </c>
      <c r="G2721">
        <v>1</v>
      </c>
      <c r="H2721">
        <v>159</v>
      </c>
      <c r="I2721" t="s">
        <v>34</v>
      </c>
      <c r="J2721" t="str">
        <f>_xlfn.XLOOKUP(branches[[#This Row],[Филиал]], tbl_Filialy[Филиал], tbl_Filialy[Менеджер])</f>
        <v>Ольга Кузнецова</v>
      </c>
    </row>
    <row r="2722" spans="1:10" x14ac:dyDescent="0.3">
      <c r="A2722" t="str">
        <f>_xlfn.XLOOKUP(branches[[#This Row],[Филиал]], tbl_Filialy[Филиал], tbl_Filialy[Город])</f>
        <v>Новосибирск</v>
      </c>
      <c r="B2722" s="1" t="s">
        <v>37</v>
      </c>
      <c r="C2722" s="2">
        <v>45719</v>
      </c>
      <c r="D2722" s="2" t="str">
        <f>CHOOSE(MONTH(branches[[#This Row],[Дата]]),"Январь","Февраль","Март","Апрель","Май","Июнь","Июль","Август","Сентябрь","Октябрь","Ноябрь","Декабрь")&amp;" "&amp;YEAR(branches[[#This Row],[Дата]])</f>
        <v>Март 2025</v>
      </c>
      <c r="E2722" t="s">
        <v>22</v>
      </c>
      <c r="F2722" t="s">
        <v>9</v>
      </c>
      <c r="G2722">
        <v>1</v>
      </c>
      <c r="H2722">
        <v>180</v>
      </c>
      <c r="I2722" t="s">
        <v>19</v>
      </c>
      <c r="J2722" t="str">
        <f>_xlfn.XLOOKUP(branches[[#This Row],[Филиал]], tbl_Filialy[Филиал], tbl_Filialy[Менеджер])</f>
        <v>Ольга Кузнецова</v>
      </c>
    </row>
    <row r="2723" spans="1:10" x14ac:dyDescent="0.3">
      <c r="A2723" t="str">
        <f>_xlfn.XLOOKUP(branches[[#This Row],[Филиал]], tbl_Filialy[Филиал], tbl_Filialy[Город])</f>
        <v>Новосибирск</v>
      </c>
      <c r="B2723" s="1" t="s">
        <v>37</v>
      </c>
      <c r="C2723" s="2">
        <v>45661</v>
      </c>
      <c r="D2723" s="2" t="str">
        <f>CHOOSE(MONTH(branches[[#This Row],[Дата]]),"Январь","Февраль","Март","Апрель","Май","Июнь","Июль","Август","Сентябрь","Октябрь","Ноябрь","Декабрь")&amp;" "&amp;YEAR(branches[[#This Row],[Дата]])</f>
        <v>Январь 2025</v>
      </c>
      <c r="E2723" t="s">
        <v>18</v>
      </c>
      <c r="F2723" t="s">
        <v>12</v>
      </c>
      <c r="G2723">
        <v>3</v>
      </c>
      <c r="H2723">
        <v>441</v>
      </c>
      <c r="I2723" t="s">
        <v>13</v>
      </c>
      <c r="J2723" t="str">
        <f>_xlfn.XLOOKUP(branches[[#This Row],[Филиал]], tbl_Filialy[Филиал], tbl_Filialy[Менеджер])</f>
        <v>Ольга Кузнецова</v>
      </c>
    </row>
    <row r="2724" spans="1:10" x14ac:dyDescent="0.3">
      <c r="A2724" t="str">
        <f>_xlfn.XLOOKUP(branches[[#This Row],[Филиал]], tbl_Filialy[Филиал], tbl_Filialy[Город])</f>
        <v>Новосибирск</v>
      </c>
      <c r="B2724" s="1" t="s">
        <v>37</v>
      </c>
      <c r="C2724" s="2">
        <v>45903</v>
      </c>
      <c r="D2724" s="2" t="str">
        <f>CHOOSE(MONTH(branches[[#This Row],[Дата]]),"Январь","Февраль","Март","Апрель","Май","Июнь","Июль","Август","Сентябрь","Октябрь","Ноябрь","Декабрь")&amp;" "&amp;YEAR(branches[[#This Row],[Дата]])</f>
        <v>Сентябрь 2025</v>
      </c>
      <c r="E2724" t="s">
        <v>11</v>
      </c>
      <c r="F2724" t="s">
        <v>12</v>
      </c>
      <c r="G2724">
        <v>1</v>
      </c>
      <c r="H2724">
        <v>187</v>
      </c>
      <c r="I2724" t="s">
        <v>35</v>
      </c>
      <c r="J2724" t="str">
        <f>_xlfn.XLOOKUP(branches[[#This Row],[Филиал]], tbl_Filialy[Филиал], tbl_Filialy[Менеджер])</f>
        <v>Ольга Кузнецова</v>
      </c>
    </row>
    <row r="2725" spans="1:10" x14ac:dyDescent="0.3">
      <c r="A2725" t="str">
        <f>_xlfn.XLOOKUP(branches[[#This Row],[Филиал]], tbl_Filialy[Филиал], tbl_Filialy[Город])</f>
        <v>Новосибирск</v>
      </c>
      <c r="B2725" s="1" t="s">
        <v>37</v>
      </c>
      <c r="C2725" s="2">
        <v>45878</v>
      </c>
      <c r="D2725" s="2" t="str">
        <f>CHOOSE(MONTH(branches[[#This Row],[Дата]]),"Январь","Февраль","Март","Апрель","Май","Июнь","Июль","Август","Сентябрь","Октябрь","Ноябрь","Декабрь")&amp;" "&amp;YEAR(branches[[#This Row],[Дата]])</f>
        <v>Август 2025</v>
      </c>
      <c r="E2725" t="s">
        <v>18</v>
      </c>
      <c r="F2725" t="s">
        <v>12</v>
      </c>
      <c r="G2725">
        <v>3</v>
      </c>
      <c r="H2725">
        <v>408</v>
      </c>
      <c r="I2725" t="s">
        <v>34</v>
      </c>
      <c r="J2725" t="str">
        <f>_xlfn.XLOOKUP(branches[[#This Row],[Филиал]], tbl_Filialy[Филиал], tbl_Filialy[Менеджер])</f>
        <v>Ольга Кузнецова</v>
      </c>
    </row>
    <row r="2726" spans="1:10" x14ac:dyDescent="0.3">
      <c r="A2726" t="str">
        <f>_xlfn.XLOOKUP(branches[[#This Row],[Филиал]], tbl_Filialy[Филиал], tbl_Filialy[Город])</f>
        <v>Новосибирск</v>
      </c>
      <c r="B2726" s="1" t="s">
        <v>37</v>
      </c>
      <c r="C2726" s="2">
        <v>45758</v>
      </c>
      <c r="D2726" s="2" t="str">
        <f>CHOOSE(MONTH(branches[[#This Row],[Дата]]),"Январь","Февраль","Март","Апрель","Май","Июнь","Июль","Август","Сентябрь","Октябрь","Ноябрь","Декабрь")&amp;" "&amp;YEAR(branches[[#This Row],[Дата]])</f>
        <v>Апрель 2025</v>
      </c>
      <c r="E2726" t="s">
        <v>11</v>
      </c>
      <c r="F2726" t="s">
        <v>12</v>
      </c>
      <c r="G2726">
        <v>2</v>
      </c>
      <c r="H2726">
        <v>388</v>
      </c>
      <c r="I2726" t="s">
        <v>32</v>
      </c>
      <c r="J2726" t="str">
        <f>_xlfn.XLOOKUP(branches[[#This Row],[Филиал]], tbl_Filialy[Филиал], tbl_Filialy[Менеджер])</f>
        <v>Ольга Кузнецова</v>
      </c>
    </row>
    <row r="2727" spans="1:10" x14ac:dyDescent="0.3">
      <c r="A2727" t="str">
        <f>_xlfn.XLOOKUP(branches[[#This Row],[Филиал]], tbl_Filialy[Филиал], tbl_Filialy[Город])</f>
        <v>Новосибирск</v>
      </c>
      <c r="B2727" s="1" t="s">
        <v>37</v>
      </c>
      <c r="C2727" s="2">
        <v>45684</v>
      </c>
      <c r="D2727" s="2" t="str">
        <f>CHOOSE(MONTH(branches[[#This Row],[Дата]]),"Январь","Февраль","Март","Апрель","Май","Июнь","Июль","Август","Сентябрь","Октябрь","Ноябрь","Декабрь")&amp;" "&amp;YEAR(branches[[#This Row],[Дата]])</f>
        <v>Январь 2025</v>
      </c>
      <c r="E2727" t="s">
        <v>18</v>
      </c>
      <c r="F2727" t="s">
        <v>12</v>
      </c>
      <c r="G2727">
        <v>1</v>
      </c>
      <c r="H2727">
        <v>151</v>
      </c>
      <c r="I2727" t="s">
        <v>19</v>
      </c>
      <c r="J2727" t="str">
        <f>_xlfn.XLOOKUP(branches[[#This Row],[Филиал]], tbl_Filialy[Филиал], tbl_Filialy[Менеджер])</f>
        <v>Ольга Кузнецова</v>
      </c>
    </row>
    <row r="2728" spans="1:10" x14ac:dyDescent="0.3">
      <c r="A2728" t="str">
        <f>_xlfn.XLOOKUP(branches[[#This Row],[Филиал]], tbl_Filialy[Филиал], tbl_Filialy[Город])</f>
        <v>Новосибирск</v>
      </c>
      <c r="B2728" s="1" t="s">
        <v>37</v>
      </c>
      <c r="C2728" s="2">
        <v>46014</v>
      </c>
      <c r="D2728" s="2" t="str">
        <f>CHOOSE(MONTH(branches[[#This Row],[Дата]]),"Январь","Февраль","Март","Апрель","Май","Июнь","Июль","Август","Сентябрь","Октябрь","Ноябрь","Декабрь")&amp;" "&amp;YEAR(branches[[#This Row],[Дата]])</f>
        <v>Декабрь 2025</v>
      </c>
      <c r="E2728" t="s">
        <v>14</v>
      </c>
      <c r="F2728" t="s">
        <v>12</v>
      </c>
      <c r="G2728">
        <v>3</v>
      </c>
      <c r="H2728">
        <v>825</v>
      </c>
      <c r="I2728" t="s">
        <v>33</v>
      </c>
      <c r="J2728" t="str">
        <f>_xlfn.XLOOKUP(branches[[#This Row],[Филиал]], tbl_Filialy[Филиал], tbl_Filialy[Менеджер])</f>
        <v>Ольга Кузнецова</v>
      </c>
    </row>
    <row r="2729" spans="1:10" x14ac:dyDescent="0.3">
      <c r="A2729" t="str">
        <f>_xlfn.XLOOKUP(branches[[#This Row],[Филиал]], tbl_Filialy[Филиал], tbl_Filialy[Город])</f>
        <v>Новосибирск</v>
      </c>
      <c r="B2729" s="1" t="s">
        <v>37</v>
      </c>
      <c r="C2729" s="2">
        <v>45957</v>
      </c>
      <c r="D2729" s="2" t="str">
        <f>CHOOSE(MONTH(branches[[#This Row],[Дата]]),"Январь","Февраль","Март","Апрель","Май","Июнь","Июль","Август","Сентябрь","Октябрь","Ноябрь","Декабрь")&amp;" "&amp;YEAR(branches[[#This Row],[Дата]])</f>
        <v>Октябрь 2025</v>
      </c>
      <c r="E2729" t="s">
        <v>14</v>
      </c>
      <c r="F2729" t="s">
        <v>12</v>
      </c>
      <c r="G2729">
        <v>1</v>
      </c>
      <c r="H2729">
        <v>254</v>
      </c>
      <c r="I2729" t="s">
        <v>32</v>
      </c>
      <c r="J2729" t="str">
        <f>_xlfn.XLOOKUP(branches[[#This Row],[Филиал]], tbl_Filialy[Филиал], tbl_Filialy[Менеджер])</f>
        <v>Ольга Кузнецова</v>
      </c>
    </row>
    <row r="2730" spans="1:10" x14ac:dyDescent="0.3">
      <c r="A2730" t="str">
        <f>_xlfn.XLOOKUP(branches[[#This Row],[Филиал]], tbl_Filialy[Филиал], tbl_Filialy[Город])</f>
        <v>Новосибирск</v>
      </c>
      <c r="B2730" s="1" t="s">
        <v>37</v>
      </c>
      <c r="C2730" s="2">
        <v>45691</v>
      </c>
      <c r="D2730" s="2" t="str">
        <f>CHOOSE(MONTH(branches[[#This Row],[Дата]]),"Январь","Февраль","Март","Апрель","Май","Июнь","Июль","Август","Сентябрь","Октябрь","Ноябрь","Декабрь")&amp;" "&amp;YEAR(branches[[#This Row],[Дата]])</f>
        <v>Февраль 2025</v>
      </c>
      <c r="E2730" t="s">
        <v>25</v>
      </c>
      <c r="F2730" t="s">
        <v>12</v>
      </c>
      <c r="G2730">
        <v>1</v>
      </c>
      <c r="H2730">
        <v>222</v>
      </c>
      <c r="I2730" t="s">
        <v>13</v>
      </c>
      <c r="J2730" t="str">
        <f>_xlfn.XLOOKUP(branches[[#This Row],[Филиал]], tbl_Filialy[Филиал], tbl_Filialy[Менеджер])</f>
        <v>Ольга Кузнецова</v>
      </c>
    </row>
    <row r="2731" spans="1:10" x14ac:dyDescent="0.3">
      <c r="A2731" t="str">
        <f>_xlfn.XLOOKUP(branches[[#This Row],[Филиал]], tbl_Filialy[Филиал], tbl_Filialy[Город])</f>
        <v>Новосибирск</v>
      </c>
      <c r="B2731" s="1" t="s">
        <v>37</v>
      </c>
      <c r="C2731" s="2">
        <v>45744</v>
      </c>
      <c r="D2731" s="2" t="str">
        <f>CHOOSE(MONTH(branches[[#This Row],[Дата]]),"Январь","Февраль","Март","Апрель","Май","Июнь","Июль","Август","Сентябрь","Октябрь","Ноябрь","Декабрь")&amp;" "&amp;YEAR(branches[[#This Row],[Дата]])</f>
        <v>Март 2025</v>
      </c>
      <c r="E2731" t="s">
        <v>20</v>
      </c>
      <c r="F2731" t="s">
        <v>12</v>
      </c>
      <c r="G2731">
        <v>1</v>
      </c>
      <c r="H2731">
        <v>248</v>
      </c>
      <c r="I2731" t="s">
        <v>32</v>
      </c>
      <c r="J2731" t="str">
        <f>_xlfn.XLOOKUP(branches[[#This Row],[Филиал]], tbl_Filialy[Филиал], tbl_Filialy[Менеджер])</f>
        <v>Ольга Кузнецова</v>
      </c>
    </row>
    <row r="2732" spans="1:10" x14ac:dyDescent="0.3">
      <c r="A2732" t="str">
        <f>_xlfn.XLOOKUP(branches[[#This Row],[Филиал]], tbl_Filialy[Филиал], tbl_Filialy[Город])</f>
        <v>Новосибирск</v>
      </c>
      <c r="B2732" s="1" t="s">
        <v>37</v>
      </c>
      <c r="C2732" s="2">
        <v>45697</v>
      </c>
      <c r="D2732" s="2" t="str">
        <f>CHOOSE(MONTH(branches[[#This Row],[Дата]]),"Январь","Февраль","Март","Апрель","Май","Июнь","Июль","Август","Сентябрь","Октябрь","Ноябрь","Декабрь")&amp;" "&amp;YEAR(branches[[#This Row],[Дата]])</f>
        <v>Февраль 2025</v>
      </c>
      <c r="E2732" t="s">
        <v>24</v>
      </c>
      <c r="F2732" t="s">
        <v>17</v>
      </c>
      <c r="G2732">
        <v>1</v>
      </c>
      <c r="H2732">
        <v>339</v>
      </c>
      <c r="I2732" t="s">
        <v>35</v>
      </c>
      <c r="J2732" t="str">
        <f>_xlfn.XLOOKUP(branches[[#This Row],[Филиал]], tbl_Filialy[Филиал], tbl_Filialy[Менеджер])</f>
        <v>Ольга Кузнецова</v>
      </c>
    </row>
    <row r="2733" spans="1:10" x14ac:dyDescent="0.3">
      <c r="A2733" t="str">
        <f>_xlfn.XLOOKUP(branches[[#This Row],[Филиал]], tbl_Filialy[Филиал], tbl_Filialy[Город])</f>
        <v>Новосибирск</v>
      </c>
      <c r="B2733" s="1" t="s">
        <v>37</v>
      </c>
      <c r="C2733" s="2">
        <v>45879</v>
      </c>
      <c r="D2733" s="2" t="str">
        <f>CHOOSE(MONTH(branches[[#This Row],[Дата]]),"Январь","Февраль","Март","Апрель","Май","Июнь","Июль","Август","Сентябрь","Октябрь","Ноябрь","Декабрь")&amp;" "&amp;YEAR(branches[[#This Row],[Дата]])</f>
        <v>Август 2025</v>
      </c>
      <c r="E2733" t="s">
        <v>8</v>
      </c>
      <c r="F2733" t="s">
        <v>9</v>
      </c>
      <c r="G2733">
        <v>2</v>
      </c>
      <c r="H2733">
        <v>544</v>
      </c>
      <c r="I2733" t="s">
        <v>35</v>
      </c>
      <c r="J2733" t="str">
        <f>_xlfn.XLOOKUP(branches[[#This Row],[Филиал]], tbl_Filialy[Филиал], tbl_Filialy[Менеджер])</f>
        <v>Ольга Кузнецова</v>
      </c>
    </row>
    <row r="2734" spans="1:10" x14ac:dyDescent="0.3">
      <c r="A2734" t="str">
        <f>_xlfn.XLOOKUP(branches[[#This Row],[Филиал]], tbl_Filialy[Филиал], tbl_Filialy[Город])</f>
        <v>Новосибирск</v>
      </c>
      <c r="B2734" s="1" t="s">
        <v>37</v>
      </c>
      <c r="C2734" s="2">
        <v>45760</v>
      </c>
      <c r="D2734" s="2" t="str">
        <f>CHOOSE(MONTH(branches[[#This Row],[Дата]]),"Январь","Февраль","Март","Апрель","Май","Июнь","Июль","Август","Сентябрь","Октябрь","Ноябрь","Декабрь")&amp;" "&amp;YEAR(branches[[#This Row],[Дата]])</f>
        <v>Апрель 2025</v>
      </c>
      <c r="E2734" t="s">
        <v>11</v>
      </c>
      <c r="F2734" t="s">
        <v>12</v>
      </c>
      <c r="G2734">
        <v>1</v>
      </c>
      <c r="H2734">
        <v>182</v>
      </c>
      <c r="I2734" t="s">
        <v>13</v>
      </c>
      <c r="J2734" t="str">
        <f>_xlfn.XLOOKUP(branches[[#This Row],[Филиал]], tbl_Filialy[Филиал], tbl_Filialy[Менеджер])</f>
        <v>Ольга Кузнецова</v>
      </c>
    </row>
    <row r="2735" spans="1:10" x14ac:dyDescent="0.3">
      <c r="A2735" t="str">
        <f>_xlfn.XLOOKUP(branches[[#This Row],[Филиал]], tbl_Filialy[Филиал], tbl_Filialy[Город])</f>
        <v>Новосибирск</v>
      </c>
      <c r="B2735" s="1" t="s">
        <v>37</v>
      </c>
      <c r="C2735" s="2">
        <v>45758</v>
      </c>
      <c r="D2735" s="2" t="str">
        <f>CHOOSE(MONTH(branches[[#This Row],[Дата]]),"Январь","Февраль","Март","Апрель","Май","Июнь","Июль","Август","Сентябрь","Октябрь","Ноябрь","Декабрь")&amp;" "&amp;YEAR(branches[[#This Row],[Дата]])</f>
        <v>Апрель 2025</v>
      </c>
      <c r="E2735" t="s">
        <v>11</v>
      </c>
      <c r="F2735" t="s">
        <v>12</v>
      </c>
      <c r="G2735">
        <v>1</v>
      </c>
      <c r="H2735">
        <v>187</v>
      </c>
      <c r="I2735" t="s">
        <v>19</v>
      </c>
      <c r="J2735" t="str">
        <f>_xlfn.XLOOKUP(branches[[#This Row],[Филиал]], tbl_Filialy[Филиал], tbl_Filialy[Менеджер])</f>
        <v>Ольга Кузнецова</v>
      </c>
    </row>
    <row r="2736" spans="1:10" x14ac:dyDescent="0.3">
      <c r="A2736" t="str">
        <f>_xlfn.XLOOKUP(branches[[#This Row],[Филиал]], tbl_Filialy[Филиал], tbl_Filialy[Город])</f>
        <v>Новосибирск</v>
      </c>
      <c r="B2736" s="1" t="s">
        <v>37</v>
      </c>
      <c r="C2736" s="2">
        <v>45854</v>
      </c>
      <c r="D2736" s="2" t="str">
        <f>CHOOSE(MONTH(branches[[#This Row],[Дата]]),"Январь","Февраль","Март","Апрель","Май","Июнь","Июль","Август","Сентябрь","Октябрь","Ноябрь","Декабрь")&amp;" "&amp;YEAR(branches[[#This Row],[Дата]])</f>
        <v>Июль 2025</v>
      </c>
      <c r="E2736" t="s">
        <v>11</v>
      </c>
      <c r="F2736" t="s">
        <v>12</v>
      </c>
      <c r="G2736">
        <v>1</v>
      </c>
      <c r="H2736">
        <v>177</v>
      </c>
      <c r="I2736" t="s">
        <v>34</v>
      </c>
      <c r="J2736" t="str">
        <f>_xlfn.XLOOKUP(branches[[#This Row],[Филиал]], tbl_Filialy[Филиал], tbl_Filialy[Менеджер])</f>
        <v>Ольга Кузнецова</v>
      </c>
    </row>
    <row r="2737" spans="1:10" x14ac:dyDescent="0.3">
      <c r="A2737" t="str">
        <f>_xlfn.XLOOKUP(branches[[#This Row],[Филиал]], tbl_Filialy[Филиал], tbl_Filialy[Город])</f>
        <v>Новосибирск</v>
      </c>
      <c r="B2737" s="1" t="s">
        <v>37</v>
      </c>
      <c r="C2737" s="2">
        <v>45834</v>
      </c>
      <c r="D2737" s="2" t="str">
        <f>CHOOSE(MONTH(branches[[#This Row],[Дата]]),"Январь","Февраль","Март","Апрель","Май","Июнь","Июль","Август","Сентябрь","Октябрь","Ноябрь","Декабрь")&amp;" "&amp;YEAR(branches[[#This Row],[Дата]])</f>
        <v>Июнь 2025</v>
      </c>
      <c r="E2737" t="s">
        <v>22</v>
      </c>
      <c r="F2737" t="s">
        <v>9</v>
      </c>
      <c r="G2737">
        <v>2</v>
      </c>
      <c r="H2737">
        <v>328</v>
      </c>
      <c r="I2737" t="s">
        <v>33</v>
      </c>
      <c r="J2737" t="str">
        <f>_xlfn.XLOOKUP(branches[[#This Row],[Филиал]], tbl_Filialy[Филиал], tbl_Filialy[Менеджер])</f>
        <v>Ольга Кузнецова</v>
      </c>
    </row>
    <row r="2738" spans="1:10" x14ac:dyDescent="0.3">
      <c r="A2738" t="str">
        <f>_xlfn.XLOOKUP(branches[[#This Row],[Филиал]], tbl_Filialy[Филиал], tbl_Filialy[Город])</f>
        <v>Санкт-Петербург</v>
      </c>
      <c r="B2738" s="1" t="s">
        <v>38</v>
      </c>
      <c r="C2738" s="2">
        <v>45672</v>
      </c>
      <c r="D2738" s="2" t="str">
        <f>CHOOSE(MONTH(branches[[#This Row],[Дата]]),"Январь","Февраль","Март","Апрель","Май","Июнь","Июль","Август","Сентябрь","Октябрь","Ноябрь","Декабрь")&amp;" "&amp;YEAR(branches[[#This Row],[Дата]])</f>
        <v>Январь 2025</v>
      </c>
      <c r="E2738" t="s">
        <v>11</v>
      </c>
      <c r="F2738" t="s">
        <v>12</v>
      </c>
      <c r="G2738">
        <v>1</v>
      </c>
      <c r="H2738">
        <v>155</v>
      </c>
      <c r="I2738" t="s">
        <v>15</v>
      </c>
      <c r="J2738" t="str">
        <f>_xlfn.XLOOKUP(branches[[#This Row],[Филиал]], tbl_Filialy[Филиал], tbl_Filialy[Менеджер])</f>
        <v>Дмитрий Волков</v>
      </c>
    </row>
    <row r="2739" spans="1:10" x14ac:dyDescent="0.3">
      <c r="A2739" t="str">
        <f>_xlfn.XLOOKUP(branches[[#This Row],[Филиал]], tbl_Filialy[Филиал], tbl_Filialy[Город])</f>
        <v>Санкт-Петербург</v>
      </c>
      <c r="B2739" s="1" t="s">
        <v>38</v>
      </c>
      <c r="C2739" s="2">
        <v>45740</v>
      </c>
      <c r="D2739" s="2" t="str">
        <f>CHOOSE(MONTH(branches[[#This Row],[Дата]]),"Январь","Февраль","Март","Апрель","Май","Июнь","Июль","Август","Сентябрь","Октябрь","Ноябрь","Декабрь")&amp;" "&amp;YEAR(branches[[#This Row],[Дата]])</f>
        <v>Март 2025</v>
      </c>
      <c r="E2739" t="s">
        <v>24</v>
      </c>
      <c r="F2739" t="s">
        <v>17</v>
      </c>
      <c r="G2739">
        <v>1</v>
      </c>
      <c r="H2739">
        <v>341</v>
      </c>
      <c r="I2739" t="s">
        <v>15</v>
      </c>
      <c r="J2739" t="str">
        <f>_xlfn.XLOOKUP(branches[[#This Row],[Филиал]], tbl_Filialy[Филиал], tbl_Filialy[Менеджер])</f>
        <v>Дмитрий Волков</v>
      </c>
    </row>
    <row r="2740" spans="1:10" x14ac:dyDescent="0.3">
      <c r="A2740" t="str">
        <f>_xlfn.XLOOKUP(branches[[#This Row],[Филиал]], tbl_Filialy[Филиал], tbl_Filialy[Город])</f>
        <v>Санкт-Петербург</v>
      </c>
      <c r="B2740" s="1" t="s">
        <v>38</v>
      </c>
      <c r="C2740" s="2">
        <v>45979</v>
      </c>
      <c r="D2740" s="2" t="str">
        <f>CHOOSE(MONTH(branches[[#This Row],[Дата]]),"Январь","Февраль","Март","Апрель","Май","Июнь","Июль","Август","Сентябрь","Октябрь","Ноябрь","Декабрь")&amp;" "&amp;YEAR(branches[[#This Row],[Дата]])</f>
        <v>Ноябрь 2025</v>
      </c>
      <c r="E2740" t="s">
        <v>20</v>
      </c>
      <c r="F2740" t="s">
        <v>12</v>
      </c>
      <c r="G2740">
        <v>1</v>
      </c>
      <c r="H2740">
        <v>297</v>
      </c>
      <c r="I2740" t="s">
        <v>15</v>
      </c>
      <c r="J2740" t="str">
        <f>_xlfn.XLOOKUP(branches[[#This Row],[Филиал]], tbl_Filialy[Филиал], tbl_Filialy[Менеджер])</f>
        <v>Дмитрий Волков</v>
      </c>
    </row>
    <row r="2741" spans="1:10" x14ac:dyDescent="0.3">
      <c r="A2741" t="str">
        <f>_xlfn.XLOOKUP(branches[[#This Row],[Филиал]], tbl_Filialy[Филиал], tbl_Filialy[Город])</f>
        <v>Санкт-Петербург</v>
      </c>
      <c r="B2741" s="1" t="s">
        <v>38</v>
      </c>
      <c r="C2741" s="2">
        <v>45971</v>
      </c>
      <c r="D2741" s="2" t="str">
        <f>CHOOSE(MONTH(branches[[#This Row],[Дата]]),"Январь","Февраль","Март","Апрель","Май","Июнь","Июль","Август","Сентябрь","Октябрь","Ноябрь","Декабрь")&amp;" "&amp;YEAR(branches[[#This Row],[Дата]])</f>
        <v>Ноябрь 2025</v>
      </c>
      <c r="E2741" t="s">
        <v>27</v>
      </c>
      <c r="F2741" t="s">
        <v>12</v>
      </c>
      <c r="G2741">
        <v>1</v>
      </c>
      <c r="H2741">
        <v>186</v>
      </c>
      <c r="I2741" t="s">
        <v>10</v>
      </c>
      <c r="J2741" t="str">
        <f>_xlfn.XLOOKUP(branches[[#This Row],[Филиал]], tbl_Filialy[Филиал], tbl_Filialy[Менеджер])</f>
        <v>Дмитрий Волков</v>
      </c>
    </row>
    <row r="2742" spans="1:10" x14ac:dyDescent="0.3">
      <c r="A2742" t="str">
        <f>_xlfn.XLOOKUP(branches[[#This Row],[Филиал]], tbl_Filialy[Филиал], tbl_Filialy[Город])</f>
        <v>Санкт-Петербург</v>
      </c>
      <c r="B2742" s="1" t="s">
        <v>38</v>
      </c>
      <c r="C2742" s="2">
        <v>46015</v>
      </c>
      <c r="D2742" s="2" t="str">
        <f>CHOOSE(MONTH(branches[[#This Row],[Дата]]),"Январь","Февраль","Март","Апрель","Май","Июнь","Июль","Август","Сентябрь","Октябрь","Ноябрь","Декабрь")&amp;" "&amp;YEAR(branches[[#This Row],[Дата]])</f>
        <v>Декабрь 2025</v>
      </c>
      <c r="E2742" t="s">
        <v>11</v>
      </c>
      <c r="F2742" t="s">
        <v>12</v>
      </c>
      <c r="G2742">
        <v>1</v>
      </c>
      <c r="H2742">
        <v>188</v>
      </c>
      <c r="I2742" t="s">
        <v>15</v>
      </c>
      <c r="J2742" t="str">
        <f>_xlfn.XLOOKUP(branches[[#This Row],[Филиал]], tbl_Filialy[Филиал], tbl_Filialy[Менеджер])</f>
        <v>Дмитрий Волков</v>
      </c>
    </row>
    <row r="2743" spans="1:10" x14ac:dyDescent="0.3">
      <c r="A2743" t="str">
        <f>_xlfn.XLOOKUP(branches[[#This Row],[Филиал]], tbl_Filialy[Филиал], tbl_Filialy[Город])</f>
        <v>Санкт-Петербург</v>
      </c>
      <c r="B2743" s="1" t="s">
        <v>38</v>
      </c>
      <c r="C2743" s="2">
        <v>45829</v>
      </c>
      <c r="D2743" s="2" t="str">
        <f>CHOOSE(MONTH(branches[[#This Row],[Дата]]),"Январь","Февраль","Март","Апрель","Май","Июнь","Июль","Август","Сентябрь","Октябрь","Ноябрь","Декабрь")&amp;" "&amp;YEAR(branches[[#This Row],[Дата]])</f>
        <v>Июнь 2025</v>
      </c>
      <c r="E2743" t="s">
        <v>20</v>
      </c>
      <c r="F2743" t="s">
        <v>12</v>
      </c>
      <c r="G2743">
        <v>3</v>
      </c>
      <c r="H2743">
        <v>945</v>
      </c>
      <c r="I2743" t="s">
        <v>29</v>
      </c>
      <c r="J2743" t="str">
        <f>_xlfn.XLOOKUP(branches[[#This Row],[Филиал]], tbl_Filialy[Филиал], tbl_Filialy[Менеджер])</f>
        <v>Дмитрий Волков</v>
      </c>
    </row>
    <row r="2744" spans="1:10" x14ac:dyDescent="0.3">
      <c r="A2744" t="str">
        <f>_xlfn.XLOOKUP(branches[[#This Row],[Филиал]], tbl_Filialy[Филиал], tbl_Filialy[Город])</f>
        <v>Санкт-Петербург</v>
      </c>
      <c r="B2744" s="1" t="s">
        <v>38</v>
      </c>
      <c r="C2744" s="2">
        <v>45877</v>
      </c>
      <c r="D2744" s="2" t="str">
        <f>CHOOSE(MONTH(branches[[#This Row],[Дата]]),"Январь","Февраль","Март","Апрель","Май","Июнь","Июль","Август","Сентябрь","Октябрь","Ноябрь","Декабрь")&amp;" "&amp;YEAR(branches[[#This Row],[Дата]])</f>
        <v>Август 2025</v>
      </c>
      <c r="E2744" t="s">
        <v>11</v>
      </c>
      <c r="F2744" t="s">
        <v>12</v>
      </c>
      <c r="G2744">
        <v>1</v>
      </c>
      <c r="H2744">
        <v>156</v>
      </c>
      <c r="I2744" t="s">
        <v>19</v>
      </c>
      <c r="J2744" t="str">
        <f>_xlfn.XLOOKUP(branches[[#This Row],[Филиал]], tbl_Filialy[Филиал], tbl_Filialy[Менеджер])</f>
        <v>Дмитрий Волков</v>
      </c>
    </row>
    <row r="2745" spans="1:10" x14ac:dyDescent="0.3">
      <c r="A2745" t="str">
        <f>_xlfn.XLOOKUP(branches[[#This Row],[Филиал]], tbl_Filialy[Филиал], tbl_Filialy[Город])</f>
        <v>Санкт-Петербург</v>
      </c>
      <c r="B2745" s="1" t="s">
        <v>38</v>
      </c>
      <c r="C2745" s="2">
        <v>45948</v>
      </c>
      <c r="D2745" s="2" t="str">
        <f>CHOOSE(MONTH(branches[[#This Row],[Дата]]),"Январь","Февраль","Март","Апрель","Май","Июнь","Июль","Август","Сентябрь","Октябрь","Ноябрь","Декабрь")&amp;" "&amp;YEAR(branches[[#This Row],[Дата]])</f>
        <v>Октябрь 2025</v>
      </c>
      <c r="E2745" t="s">
        <v>8</v>
      </c>
      <c r="F2745" t="s">
        <v>9</v>
      </c>
      <c r="G2745">
        <v>2</v>
      </c>
      <c r="H2745">
        <v>500</v>
      </c>
      <c r="I2745" t="s">
        <v>23</v>
      </c>
      <c r="J2745" t="str">
        <f>_xlfn.XLOOKUP(branches[[#This Row],[Филиал]], tbl_Filialy[Филиал], tbl_Filialy[Менеджер])</f>
        <v>Дмитрий Волков</v>
      </c>
    </row>
    <row r="2746" spans="1:10" x14ac:dyDescent="0.3">
      <c r="A2746" t="str">
        <f>_xlfn.XLOOKUP(branches[[#This Row],[Филиал]], tbl_Filialy[Филиал], tbl_Filialy[Город])</f>
        <v>Санкт-Петербург</v>
      </c>
      <c r="B2746" s="1" t="s">
        <v>38</v>
      </c>
      <c r="C2746" s="2">
        <v>45730</v>
      </c>
      <c r="D2746" s="2" t="str">
        <f>CHOOSE(MONTH(branches[[#This Row],[Дата]]),"Январь","Февраль","Март","Апрель","Май","Июнь","Июль","Август","Сентябрь","Октябрь","Ноябрь","Декабрь")&amp;" "&amp;YEAR(branches[[#This Row],[Дата]])</f>
        <v>Март 2025</v>
      </c>
      <c r="E2746" t="s">
        <v>27</v>
      </c>
      <c r="F2746" t="s">
        <v>12</v>
      </c>
      <c r="G2746">
        <v>1</v>
      </c>
      <c r="H2746">
        <v>180</v>
      </c>
      <c r="I2746" t="s">
        <v>23</v>
      </c>
      <c r="J2746" t="str">
        <f>_xlfn.XLOOKUP(branches[[#This Row],[Филиал]], tbl_Filialy[Филиал], tbl_Filialy[Менеджер])</f>
        <v>Дмитрий Волков</v>
      </c>
    </row>
    <row r="2747" spans="1:10" x14ac:dyDescent="0.3">
      <c r="A2747" t="str">
        <f>_xlfn.XLOOKUP(branches[[#This Row],[Филиал]], tbl_Filialy[Филиал], tbl_Filialy[Город])</f>
        <v>Санкт-Петербург</v>
      </c>
      <c r="B2747" s="1" t="s">
        <v>38</v>
      </c>
      <c r="C2747" s="2">
        <v>45812</v>
      </c>
      <c r="D2747" s="2" t="str">
        <f>CHOOSE(MONTH(branches[[#This Row],[Дата]]),"Январь","Февраль","Март","Апрель","Май","Июнь","Июль","Август","Сентябрь","Октябрь","Ноябрь","Декабрь")&amp;" "&amp;YEAR(branches[[#This Row],[Дата]])</f>
        <v>Июнь 2025</v>
      </c>
      <c r="E2747" t="s">
        <v>16</v>
      </c>
      <c r="F2747" t="s">
        <v>17</v>
      </c>
      <c r="G2747">
        <v>3</v>
      </c>
      <c r="H2747">
        <v>1065</v>
      </c>
      <c r="I2747" t="s">
        <v>15</v>
      </c>
      <c r="J2747" t="str">
        <f>_xlfn.XLOOKUP(branches[[#This Row],[Филиал]], tbl_Filialy[Филиал], tbl_Filialy[Менеджер])</f>
        <v>Дмитрий Волков</v>
      </c>
    </row>
    <row r="2748" spans="1:10" x14ac:dyDescent="0.3">
      <c r="A2748" t="str">
        <f>_xlfn.XLOOKUP(branches[[#This Row],[Филиал]], tbl_Filialy[Филиал], tbl_Filialy[Город])</f>
        <v>Санкт-Петербург</v>
      </c>
      <c r="B2748" s="1" t="s">
        <v>38</v>
      </c>
      <c r="C2748" s="2">
        <v>46008</v>
      </c>
      <c r="D2748" s="2" t="str">
        <f>CHOOSE(MONTH(branches[[#This Row],[Дата]]),"Январь","Февраль","Март","Апрель","Май","Июнь","Июль","Август","Сентябрь","Октябрь","Ноябрь","Декабрь")&amp;" "&amp;YEAR(branches[[#This Row],[Дата]])</f>
        <v>Декабрь 2025</v>
      </c>
      <c r="E2748" t="s">
        <v>26</v>
      </c>
      <c r="F2748" t="s">
        <v>9</v>
      </c>
      <c r="G2748">
        <v>1</v>
      </c>
      <c r="H2748">
        <v>205</v>
      </c>
      <c r="I2748" t="s">
        <v>13</v>
      </c>
      <c r="J2748" t="str">
        <f>_xlfn.XLOOKUP(branches[[#This Row],[Филиал]], tbl_Filialy[Филиал], tbl_Filialy[Менеджер])</f>
        <v>Дмитрий Волков</v>
      </c>
    </row>
    <row r="2749" spans="1:10" x14ac:dyDescent="0.3">
      <c r="A2749" t="str">
        <f>_xlfn.XLOOKUP(branches[[#This Row],[Филиал]], tbl_Filialy[Филиал], tbl_Filialy[Город])</f>
        <v>Санкт-Петербург</v>
      </c>
      <c r="B2749" s="1" t="s">
        <v>38</v>
      </c>
      <c r="C2749" s="2">
        <v>45677</v>
      </c>
      <c r="D2749" s="2" t="str">
        <f>CHOOSE(MONTH(branches[[#This Row],[Дата]]),"Январь","Февраль","Март","Апрель","Май","Июнь","Июль","Август","Сентябрь","Октябрь","Ноябрь","Декабрь")&amp;" "&amp;YEAR(branches[[#This Row],[Дата]])</f>
        <v>Январь 2025</v>
      </c>
      <c r="E2749" t="s">
        <v>18</v>
      </c>
      <c r="F2749" t="s">
        <v>12</v>
      </c>
      <c r="G2749">
        <v>2</v>
      </c>
      <c r="H2749">
        <v>320</v>
      </c>
      <c r="I2749" t="s">
        <v>23</v>
      </c>
      <c r="J2749" t="str">
        <f>_xlfn.XLOOKUP(branches[[#This Row],[Филиал]], tbl_Filialy[Филиал], tbl_Filialy[Менеджер])</f>
        <v>Дмитрий Волков</v>
      </c>
    </row>
    <row r="2750" spans="1:10" x14ac:dyDescent="0.3">
      <c r="A2750" t="str">
        <f>_xlfn.XLOOKUP(branches[[#This Row],[Филиал]], tbl_Filialy[Филиал], tbl_Filialy[Город])</f>
        <v>Санкт-Петербург</v>
      </c>
      <c r="B2750" s="1" t="s">
        <v>38</v>
      </c>
      <c r="C2750" s="2">
        <v>45887</v>
      </c>
      <c r="D2750" s="2" t="str">
        <f>CHOOSE(MONTH(branches[[#This Row],[Дата]]),"Январь","Февраль","Март","Апрель","Май","Июнь","Июль","Август","Сентябрь","Октябрь","Ноябрь","Декабрь")&amp;" "&amp;YEAR(branches[[#This Row],[Дата]])</f>
        <v>Август 2025</v>
      </c>
      <c r="E2750" t="s">
        <v>27</v>
      </c>
      <c r="F2750" t="s">
        <v>12</v>
      </c>
      <c r="G2750">
        <v>2</v>
      </c>
      <c r="H2750">
        <v>470</v>
      </c>
      <c r="I2750" t="s">
        <v>21</v>
      </c>
      <c r="J2750" t="str">
        <f>_xlfn.XLOOKUP(branches[[#This Row],[Филиал]], tbl_Filialy[Филиал], tbl_Filialy[Менеджер])</f>
        <v>Дмитрий Волков</v>
      </c>
    </row>
    <row r="2751" spans="1:10" x14ac:dyDescent="0.3">
      <c r="A2751" t="str">
        <f>_xlfn.XLOOKUP(branches[[#This Row],[Филиал]], tbl_Filialy[Филиал], tbl_Filialy[Город])</f>
        <v>Санкт-Петербург</v>
      </c>
      <c r="B2751" s="1" t="s">
        <v>38</v>
      </c>
      <c r="C2751" s="2">
        <v>45692</v>
      </c>
      <c r="D2751" s="2" t="str">
        <f>CHOOSE(MONTH(branches[[#This Row],[Дата]]),"Январь","Февраль","Март","Апрель","Май","Июнь","Июль","Август","Сентябрь","Октябрь","Ноябрь","Декабрь")&amp;" "&amp;YEAR(branches[[#This Row],[Дата]])</f>
        <v>Февраль 2025</v>
      </c>
      <c r="E2751" t="s">
        <v>22</v>
      </c>
      <c r="F2751" t="s">
        <v>9</v>
      </c>
      <c r="G2751">
        <v>1</v>
      </c>
      <c r="H2751">
        <v>168</v>
      </c>
      <c r="I2751" t="s">
        <v>23</v>
      </c>
      <c r="J2751" t="str">
        <f>_xlfn.XLOOKUP(branches[[#This Row],[Филиал]], tbl_Filialy[Филиал], tbl_Filialy[Менеджер])</f>
        <v>Дмитрий Волков</v>
      </c>
    </row>
    <row r="2752" spans="1:10" x14ac:dyDescent="0.3">
      <c r="A2752" t="str">
        <f>_xlfn.XLOOKUP(branches[[#This Row],[Филиал]], tbl_Filialy[Филиал], tbl_Filialy[Город])</f>
        <v>Санкт-Петербург</v>
      </c>
      <c r="B2752" s="1" t="s">
        <v>38</v>
      </c>
      <c r="C2752" s="2">
        <v>45882</v>
      </c>
      <c r="D2752" s="2" t="str">
        <f>CHOOSE(MONTH(branches[[#This Row],[Дата]]),"Январь","Февраль","Март","Апрель","Май","Июнь","Июль","Август","Сентябрь","Октябрь","Ноябрь","Декабрь")&amp;" "&amp;YEAR(branches[[#This Row],[Дата]])</f>
        <v>Август 2025</v>
      </c>
      <c r="E2752" t="s">
        <v>27</v>
      </c>
      <c r="F2752" t="s">
        <v>12</v>
      </c>
      <c r="G2752">
        <v>2</v>
      </c>
      <c r="H2752">
        <v>434</v>
      </c>
      <c r="I2752" t="s">
        <v>19</v>
      </c>
      <c r="J2752" t="str">
        <f>_xlfn.XLOOKUP(branches[[#This Row],[Филиал]], tbl_Filialy[Филиал], tbl_Filialy[Менеджер])</f>
        <v>Дмитрий Волков</v>
      </c>
    </row>
    <row r="2753" spans="1:10" x14ac:dyDescent="0.3">
      <c r="A2753" t="str">
        <f>_xlfn.XLOOKUP(branches[[#This Row],[Филиал]], tbl_Filialy[Филиал], tbl_Filialy[Город])</f>
        <v>Санкт-Петербург</v>
      </c>
      <c r="B2753" s="1" t="s">
        <v>38</v>
      </c>
      <c r="C2753" s="2">
        <v>45793</v>
      </c>
      <c r="D2753" s="2" t="str">
        <f>CHOOSE(MONTH(branches[[#This Row],[Дата]]),"Январь","Февраль","Март","Апрель","Май","Июнь","Июль","Август","Сентябрь","Октябрь","Ноябрь","Декабрь")&amp;" "&amp;YEAR(branches[[#This Row],[Дата]])</f>
        <v>Май 2025</v>
      </c>
      <c r="E2753" t="s">
        <v>28</v>
      </c>
      <c r="F2753" t="s">
        <v>12</v>
      </c>
      <c r="G2753">
        <v>2</v>
      </c>
      <c r="H2753">
        <v>484</v>
      </c>
      <c r="I2753" t="s">
        <v>21</v>
      </c>
      <c r="J2753" t="str">
        <f>_xlfn.XLOOKUP(branches[[#This Row],[Филиал]], tbl_Filialy[Филиал], tbl_Filialy[Менеджер])</f>
        <v>Дмитрий Волков</v>
      </c>
    </row>
    <row r="2754" spans="1:10" x14ac:dyDescent="0.3">
      <c r="A2754" t="str">
        <f>_xlfn.XLOOKUP(branches[[#This Row],[Филиал]], tbl_Filialy[Филиал], tbl_Filialy[Город])</f>
        <v>Санкт-Петербург</v>
      </c>
      <c r="B2754" s="1" t="s">
        <v>38</v>
      </c>
      <c r="C2754" s="2">
        <v>45864</v>
      </c>
      <c r="D2754" s="2" t="str">
        <f>CHOOSE(MONTH(branches[[#This Row],[Дата]]),"Январь","Февраль","Март","Апрель","Май","Июнь","Июль","Август","Сентябрь","Октябрь","Ноябрь","Декабрь")&amp;" "&amp;YEAR(branches[[#This Row],[Дата]])</f>
        <v>Июль 2025</v>
      </c>
      <c r="E2754" t="s">
        <v>11</v>
      </c>
      <c r="F2754" t="s">
        <v>12</v>
      </c>
      <c r="G2754">
        <v>3</v>
      </c>
      <c r="H2754">
        <v>510</v>
      </c>
      <c r="I2754" t="s">
        <v>19</v>
      </c>
      <c r="J2754" t="str">
        <f>_xlfn.XLOOKUP(branches[[#This Row],[Филиал]], tbl_Filialy[Филиал], tbl_Filialy[Менеджер])</f>
        <v>Дмитрий Волков</v>
      </c>
    </row>
    <row r="2755" spans="1:10" x14ac:dyDescent="0.3">
      <c r="A2755" t="str">
        <f>_xlfn.XLOOKUP(branches[[#This Row],[Филиал]], tbl_Filialy[Филиал], tbl_Filialy[Город])</f>
        <v>Санкт-Петербург</v>
      </c>
      <c r="B2755" s="1" t="s">
        <v>38</v>
      </c>
      <c r="C2755" s="2">
        <v>45774</v>
      </c>
      <c r="D2755" s="2" t="str">
        <f>CHOOSE(MONTH(branches[[#This Row],[Дата]]),"Январь","Февраль","Март","Апрель","Май","Июнь","Июль","Август","Сентябрь","Октябрь","Ноябрь","Декабрь")&amp;" "&amp;YEAR(branches[[#This Row],[Дата]])</f>
        <v>Апрель 2025</v>
      </c>
      <c r="E2755" t="s">
        <v>26</v>
      </c>
      <c r="F2755" t="s">
        <v>9</v>
      </c>
      <c r="G2755">
        <v>3</v>
      </c>
      <c r="H2755">
        <v>663</v>
      </c>
      <c r="I2755" t="s">
        <v>21</v>
      </c>
      <c r="J2755" t="str">
        <f>_xlfn.XLOOKUP(branches[[#This Row],[Филиал]], tbl_Filialy[Филиал], tbl_Filialy[Менеджер])</f>
        <v>Дмитрий Волков</v>
      </c>
    </row>
    <row r="2756" spans="1:10" x14ac:dyDescent="0.3">
      <c r="A2756" t="str">
        <f>_xlfn.XLOOKUP(branches[[#This Row],[Филиал]], tbl_Filialy[Филиал], tbl_Filialy[Город])</f>
        <v>Санкт-Петербург</v>
      </c>
      <c r="B2756" s="1" t="s">
        <v>38</v>
      </c>
      <c r="C2756" s="2">
        <v>45689</v>
      </c>
      <c r="D2756" s="2" t="str">
        <f>CHOOSE(MONTH(branches[[#This Row],[Дата]]),"Январь","Февраль","Март","Апрель","Май","Июнь","Июль","Август","Сентябрь","Октябрь","Ноябрь","Декабрь")&amp;" "&amp;YEAR(branches[[#This Row],[Дата]])</f>
        <v>Февраль 2025</v>
      </c>
      <c r="E2756" t="s">
        <v>27</v>
      </c>
      <c r="F2756" t="s">
        <v>12</v>
      </c>
      <c r="G2756">
        <v>2</v>
      </c>
      <c r="H2756">
        <v>420</v>
      </c>
      <c r="I2756" t="s">
        <v>10</v>
      </c>
      <c r="J2756" t="str">
        <f>_xlfn.XLOOKUP(branches[[#This Row],[Филиал]], tbl_Filialy[Филиал], tbl_Filialy[Менеджер])</f>
        <v>Дмитрий Волков</v>
      </c>
    </row>
    <row r="2757" spans="1:10" x14ac:dyDescent="0.3">
      <c r="A2757" t="str">
        <f>_xlfn.XLOOKUP(branches[[#This Row],[Филиал]], tbl_Filialy[Филиал], tbl_Filialy[Город])</f>
        <v>Санкт-Петербург</v>
      </c>
      <c r="B2757" s="1" t="s">
        <v>38</v>
      </c>
      <c r="C2757" s="2">
        <v>45674</v>
      </c>
      <c r="D2757" s="2" t="str">
        <f>CHOOSE(MONTH(branches[[#This Row],[Дата]]),"Январь","Февраль","Март","Апрель","Май","Июнь","Июль","Август","Сентябрь","Октябрь","Ноябрь","Декабрь")&amp;" "&amp;YEAR(branches[[#This Row],[Дата]])</f>
        <v>Январь 2025</v>
      </c>
      <c r="E2757" t="s">
        <v>14</v>
      </c>
      <c r="F2757" t="s">
        <v>12</v>
      </c>
      <c r="G2757">
        <v>3</v>
      </c>
      <c r="H2757">
        <v>825</v>
      </c>
      <c r="I2757" t="s">
        <v>15</v>
      </c>
      <c r="J2757" t="str">
        <f>_xlfn.XLOOKUP(branches[[#This Row],[Филиал]], tbl_Filialy[Филиал], tbl_Filialy[Менеджер])</f>
        <v>Дмитрий Волков</v>
      </c>
    </row>
    <row r="2758" spans="1:10" x14ac:dyDescent="0.3">
      <c r="A2758" t="str">
        <f>_xlfn.XLOOKUP(branches[[#This Row],[Филиал]], tbl_Filialy[Филиал], tbl_Filialy[Город])</f>
        <v>Санкт-Петербург</v>
      </c>
      <c r="B2758" s="1" t="s">
        <v>38</v>
      </c>
      <c r="C2758" s="2">
        <v>46018</v>
      </c>
      <c r="D2758" s="2" t="str">
        <f>CHOOSE(MONTH(branches[[#This Row],[Дата]]),"Январь","Февраль","Март","Апрель","Май","Июнь","Июль","Август","Сентябрь","Октябрь","Ноябрь","Декабрь")&amp;" "&amp;YEAR(branches[[#This Row],[Дата]])</f>
        <v>Декабрь 2025</v>
      </c>
      <c r="E2758" t="s">
        <v>16</v>
      </c>
      <c r="F2758" t="s">
        <v>17</v>
      </c>
      <c r="G2758">
        <v>1</v>
      </c>
      <c r="H2758">
        <v>285</v>
      </c>
      <c r="I2758" t="s">
        <v>21</v>
      </c>
      <c r="J2758" t="str">
        <f>_xlfn.XLOOKUP(branches[[#This Row],[Филиал]], tbl_Filialy[Филиал], tbl_Filialy[Менеджер])</f>
        <v>Дмитрий Волков</v>
      </c>
    </row>
    <row r="2759" spans="1:10" x14ac:dyDescent="0.3">
      <c r="A2759" t="str">
        <f>_xlfn.XLOOKUP(branches[[#This Row],[Филиал]], tbl_Filialy[Филиал], tbl_Filialy[Город])</f>
        <v>Санкт-Петербург</v>
      </c>
      <c r="B2759" s="1" t="s">
        <v>38</v>
      </c>
      <c r="C2759" s="2">
        <v>46014</v>
      </c>
      <c r="D2759" s="2" t="str">
        <f>CHOOSE(MONTH(branches[[#This Row],[Дата]]),"Январь","Февраль","Март","Апрель","Май","Июнь","Июль","Август","Сентябрь","Октябрь","Ноябрь","Декабрь")&amp;" "&amp;YEAR(branches[[#This Row],[Дата]])</f>
        <v>Декабрь 2025</v>
      </c>
      <c r="E2759" t="s">
        <v>20</v>
      </c>
      <c r="F2759" t="s">
        <v>12</v>
      </c>
      <c r="G2759">
        <v>3</v>
      </c>
      <c r="H2759">
        <v>909</v>
      </c>
      <c r="I2759" t="s">
        <v>13</v>
      </c>
      <c r="J2759" t="str">
        <f>_xlfn.XLOOKUP(branches[[#This Row],[Филиал]], tbl_Filialy[Филиал], tbl_Filialy[Менеджер])</f>
        <v>Дмитрий Волков</v>
      </c>
    </row>
    <row r="2760" spans="1:10" x14ac:dyDescent="0.3">
      <c r="A2760" t="str">
        <f>_xlfn.XLOOKUP(branches[[#This Row],[Филиал]], tbl_Filialy[Филиал], tbl_Filialy[Город])</f>
        <v>Санкт-Петербург</v>
      </c>
      <c r="B2760" s="1" t="s">
        <v>38</v>
      </c>
      <c r="C2760" s="2">
        <v>45841</v>
      </c>
      <c r="D2760" s="2" t="str">
        <f>CHOOSE(MONTH(branches[[#This Row],[Дата]]),"Январь","Февраль","Март","Апрель","Май","Июнь","Июль","Август","Сентябрь","Октябрь","Ноябрь","Декабрь")&amp;" "&amp;YEAR(branches[[#This Row],[Дата]])</f>
        <v>Июль 2025</v>
      </c>
      <c r="E2760" t="s">
        <v>18</v>
      </c>
      <c r="F2760" t="s">
        <v>12</v>
      </c>
      <c r="G2760">
        <v>1</v>
      </c>
      <c r="H2760">
        <v>152</v>
      </c>
      <c r="I2760" t="s">
        <v>23</v>
      </c>
      <c r="J2760" t="str">
        <f>_xlfn.XLOOKUP(branches[[#This Row],[Филиал]], tbl_Filialy[Филиал], tbl_Filialy[Менеджер])</f>
        <v>Дмитрий Волков</v>
      </c>
    </row>
    <row r="2761" spans="1:10" x14ac:dyDescent="0.3">
      <c r="A2761" t="str">
        <f>_xlfn.XLOOKUP(branches[[#This Row],[Филиал]], tbl_Filialy[Филиал], tbl_Filialy[Город])</f>
        <v>Санкт-Петербург</v>
      </c>
      <c r="B2761" s="1" t="s">
        <v>38</v>
      </c>
      <c r="C2761" s="2">
        <v>46009</v>
      </c>
      <c r="D2761" s="2" t="str">
        <f>CHOOSE(MONTH(branches[[#This Row],[Дата]]),"Январь","Февраль","Март","Апрель","Май","Июнь","Июль","Август","Сентябрь","Октябрь","Ноябрь","Декабрь")&amp;" "&amp;YEAR(branches[[#This Row],[Дата]])</f>
        <v>Декабрь 2025</v>
      </c>
      <c r="E2761" t="s">
        <v>22</v>
      </c>
      <c r="F2761" t="s">
        <v>9</v>
      </c>
      <c r="G2761">
        <v>2</v>
      </c>
      <c r="H2761">
        <v>326</v>
      </c>
      <c r="I2761" t="s">
        <v>15</v>
      </c>
      <c r="J2761" t="str">
        <f>_xlfn.XLOOKUP(branches[[#This Row],[Филиал]], tbl_Filialy[Филиал], tbl_Filialy[Менеджер])</f>
        <v>Дмитрий Волков</v>
      </c>
    </row>
    <row r="2762" spans="1:10" x14ac:dyDescent="0.3">
      <c r="A2762" t="str">
        <f>_xlfn.XLOOKUP(branches[[#This Row],[Филиал]], tbl_Filialy[Филиал], tbl_Filialy[Город])</f>
        <v>Санкт-Петербург</v>
      </c>
      <c r="B2762" s="1" t="s">
        <v>38</v>
      </c>
      <c r="C2762" s="2">
        <v>45992</v>
      </c>
      <c r="D2762" s="2" t="str">
        <f>CHOOSE(MONTH(branches[[#This Row],[Дата]]),"Январь","Февраль","Март","Апрель","Май","Июнь","Июль","Август","Сентябрь","Октябрь","Ноябрь","Декабрь")&amp;" "&amp;YEAR(branches[[#This Row],[Дата]])</f>
        <v>Декабрь 2025</v>
      </c>
      <c r="E2762" t="s">
        <v>22</v>
      </c>
      <c r="F2762" t="s">
        <v>9</v>
      </c>
      <c r="G2762">
        <v>3</v>
      </c>
      <c r="H2762">
        <v>516</v>
      </c>
      <c r="I2762" t="s">
        <v>13</v>
      </c>
      <c r="J2762" t="str">
        <f>_xlfn.XLOOKUP(branches[[#This Row],[Филиал]], tbl_Filialy[Филиал], tbl_Filialy[Менеджер])</f>
        <v>Дмитрий Волков</v>
      </c>
    </row>
    <row r="2763" spans="1:10" x14ac:dyDescent="0.3">
      <c r="A2763" t="str">
        <f>_xlfn.XLOOKUP(branches[[#This Row],[Филиал]], tbl_Filialy[Филиал], tbl_Filialy[Город])</f>
        <v>Санкт-Петербург</v>
      </c>
      <c r="B2763" s="1" t="s">
        <v>38</v>
      </c>
      <c r="C2763" s="2">
        <v>46001</v>
      </c>
      <c r="D2763" s="2" t="str">
        <f>CHOOSE(MONTH(branches[[#This Row],[Дата]]),"Январь","Февраль","Март","Апрель","Май","Июнь","Июль","Август","Сентябрь","Октябрь","Ноябрь","Декабрь")&amp;" "&amp;YEAR(branches[[#This Row],[Дата]])</f>
        <v>Декабрь 2025</v>
      </c>
      <c r="E2763" t="s">
        <v>27</v>
      </c>
      <c r="F2763" t="s">
        <v>12</v>
      </c>
      <c r="G2763">
        <v>2</v>
      </c>
      <c r="H2763">
        <v>376</v>
      </c>
      <c r="I2763" t="s">
        <v>23</v>
      </c>
      <c r="J2763" t="str">
        <f>_xlfn.XLOOKUP(branches[[#This Row],[Филиал]], tbl_Filialy[Филиал], tbl_Filialy[Менеджер])</f>
        <v>Дмитрий Волков</v>
      </c>
    </row>
    <row r="2764" spans="1:10" x14ac:dyDescent="0.3">
      <c r="A2764" t="str">
        <f>_xlfn.XLOOKUP(branches[[#This Row],[Филиал]], tbl_Filialy[Филиал], tbl_Filialy[Город])</f>
        <v>Санкт-Петербург</v>
      </c>
      <c r="B2764" s="1" t="s">
        <v>38</v>
      </c>
      <c r="C2764" s="2">
        <v>45980</v>
      </c>
      <c r="D2764" s="2" t="str">
        <f>CHOOSE(MONTH(branches[[#This Row],[Дата]]),"Январь","Февраль","Март","Апрель","Май","Июнь","Июль","Август","Сентябрь","Октябрь","Ноябрь","Декабрь")&amp;" "&amp;YEAR(branches[[#This Row],[Дата]])</f>
        <v>Ноябрь 2025</v>
      </c>
      <c r="E2764" t="s">
        <v>24</v>
      </c>
      <c r="F2764" t="s">
        <v>17</v>
      </c>
      <c r="G2764">
        <v>2</v>
      </c>
      <c r="H2764">
        <v>714</v>
      </c>
      <c r="I2764" t="s">
        <v>19</v>
      </c>
      <c r="J2764" t="str">
        <f>_xlfn.XLOOKUP(branches[[#This Row],[Филиал]], tbl_Filialy[Филиал], tbl_Filialy[Менеджер])</f>
        <v>Дмитрий Волков</v>
      </c>
    </row>
    <row r="2765" spans="1:10" x14ac:dyDescent="0.3">
      <c r="A2765" t="str">
        <f>_xlfn.XLOOKUP(branches[[#This Row],[Филиал]], tbl_Filialy[Филиал], tbl_Filialy[Город])</f>
        <v>Санкт-Петербург</v>
      </c>
      <c r="B2765" s="1" t="s">
        <v>38</v>
      </c>
      <c r="C2765" s="2">
        <v>45751</v>
      </c>
      <c r="D2765" s="2" t="str">
        <f>CHOOSE(MONTH(branches[[#This Row],[Дата]]),"Январь","Февраль","Март","Апрель","Май","Июнь","Июль","Август","Сентябрь","Октябрь","Ноябрь","Декабрь")&amp;" "&amp;YEAR(branches[[#This Row],[Дата]])</f>
        <v>Апрель 2025</v>
      </c>
      <c r="E2765" t="s">
        <v>26</v>
      </c>
      <c r="F2765" t="s">
        <v>9</v>
      </c>
      <c r="G2765">
        <v>2</v>
      </c>
      <c r="H2765">
        <v>444</v>
      </c>
      <c r="I2765" t="s">
        <v>23</v>
      </c>
      <c r="J2765" t="str">
        <f>_xlfn.XLOOKUP(branches[[#This Row],[Филиал]], tbl_Filialy[Филиал], tbl_Filialy[Менеджер])</f>
        <v>Дмитрий Волков</v>
      </c>
    </row>
    <row r="2766" spans="1:10" x14ac:dyDescent="0.3">
      <c r="A2766" t="str">
        <f>_xlfn.XLOOKUP(branches[[#This Row],[Филиал]], tbl_Filialy[Филиал], tbl_Filialy[Город])</f>
        <v>Санкт-Петербург</v>
      </c>
      <c r="B2766" s="1" t="s">
        <v>38</v>
      </c>
      <c r="C2766" s="2">
        <v>45797</v>
      </c>
      <c r="D2766" s="2" t="str">
        <f>CHOOSE(MONTH(branches[[#This Row],[Дата]]),"Январь","Февраль","Март","Апрель","Май","Июнь","Июль","Август","Сентябрь","Октябрь","Ноябрь","Декабрь")&amp;" "&amp;YEAR(branches[[#This Row],[Дата]])</f>
        <v>Май 2025</v>
      </c>
      <c r="E2766" t="s">
        <v>16</v>
      </c>
      <c r="F2766" t="s">
        <v>17</v>
      </c>
      <c r="G2766">
        <v>1</v>
      </c>
      <c r="H2766">
        <v>348</v>
      </c>
      <c r="I2766" t="s">
        <v>23</v>
      </c>
      <c r="J2766" t="str">
        <f>_xlfn.XLOOKUP(branches[[#This Row],[Филиал]], tbl_Filialy[Филиал], tbl_Filialy[Менеджер])</f>
        <v>Дмитрий Волков</v>
      </c>
    </row>
    <row r="2767" spans="1:10" x14ac:dyDescent="0.3">
      <c r="A2767" t="str">
        <f>_xlfn.XLOOKUP(branches[[#This Row],[Филиал]], tbl_Filialy[Филиал], tbl_Filialy[Город])</f>
        <v>Санкт-Петербург</v>
      </c>
      <c r="B2767" s="1" t="s">
        <v>38</v>
      </c>
      <c r="C2767" s="2">
        <v>45708</v>
      </c>
      <c r="D2767" s="2" t="str">
        <f>CHOOSE(MONTH(branches[[#This Row],[Дата]]),"Январь","Февраль","Март","Апрель","Май","Июнь","Июль","Август","Сентябрь","Октябрь","Ноябрь","Декабрь")&amp;" "&amp;YEAR(branches[[#This Row],[Дата]])</f>
        <v>Февраль 2025</v>
      </c>
      <c r="E2767" t="s">
        <v>22</v>
      </c>
      <c r="F2767" t="s">
        <v>9</v>
      </c>
      <c r="G2767">
        <v>1</v>
      </c>
      <c r="H2767">
        <v>162</v>
      </c>
      <c r="I2767" t="s">
        <v>19</v>
      </c>
      <c r="J2767" t="str">
        <f>_xlfn.XLOOKUP(branches[[#This Row],[Филиал]], tbl_Filialy[Филиал], tbl_Filialy[Менеджер])</f>
        <v>Дмитрий Волков</v>
      </c>
    </row>
    <row r="2768" spans="1:10" x14ac:dyDescent="0.3">
      <c r="A2768" t="str">
        <f>_xlfn.XLOOKUP(branches[[#This Row],[Филиал]], tbl_Filialy[Филиал], tbl_Filialy[Город])</f>
        <v>Санкт-Петербург</v>
      </c>
      <c r="B2768" s="1" t="s">
        <v>38</v>
      </c>
      <c r="C2768" s="2">
        <v>45773</v>
      </c>
      <c r="D2768" s="2" t="str">
        <f>CHOOSE(MONTH(branches[[#This Row],[Дата]]),"Январь","Февраль","Март","Апрель","Май","Июнь","Июль","Август","Сентябрь","Октябрь","Ноябрь","Декабрь")&amp;" "&amp;YEAR(branches[[#This Row],[Дата]])</f>
        <v>Апрель 2025</v>
      </c>
      <c r="E2768" t="s">
        <v>24</v>
      </c>
      <c r="F2768" t="s">
        <v>17</v>
      </c>
      <c r="G2768">
        <v>1</v>
      </c>
      <c r="H2768">
        <v>388</v>
      </c>
      <c r="I2768" t="s">
        <v>10</v>
      </c>
      <c r="J2768" t="str">
        <f>_xlfn.XLOOKUP(branches[[#This Row],[Филиал]], tbl_Filialy[Филиал], tbl_Filialy[Менеджер])</f>
        <v>Дмитрий Волков</v>
      </c>
    </row>
    <row r="2769" spans="1:10" x14ac:dyDescent="0.3">
      <c r="A2769" t="str">
        <f>_xlfn.XLOOKUP(branches[[#This Row],[Филиал]], tbl_Filialy[Филиал], tbl_Filialy[Город])</f>
        <v>Санкт-Петербург</v>
      </c>
      <c r="B2769" s="1" t="s">
        <v>38</v>
      </c>
      <c r="C2769" s="2">
        <v>45779</v>
      </c>
      <c r="D2769" s="2" t="str">
        <f>CHOOSE(MONTH(branches[[#This Row],[Дата]]),"Январь","Февраль","Март","Апрель","Май","Июнь","Июль","Август","Сентябрь","Октябрь","Ноябрь","Декабрь")&amp;" "&amp;YEAR(branches[[#This Row],[Дата]])</f>
        <v>Май 2025</v>
      </c>
      <c r="E2769" t="s">
        <v>11</v>
      </c>
      <c r="F2769" t="s">
        <v>12</v>
      </c>
      <c r="G2769">
        <v>3</v>
      </c>
      <c r="H2769">
        <v>573</v>
      </c>
      <c r="I2769" t="s">
        <v>21</v>
      </c>
      <c r="J2769" t="str">
        <f>_xlfn.XLOOKUP(branches[[#This Row],[Филиал]], tbl_Filialy[Филиал], tbl_Filialy[Менеджер])</f>
        <v>Дмитрий Волков</v>
      </c>
    </row>
    <row r="2770" spans="1:10" x14ac:dyDescent="0.3">
      <c r="A2770" t="str">
        <f>_xlfn.XLOOKUP(branches[[#This Row],[Филиал]], tbl_Filialy[Филиал], tbl_Filialy[Город])</f>
        <v>Санкт-Петербург</v>
      </c>
      <c r="B2770" s="1" t="s">
        <v>38</v>
      </c>
      <c r="C2770" s="2">
        <v>45973</v>
      </c>
      <c r="D2770" s="2" t="str">
        <f>CHOOSE(MONTH(branches[[#This Row],[Дата]]),"Январь","Февраль","Март","Апрель","Май","Июнь","Июль","Август","Сентябрь","Октябрь","Ноябрь","Декабрь")&amp;" "&amp;YEAR(branches[[#This Row],[Дата]])</f>
        <v>Ноябрь 2025</v>
      </c>
      <c r="E2770" t="s">
        <v>20</v>
      </c>
      <c r="F2770" t="s">
        <v>12</v>
      </c>
      <c r="G2770">
        <v>1</v>
      </c>
      <c r="H2770">
        <v>277</v>
      </c>
      <c r="I2770" t="s">
        <v>23</v>
      </c>
      <c r="J2770" t="str">
        <f>_xlfn.XLOOKUP(branches[[#This Row],[Филиал]], tbl_Filialy[Филиал], tbl_Filialy[Менеджер])</f>
        <v>Дмитрий Волков</v>
      </c>
    </row>
    <row r="2771" spans="1:10" x14ac:dyDescent="0.3">
      <c r="A2771" t="str">
        <f>_xlfn.XLOOKUP(branches[[#This Row],[Филиал]], tbl_Filialy[Филиал], tbl_Filialy[Город])</f>
        <v>Санкт-Петербург</v>
      </c>
      <c r="B2771" s="1" t="s">
        <v>38</v>
      </c>
      <c r="C2771" s="2">
        <v>45668</v>
      </c>
      <c r="D2771" s="2" t="str">
        <f>CHOOSE(MONTH(branches[[#This Row],[Дата]]),"Январь","Февраль","Март","Апрель","Май","Июнь","Июль","Август","Сентябрь","Октябрь","Ноябрь","Декабрь")&amp;" "&amp;YEAR(branches[[#This Row],[Дата]])</f>
        <v>Январь 2025</v>
      </c>
      <c r="E2771" t="s">
        <v>16</v>
      </c>
      <c r="F2771" t="s">
        <v>17</v>
      </c>
      <c r="G2771">
        <v>3</v>
      </c>
      <c r="H2771">
        <v>843</v>
      </c>
      <c r="I2771" t="s">
        <v>23</v>
      </c>
      <c r="J2771" t="str">
        <f>_xlfn.XLOOKUP(branches[[#This Row],[Филиал]], tbl_Filialy[Филиал], tbl_Filialy[Менеджер])</f>
        <v>Дмитрий Волков</v>
      </c>
    </row>
    <row r="2772" spans="1:10" x14ac:dyDescent="0.3">
      <c r="A2772" t="str">
        <f>_xlfn.XLOOKUP(branches[[#This Row],[Филиал]], tbl_Filialy[Филиал], tbl_Filialy[Город])</f>
        <v>Санкт-Петербург</v>
      </c>
      <c r="B2772" s="1" t="s">
        <v>38</v>
      </c>
      <c r="C2772" s="2">
        <v>45738</v>
      </c>
      <c r="D2772" s="2" t="str">
        <f>CHOOSE(MONTH(branches[[#This Row],[Дата]]),"Январь","Февраль","Март","Апрель","Май","Июнь","Июль","Август","Сентябрь","Октябрь","Ноябрь","Декабрь")&amp;" "&amp;YEAR(branches[[#This Row],[Дата]])</f>
        <v>Март 2025</v>
      </c>
      <c r="E2772" t="s">
        <v>8</v>
      </c>
      <c r="F2772" t="s">
        <v>9</v>
      </c>
      <c r="G2772">
        <v>2</v>
      </c>
      <c r="H2772">
        <v>508</v>
      </c>
      <c r="I2772" t="s">
        <v>15</v>
      </c>
      <c r="J2772" t="str">
        <f>_xlfn.XLOOKUP(branches[[#This Row],[Филиал]], tbl_Filialy[Филиал], tbl_Filialy[Менеджер])</f>
        <v>Дмитрий Волков</v>
      </c>
    </row>
    <row r="2773" spans="1:10" x14ac:dyDescent="0.3">
      <c r="A2773" t="str">
        <f>_xlfn.XLOOKUP(branches[[#This Row],[Филиал]], tbl_Filialy[Филиал], tbl_Filialy[Город])</f>
        <v>Санкт-Петербург</v>
      </c>
      <c r="B2773" s="1" t="s">
        <v>38</v>
      </c>
      <c r="C2773" s="2">
        <v>45989</v>
      </c>
      <c r="D2773" s="2" t="str">
        <f>CHOOSE(MONTH(branches[[#This Row],[Дата]]),"Январь","Февраль","Март","Апрель","Май","Июнь","Июль","Август","Сентябрь","Октябрь","Ноябрь","Декабрь")&amp;" "&amp;YEAR(branches[[#This Row],[Дата]])</f>
        <v>Ноябрь 2025</v>
      </c>
      <c r="E2773" t="s">
        <v>14</v>
      </c>
      <c r="F2773" t="s">
        <v>12</v>
      </c>
      <c r="G2773">
        <v>2</v>
      </c>
      <c r="H2773">
        <v>558</v>
      </c>
      <c r="I2773" t="s">
        <v>10</v>
      </c>
      <c r="J2773" t="str">
        <f>_xlfn.XLOOKUP(branches[[#This Row],[Филиал]], tbl_Filialy[Филиал], tbl_Filialy[Менеджер])</f>
        <v>Дмитрий Волков</v>
      </c>
    </row>
    <row r="2774" spans="1:10" x14ac:dyDescent="0.3">
      <c r="A2774" t="str">
        <f>_xlfn.XLOOKUP(branches[[#This Row],[Филиал]], tbl_Filialy[Филиал], tbl_Filialy[Город])</f>
        <v>Санкт-Петербург</v>
      </c>
      <c r="B2774" s="1" t="s">
        <v>38</v>
      </c>
      <c r="C2774" s="2">
        <v>46015</v>
      </c>
      <c r="D2774" s="2" t="str">
        <f>CHOOSE(MONTH(branches[[#This Row],[Дата]]),"Январь","Февраль","Март","Апрель","Май","Июнь","Июль","Август","Сентябрь","Октябрь","Ноябрь","Декабрь")&amp;" "&amp;YEAR(branches[[#This Row],[Дата]])</f>
        <v>Декабрь 2025</v>
      </c>
      <c r="E2774" t="s">
        <v>18</v>
      </c>
      <c r="F2774" t="s">
        <v>12</v>
      </c>
      <c r="G2774">
        <v>3</v>
      </c>
      <c r="H2774">
        <v>372</v>
      </c>
      <c r="I2774" t="s">
        <v>10</v>
      </c>
      <c r="J2774" t="str">
        <f>_xlfn.XLOOKUP(branches[[#This Row],[Филиал]], tbl_Filialy[Филиал], tbl_Filialy[Менеджер])</f>
        <v>Дмитрий Волков</v>
      </c>
    </row>
    <row r="2775" spans="1:10" x14ac:dyDescent="0.3">
      <c r="A2775" t="str">
        <f>_xlfn.XLOOKUP(branches[[#This Row],[Филиал]], tbl_Filialy[Филиал], tbl_Filialy[Город])</f>
        <v>Санкт-Петербург</v>
      </c>
      <c r="B2775" s="1" t="s">
        <v>38</v>
      </c>
      <c r="C2775" s="2">
        <v>45958</v>
      </c>
      <c r="D2775" s="2" t="str">
        <f>CHOOSE(MONTH(branches[[#This Row],[Дата]]),"Январь","Февраль","Март","Апрель","Май","Июнь","Июль","Август","Сентябрь","Октябрь","Ноябрь","Декабрь")&amp;" "&amp;YEAR(branches[[#This Row],[Дата]])</f>
        <v>Октябрь 2025</v>
      </c>
      <c r="E2775" t="s">
        <v>25</v>
      </c>
      <c r="F2775" t="s">
        <v>12</v>
      </c>
      <c r="G2775">
        <v>2</v>
      </c>
      <c r="H2775">
        <v>406</v>
      </c>
      <c r="I2775" t="s">
        <v>13</v>
      </c>
      <c r="J2775" t="str">
        <f>_xlfn.XLOOKUP(branches[[#This Row],[Филиал]], tbl_Filialy[Филиал], tbl_Filialy[Менеджер])</f>
        <v>Дмитрий Волков</v>
      </c>
    </row>
    <row r="2776" spans="1:10" x14ac:dyDescent="0.3">
      <c r="A2776" t="str">
        <f>_xlfn.XLOOKUP(branches[[#This Row],[Филиал]], tbl_Filialy[Филиал], tbl_Filialy[Город])</f>
        <v>Санкт-Петербург</v>
      </c>
      <c r="B2776" s="1" t="s">
        <v>38</v>
      </c>
      <c r="C2776" s="2">
        <v>46012</v>
      </c>
      <c r="D2776" s="2" t="str">
        <f>CHOOSE(MONTH(branches[[#This Row],[Дата]]),"Январь","Февраль","Март","Апрель","Май","Июнь","Июль","Август","Сентябрь","Октябрь","Ноябрь","Декабрь")&amp;" "&amp;YEAR(branches[[#This Row],[Дата]])</f>
        <v>Декабрь 2025</v>
      </c>
      <c r="E2776" t="s">
        <v>18</v>
      </c>
      <c r="F2776" t="s">
        <v>12</v>
      </c>
      <c r="G2776">
        <v>1</v>
      </c>
      <c r="H2776">
        <v>135</v>
      </c>
      <c r="I2776" t="s">
        <v>15</v>
      </c>
      <c r="J2776" t="str">
        <f>_xlfn.XLOOKUP(branches[[#This Row],[Филиал]], tbl_Filialy[Филиал], tbl_Filialy[Менеджер])</f>
        <v>Дмитрий Волков</v>
      </c>
    </row>
    <row r="2777" spans="1:10" x14ac:dyDescent="0.3">
      <c r="A2777" t="str">
        <f>_xlfn.XLOOKUP(branches[[#This Row],[Филиал]], tbl_Filialy[Филиал], tbl_Filialy[Город])</f>
        <v>Санкт-Петербург</v>
      </c>
      <c r="B2777" s="1" t="s">
        <v>38</v>
      </c>
      <c r="C2777" s="2">
        <v>45921</v>
      </c>
      <c r="D2777" s="2" t="str">
        <f>CHOOSE(MONTH(branches[[#This Row],[Дата]]),"Январь","Февраль","Март","Апрель","Май","Июнь","Июль","Август","Сентябрь","Октябрь","Ноябрь","Декабрь")&amp;" "&amp;YEAR(branches[[#This Row],[Дата]])</f>
        <v>Сентябрь 2025</v>
      </c>
      <c r="E2777" t="s">
        <v>25</v>
      </c>
      <c r="F2777" t="s">
        <v>12</v>
      </c>
      <c r="G2777">
        <v>2</v>
      </c>
      <c r="H2777">
        <v>462</v>
      </c>
      <c r="I2777" t="s">
        <v>23</v>
      </c>
      <c r="J2777" t="str">
        <f>_xlfn.XLOOKUP(branches[[#This Row],[Филиал]], tbl_Filialy[Филиал], tbl_Filialy[Менеджер])</f>
        <v>Дмитрий Волков</v>
      </c>
    </row>
    <row r="2778" spans="1:10" x14ac:dyDescent="0.3">
      <c r="A2778" t="str">
        <f>_xlfn.XLOOKUP(branches[[#This Row],[Филиал]], tbl_Filialy[Филиал], tbl_Filialy[Город])</f>
        <v>Санкт-Петербург</v>
      </c>
      <c r="B2778" s="1" t="s">
        <v>38</v>
      </c>
      <c r="C2778" s="2">
        <v>45798</v>
      </c>
      <c r="D2778" s="2" t="str">
        <f>CHOOSE(MONTH(branches[[#This Row],[Дата]]),"Январь","Февраль","Март","Апрель","Май","Июнь","Июль","Август","Сентябрь","Октябрь","Ноябрь","Декабрь")&amp;" "&amp;YEAR(branches[[#This Row],[Дата]])</f>
        <v>Май 2025</v>
      </c>
      <c r="E2778" t="s">
        <v>24</v>
      </c>
      <c r="F2778" t="s">
        <v>17</v>
      </c>
      <c r="G2778">
        <v>2</v>
      </c>
      <c r="H2778">
        <v>776</v>
      </c>
      <c r="I2778" t="s">
        <v>21</v>
      </c>
      <c r="J2778" t="str">
        <f>_xlfn.XLOOKUP(branches[[#This Row],[Филиал]], tbl_Filialy[Филиал], tbl_Filialy[Менеджер])</f>
        <v>Дмитрий Волков</v>
      </c>
    </row>
    <row r="2779" spans="1:10" x14ac:dyDescent="0.3">
      <c r="A2779" t="str">
        <f>_xlfn.XLOOKUP(branches[[#This Row],[Филиал]], tbl_Filialy[Филиал], tbl_Filialy[Город])</f>
        <v>Санкт-Петербург</v>
      </c>
      <c r="B2779" s="1" t="s">
        <v>38</v>
      </c>
      <c r="C2779" s="2">
        <v>45981</v>
      </c>
      <c r="D2779" s="2" t="str">
        <f>CHOOSE(MONTH(branches[[#This Row],[Дата]]),"Январь","Февраль","Март","Апрель","Май","Июнь","Июль","Август","Сентябрь","Октябрь","Ноябрь","Декабрь")&amp;" "&amp;YEAR(branches[[#This Row],[Дата]])</f>
        <v>Ноябрь 2025</v>
      </c>
      <c r="E2779" t="s">
        <v>14</v>
      </c>
      <c r="F2779" t="s">
        <v>12</v>
      </c>
      <c r="G2779">
        <v>3</v>
      </c>
      <c r="H2779">
        <v>741</v>
      </c>
      <c r="I2779" t="s">
        <v>13</v>
      </c>
      <c r="J2779" t="str">
        <f>_xlfn.XLOOKUP(branches[[#This Row],[Филиал]], tbl_Filialy[Филиал], tbl_Filialy[Менеджер])</f>
        <v>Дмитрий Волков</v>
      </c>
    </row>
    <row r="2780" spans="1:10" x14ac:dyDescent="0.3">
      <c r="A2780" t="str">
        <f>_xlfn.XLOOKUP(branches[[#This Row],[Филиал]], tbl_Filialy[Филиал], tbl_Filialy[Город])</f>
        <v>Санкт-Петербург</v>
      </c>
      <c r="B2780" s="1" t="s">
        <v>38</v>
      </c>
      <c r="C2780" s="2">
        <v>45783</v>
      </c>
      <c r="D2780" s="2" t="str">
        <f>CHOOSE(MONTH(branches[[#This Row],[Дата]]),"Январь","Февраль","Март","Апрель","Май","Июнь","Июль","Август","Сентябрь","Октябрь","Ноябрь","Декабрь")&amp;" "&amp;YEAR(branches[[#This Row],[Дата]])</f>
        <v>Май 2025</v>
      </c>
      <c r="E2780" t="s">
        <v>27</v>
      </c>
      <c r="F2780" t="s">
        <v>12</v>
      </c>
      <c r="G2780">
        <v>1</v>
      </c>
      <c r="H2780">
        <v>232</v>
      </c>
      <c r="I2780" t="s">
        <v>23</v>
      </c>
      <c r="J2780" t="str">
        <f>_xlfn.XLOOKUP(branches[[#This Row],[Филиал]], tbl_Filialy[Филиал], tbl_Filialy[Менеджер])</f>
        <v>Дмитрий Волков</v>
      </c>
    </row>
    <row r="2781" spans="1:10" x14ac:dyDescent="0.3">
      <c r="A2781" t="str">
        <f>_xlfn.XLOOKUP(branches[[#This Row],[Филиал]], tbl_Filialy[Филиал], tbl_Filialy[Город])</f>
        <v>Санкт-Петербург</v>
      </c>
      <c r="B2781" s="1" t="s">
        <v>38</v>
      </c>
      <c r="C2781" s="2">
        <v>45766</v>
      </c>
      <c r="D2781" s="2" t="str">
        <f>CHOOSE(MONTH(branches[[#This Row],[Дата]]),"Январь","Февраль","Март","Апрель","Май","Июнь","Июль","Август","Сентябрь","Октябрь","Ноябрь","Декабрь")&amp;" "&amp;YEAR(branches[[#This Row],[Дата]])</f>
        <v>Апрель 2025</v>
      </c>
      <c r="E2781" t="s">
        <v>18</v>
      </c>
      <c r="F2781" t="s">
        <v>12</v>
      </c>
      <c r="G2781">
        <v>1</v>
      </c>
      <c r="H2781">
        <v>146</v>
      </c>
      <c r="I2781" t="s">
        <v>15</v>
      </c>
      <c r="J2781" t="str">
        <f>_xlfn.XLOOKUP(branches[[#This Row],[Филиал]], tbl_Filialy[Филиал], tbl_Filialy[Менеджер])</f>
        <v>Дмитрий Волков</v>
      </c>
    </row>
    <row r="2782" spans="1:10" x14ac:dyDescent="0.3">
      <c r="A2782" t="str">
        <f>_xlfn.XLOOKUP(branches[[#This Row],[Филиал]], tbl_Filialy[Филиал], tbl_Filialy[Город])</f>
        <v>Санкт-Петербург</v>
      </c>
      <c r="B2782" s="1" t="s">
        <v>38</v>
      </c>
      <c r="C2782" s="2">
        <v>45715</v>
      </c>
      <c r="D2782" s="2" t="str">
        <f>CHOOSE(MONTH(branches[[#This Row],[Дата]]),"Январь","Февраль","Март","Апрель","Май","Июнь","Июль","Август","Сентябрь","Октябрь","Ноябрь","Декабрь")&amp;" "&amp;YEAR(branches[[#This Row],[Дата]])</f>
        <v>Февраль 2025</v>
      </c>
      <c r="E2782" t="s">
        <v>18</v>
      </c>
      <c r="F2782" t="s">
        <v>12</v>
      </c>
      <c r="G2782">
        <v>1</v>
      </c>
      <c r="H2782">
        <v>132</v>
      </c>
      <c r="I2782" t="s">
        <v>15</v>
      </c>
      <c r="J2782" t="str">
        <f>_xlfn.XLOOKUP(branches[[#This Row],[Филиал]], tbl_Filialy[Филиал], tbl_Filialy[Менеджер])</f>
        <v>Дмитрий Волков</v>
      </c>
    </row>
    <row r="2783" spans="1:10" x14ac:dyDescent="0.3">
      <c r="A2783" t="str">
        <f>_xlfn.XLOOKUP(branches[[#This Row],[Филиал]], tbl_Filialy[Филиал], tbl_Filialy[Город])</f>
        <v>Санкт-Петербург</v>
      </c>
      <c r="B2783" s="1" t="s">
        <v>38</v>
      </c>
      <c r="C2783" s="2">
        <v>45659</v>
      </c>
      <c r="D2783" s="2" t="str">
        <f>CHOOSE(MONTH(branches[[#This Row],[Дата]]),"Январь","Февраль","Март","Апрель","Май","Июнь","Июль","Август","Сентябрь","Октябрь","Ноябрь","Декабрь")&amp;" "&amp;YEAR(branches[[#This Row],[Дата]])</f>
        <v>Январь 2025</v>
      </c>
      <c r="E2783" t="s">
        <v>8</v>
      </c>
      <c r="F2783" t="s">
        <v>9</v>
      </c>
      <c r="G2783">
        <v>3</v>
      </c>
      <c r="H2783">
        <v>831</v>
      </c>
      <c r="I2783" t="s">
        <v>21</v>
      </c>
      <c r="J2783" t="str">
        <f>_xlfn.XLOOKUP(branches[[#This Row],[Филиал]], tbl_Filialy[Филиал], tbl_Filialy[Менеджер])</f>
        <v>Дмитрий Волков</v>
      </c>
    </row>
    <row r="2784" spans="1:10" x14ac:dyDescent="0.3">
      <c r="A2784" t="str">
        <f>_xlfn.XLOOKUP(branches[[#This Row],[Филиал]], tbl_Filialy[Филиал], tbl_Filialy[Город])</f>
        <v>Санкт-Петербург</v>
      </c>
      <c r="B2784" s="1" t="s">
        <v>38</v>
      </c>
      <c r="C2784" s="2">
        <v>45764</v>
      </c>
      <c r="D2784" s="2" t="str">
        <f>CHOOSE(MONTH(branches[[#This Row],[Дата]]),"Январь","Февраль","Март","Апрель","Май","Июнь","Июль","Август","Сентябрь","Октябрь","Ноябрь","Декабрь")&amp;" "&amp;YEAR(branches[[#This Row],[Дата]])</f>
        <v>Апрель 2025</v>
      </c>
      <c r="E2784" t="s">
        <v>22</v>
      </c>
      <c r="F2784" t="s">
        <v>9</v>
      </c>
      <c r="G2784">
        <v>3</v>
      </c>
      <c r="H2784">
        <v>546</v>
      </c>
      <c r="I2784" t="s">
        <v>10</v>
      </c>
      <c r="J2784" t="str">
        <f>_xlfn.XLOOKUP(branches[[#This Row],[Филиал]], tbl_Filialy[Филиал], tbl_Filialy[Менеджер])</f>
        <v>Дмитрий Волков</v>
      </c>
    </row>
    <row r="2785" spans="1:10" x14ac:dyDescent="0.3">
      <c r="A2785" t="str">
        <f>_xlfn.XLOOKUP(branches[[#This Row],[Филиал]], tbl_Filialy[Филиал], tbl_Filialy[Город])</f>
        <v>Санкт-Петербург</v>
      </c>
      <c r="B2785" s="1" t="s">
        <v>38</v>
      </c>
      <c r="C2785" s="2">
        <v>45850</v>
      </c>
      <c r="D2785" s="2" t="str">
        <f>CHOOSE(MONTH(branches[[#This Row],[Дата]]),"Январь","Февраль","Март","Апрель","Май","Июнь","Июль","Август","Сентябрь","Октябрь","Ноябрь","Декабрь")&amp;" "&amp;YEAR(branches[[#This Row],[Дата]])</f>
        <v>Июль 2025</v>
      </c>
      <c r="E2785" t="s">
        <v>27</v>
      </c>
      <c r="F2785" t="s">
        <v>12</v>
      </c>
      <c r="G2785">
        <v>1</v>
      </c>
      <c r="H2785">
        <v>222</v>
      </c>
      <c r="I2785" t="s">
        <v>15</v>
      </c>
      <c r="J2785" t="str">
        <f>_xlfn.XLOOKUP(branches[[#This Row],[Филиал]], tbl_Filialy[Филиал], tbl_Filialy[Менеджер])</f>
        <v>Дмитрий Волков</v>
      </c>
    </row>
    <row r="2786" spans="1:10" x14ac:dyDescent="0.3">
      <c r="A2786" t="str">
        <f>_xlfn.XLOOKUP(branches[[#This Row],[Филиал]], tbl_Filialy[Филиал], tbl_Filialy[Город])</f>
        <v>Санкт-Петербург</v>
      </c>
      <c r="B2786" s="1" t="s">
        <v>38</v>
      </c>
      <c r="C2786" s="2">
        <v>45984</v>
      </c>
      <c r="D2786" s="2" t="str">
        <f>CHOOSE(MONTH(branches[[#This Row],[Дата]]),"Январь","Февраль","Март","Апрель","Май","Июнь","Июль","Август","Сентябрь","Октябрь","Ноябрь","Декабрь")&amp;" "&amp;YEAR(branches[[#This Row],[Дата]])</f>
        <v>Ноябрь 2025</v>
      </c>
      <c r="E2786" t="s">
        <v>26</v>
      </c>
      <c r="F2786" t="s">
        <v>9</v>
      </c>
      <c r="G2786">
        <v>2</v>
      </c>
      <c r="H2786">
        <v>404</v>
      </c>
      <c r="I2786" t="s">
        <v>19</v>
      </c>
      <c r="J2786" t="str">
        <f>_xlfn.XLOOKUP(branches[[#This Row],[Филиал]], tbl_Filialy[Филиал], tbl_Filialy[Менеджер])</f>
        <v>Дмитрий Волков</v>
      </c>
    </row>
    <row r="2787" spans="1:10" x14ac:dyDescent="0.3">
      <c r="A2787" t="str">
        <f>_xlfn.XLOOKUP(branches[[#This Row],[Филиал]], tbl_Filialy[Филиал], tbl_Filialy[Город])</f>
        <v>Санкт-Петербург</v>
      </c>
      <c r="B2787" s="1" t="s">
        <v>38</v>
      </c>
      <c r="C2787" s="2">
        <v>45917</v>
      </c>
      <c r="D2787" s="2" t="str">
        <f>CHOOSE(MONTH(branches[[#This Row],[Дата]]),"Январь","Февраль","Март","Апрель","Май","Июнь","Июль","Август","Сентябрь","Октябрь","Ноябрь","Декабрь")&amp;" "&amp;YEAR(branches[[#This Row],[Дата]])</f>
        <v>Сентябрь 2025</v>
      </c>
      <c r="E2787" t="s">
        <v>11</v>
      </c>
      <c r="F2787" t="s">
        <v>12</v>
      </c>
      <c r="G2787">
        <v>1</v>
      </c>
      <c r="H2787">
        <v>185</v>
      </c>
      <c r="I2787" t="s">
        <v>23</v>
      </c>
      <c r="J2787" t="str">
        <f>_xlfn.XLOOKUP(branches[[#This Row],[Филиал]], tbl_Filialy[Филиал], tbl_Filialy[Менеджер])</f>
        <v>Дмитрий Волков</v>
      </c>
    </row>
    <row r="2788" spans="1:10" x14ac:dyDescent="0.3">
      <c r="A2788" t="str">
        <f>_xlfn.XLOOKUP(branches[[#This Row],[Филиал]], tbl_Filialy[Филиал], tbl_Filialy[Город])</f>
        <v>Санкт-Петербург</v>
      </c>
      <c r="B2788" s="1" t="s">
        <v>38</v>
      </c>
      <c r="C2788" s="2">
        <v>45661</v>
      </c>
      <c r="D2788" s="2" t="str">
        <f>CHOOSE(MONTH(branches[[#This Row],[Дата]]),"Январь","Февраль","Март","Апрель","Май","Июнь","Июль","Август","Сентябрь","Октябрь","Ноябрь","Декабрь")&amp;" "&amp;YEAR(branches[[#This Row],[Дата]])</f>
        <v>Январь 2025</v>
      </c>
      <c r="E2788" t="s">
        <v>24</v>
      </c>
      <c r="F2788" t="s">
        <v>17</v>
      </c>
      <c r="G2788">
        <v>3</v>
      </c>
      <c r="H2788">
        <v>1071</v>
      </c>
      <c r="I2788" t="s">
        <v>23</v>
      </c>
      <c r="J2788" t="str">
        <f>_xlfn.XLOOKUP(branches[[#This Row],[Филиал]], tbl_Filialy[Филиал], tbl_Filialy[Менеджер])</f>
        <v>Дмитрий Волков</v>
      </c>
    </row>
    <row r="2789" spans="1:10" x14ac:dyDescent="0.3">
      <c r="A2789" t="str">
        <f>_xlfn.XLOOKUP(branches[[#This Row],[Филиал]], tbl_Filialy[Филиал], tbl_Filialy[Город])</f>
        <v>Санкт-Петербург</v>
      </c>
      <c r="B2789" s="1" t="s">
        <v>38</v>
      </c>
      <c r="C2789" s="2">
        <v>45958</v>
      </c>
      <c r="D2789" s="2" t="str">
        <f>CHOOSE(MONTH(branches[[#This Row],[Дата]]),"Январь","Февраль","Март","Апрель","Май","Июнь","Июль","Август","Сентябрь","Октябрь","Ноябрь","Декабрь")&amp;" "&amp;YEAR(branches[[#This Row],[Дата]])</f>
        <v>Октябрь 2025</v>
      </c>
      <c r="E2789" t="s">
        <v>16</v>
      </c>
      <c r="F2789" t="s">
        <v>17</v>
      </c>
      <c r="G2789">
        <v>2</v>
      </c>
      <c r="H2789">
        <v>710</v>
      </c>
      <c r="I2789" t="s">
        <v>23</v>
      </c>
      <c r="J2789" t="str">
        <f>_xlfn.XLOOKUP(branches[[#This Row],[Филиал]], tbl_Filialy[Филиал], tbl_Filialy[Менеджер])</f>
        <v>Дмитрий Волков</v>
      </c>
    </row>
    <row r="2790" spans="1:10" x14ac:dyDescent="0.3">
      <c r="A2790" t="str">
        <f>_xlfn.XLOOKUP(branches[[#This Row],[Филиал]], tbl_Filialy[Филиал], tbl_Filialy[Город])</f>
        <v>Санкт-Петербург</v>
      </c>
      <c r="B2790" s="1" t="s">
        <v>38</v>
      </c>
      <c r="C2790" s="2">
        <v>45997</v>
      </c>
      <c r="D2790" s="2" t="str">
        <f>CHOOSE(MONTH(branches[[#This Row],[Дата]]),"Январь","Февраль","Март","Апрель","Май","Июнь","Июль","Август","Сентябрь","Октябрь","Ноябрь","Декабрь")&amp;" "&amp;YEAR(branches[[#This Row],[Дата]])</f>
        <v>Декабрь 2025</v>
      </c>
      <c r="E2790" t="s">
        <v>28</v>
      </c>
      <c r="F2790" t="s">
        <v>12</v>
      </c>
      <c r="G2790">
        <v>1</v>
      </c>
      <c r="H2790">
        <v>250</v>
      </c>
      <c r="I2790" t="s">
        <v>19</v>
      </c>
      <c r="J2790" t="str">
        <f>_xlfn.XLOOKUP(branches[[#This Row],[Филиал]], tbl_Filialy[Филиал], tbl_Filialy[Менеджер])</f>
        <v>Дмитрий Волков</v>
      </c>
    </row>
    <row r="2791" spans="1:10" x14ac:dyDescent="0.3">
      <c r="A2791" t="str">
        <f>_xlfn.XLOOKUP(branches[[#This Row],[Филиал]], tbl_Filialy[Филиал], tbl_Filialy[Город])</f>
        <v>Санкт-Петербург</v>
      </c>
      <c r="B2791" s="1" t="s">
        <v>38</v>
      </c>
      <c r="C2791" s="2">
        <v>45994</v>
      </c>
      <c r="D2791" s="2" t="str">
        <f>CHOOSE(MONTH(branches[[#This Row],[Дата]]),"Январь","Февраль","Март","Апрель","Май","Июнь","Июль","Август","Сентябрь","Октябрь","Ноябрь","Декабрь")&amp;" "&amp;YEAR(branches[[#This Row],[Дата]])</f>
        <v>Декабрь 2025</v>
      </c>
      <c r="E2791" t="s">
        <v>8</v>
      </c>
      <c r="F2791" t="s">
        <v>9</v>
      </c>
      <c r="G2791">
        <v>1</v>
      </c>
      <c r="H2791">
        <v>266</v>
      </c>
      <c r="I2791" t="s">
        <v>10</v>
      </c>
      <c r="J2791" t="str">
        <f>_xlfn.XLOOKUP(branches[[#This Row],[Филиал]], tbl_Filialy[Филиал], tbl_Filialy[Менеджер])</f>
        <v>Дмитрий Волков</v>
      </c>
    </row>
    <row r="2792" spans="1:10" x14ac:dyDescent="0.3">
      <c r="A2792" t="str">
        <f>_xlfn.XLOOKUP(branches[[#This Row],[Филиал]], tbl_Filialy[Филиал], tbl_Filialy[Город])</f>
        <v>Санкт-Петербург</v>
      </c>
      <c r="B2792" s="1" t="s">
        <v>38</v>
      </c>
      <c r="C2792" s="2">
        <v>45914</v>
      </c>
      <c r="D2792" s="2" t="str">
        <f>CHOOSE(MONTH(branches[[#This Row],[Дата]]),"Январь","Февраль","Март","Апрель","Май","Июнь","Июль","Август","Сентябрь","Октябрь","Ноябрь","Декабрь")&amp;" "&amp;YEAR(branches[[#This Row],[Дата]])</f>
        <v>Сентябрь 2025</v>
      </c>
      <c r="E2792" t="s">
        <v>20</v>
      </c>
      <c r="F2792" t="s">
        <v>12</v>
      </c>
      <c r="G2792">
        <v>2</v>
      </c>
      <c r="H2792">
        <v>514</v>
      </c>
      <c r="I2792" t="s">
        <v>21</v>
      </c>
      <c r="J2792" t="str">
        <f>_xlfn.XLOOKUP(branches[[#This Row],[Филиал]], tbl_Filialy[Филиал], tbl_Filialy[Менеджер])</f>
        <v>Дмитрий Волков</v>
      </c>
    </row>
    <row r="2793" spans="1:10" x14ac:dyDescent="0.3">
      <c r="A2793" t="str">
        <f>_xlfn.XLOOKUP(branches[[#This Row],[Филиал]], tbl_Filialy[Филиал], tbl_Filialy[Город])</f>
        <v>Санкт-Петербург</v>
      </c>
      <c r="B2793" s="1" t="s">
        <v>38</v>
      </c>
      <c r="C2793" s="2">
        <v>45872</v>
      </c>
      <c r="D2793" s="2" t="str">
        <f>CHOOSE(MONTH(branches[[#This Row],[Дата]]),"Январь","Февраль","Март","Апрель","Май","Июнь","Июль","Август","Сентябрь","Октябрь","Ноябрь","Декабрь")&amp;" "&amp;YEAR(branches[[#This Row],[Дата]])</f>
        <v>Август 2025</v>
      </c>
      <c r="E2793" t="s">
        <v>18</v>
      </c>
      <c r="F2793" t="s">
        <v>12</v>
      </c>
      <c r="G2793">
        <v>2</v>
      </c>
      <c r="H2793">
        <v>268</v>
      </c>
      <c r="I2793" t="s">
        <v>10</v>
      </c>
      <c r="J2793" t="str">
        <f>_xlfn.XLOOKUP(branches[[#This Row],[Филиал]], tbl_Filialy[Филиал], tbl_Filialy[Менеджер])</f>
        <v>Дмитрий Волков</v>
      </c>
    </row>
    <row r="2794" spans="1:10" x14ac:dyDescent="0.3">
      <c r="A2794" t="str">
        <f>_xlfn.XLOOKUP(branches[[#This Row],[Филиал]], tbl_Filialy[Филиал], tbl_Filialy[Город])</f>
        <v>Санкт-Петербург</v>
      </c>
      <c r="B2794" s="1" t="s">
        <v>38</v>
      </c>
      <c r="C2794" s="2">
        <v>45694</v>
      </c>
      <c r="D2794" s="2" t="str">
        <f>CHOOSE(MONTH(branches[[#This Row],[Дата]]),"Январь","Февраль","Март","Апрель","Май","Июнь","Июль","Август","Сентябрь","Октябрь","Ноябрь","Декабрь")&amp;" "&amp;YEAR(branches[[#This Row],[Дата]])</f>
        <v>Февраль 2025</v>
      </c>
      <c r="E2794" t="s">
        <v>14</v>
      </c>
      <c r="F2794" t="s">
        <v>12</v>
      </c>
      <c r="G2794">
        <v>1</v>
      </c>
      <c r="H2794">
        <v>238</v>
      </c>
      <c r="I2794" t="s">
        <v>13</v>
      </c>
      <c r="J2794" t="str">
        <f>_xlfn.XLOOKUP(branches[[#This Row],[Филиал]], tbl_Filialy[Филиал], tbl_Filialy[Менеджер])</f>
        <v>Дмитрий Волков</v>
      </c>
    </row>
    <row r="2795" spans="1:10" x14ac:dyDescent="0.3">
      <c r="A2795" t="str">
        <f>_xlfn.XLOOKUP(branches[[#This Row],[Филиал]], tbl_Filialy[Филиал], tbl_Filialy[Город])</f>
        <v>Санкт-Петербург</v>
      </c>
      <c r="B2795" s="1" t="s">
        <v>38</v>
      </c>
      <c r="C2795" s="2">
        <v>45826</v>
      </c>
      <c r="D2795" s="2" t="str">
        <f>CHOOSE(MONTH(branches[[#This Row],[Дата]]),"Январь","Февраль","Март","Апрель","Май","Июнь","Июль","Август","Сентябрь","Октябрь","Ноябрь","Декабрь")&amp;" "&amp;YEAR(branches[[#This Row],[Дата]])</f>
        <v>Июнь 2025</v>
      </c>
      <c r="E2795" t="s">
        <v>8</v>
      </c>
      <c r="F2795" t="s">
        <v>9</v>
      </c>
      <c r="G2795">
        <v>3</v>
      </c>
      <c r="H2795">
        <v>669</v>
      </c>
      <c r="I2795" t="s">
        <v>15</v>
      </c>
      <c r="J2795" t="str">
        <f>_xlfn.XLOOKUP(branches[[#This Row],[Филиал]], tbl_Filialy[Филиал], tbl_Filialy[Менеджер])</f>
        <v>Дмитрий Волков</v>
      </c>
    </row>
    <row r="2796" spans="1:10" x14ac:dyDescent="0.3">
      <c r="A2796" t="str">
        <f>_xlfn.XLOOKUP(branches[[#This Row],[Филиал]], tbl_Filialy[Филиал], tbl_Filialy[Город])</f>
        <v>Санкт-Петербург</v>
      </c>
      <c r="B2796" s="1" t="s">
        <v>38</v>
      </c>
      <c r="C2796" s="2">
        <v>45737</v>
      </c>
      <c r="D2796" s="2" t="str">
        <f>CHOOSE(MONTH(branches[[#This Row],[Дата]]),"Январь","Февраль","Март","Апрель","Май","Июнь","Июль","Август","Сентябрь","Октябрь","Ноябрь","Декабрь")&amp;" "&amp;YEAR(branches[[#This Row],[Дата]])</f>
        <v>Март 2025</v>
      </c>
      <c r="E2796" t="s">
        <v>27</v>
      </c>
      <c r="F2796" t="s">
        <v>12</v>
      </c>
      <c r="G2796">
        <v>1</v>
      </c>
      <c r="H2796">
        <v>190</v>
      </c>
      <c r="I2796" t="s">
        <v>10</v>
      </c>
      <c r="J2796" t="str">
        <f>_xlfn.XLOOKUP(branches[[#This Row],[Филиал]], tbl_Filialy[Филиал], tbl_Filialy[Менеджер])</f>
        <v>Дмитрий Волков</v>
      </c>
    </row>
    <row r="2797" spans="1:10" x14ac:dyDescent="0.3">
      <c r="A2797" t="str">
        <f>_xlfn.XLOOKUP(branches[[#This Row],[Филиал]], tbl_Filialy[Филиал], tbl_Filialy[Город])</f>
        <v>Санкт-Петербург</v>
      </c>
      <c r="B2797" s="1" t="s">
        <v>38</v>
      </c>
      <c r="C2797" s="2">
        <v>45949</v>
      </c>
      <c r="D2797" s="2" t="str">
        <f>CHOOSE(MONTH(branches[[#This Row],[Дата]]),"Январь","Февраль","Март","Апрель","Май","Июнь","Июль","Август","Сентябрь","Октябрь","Ноябрь","Декабрь")&amp;" "&amp;YEAR(branches[[#This Row],[Дата]])</f>
        <v>Октябрь 2025</v>
      </c>
      <c r="E2797" t="s">
        <v>16</v>
      </c>
      <c r="F2797" t="s">
        <v>17</v>
      </c>
      <c r="G2797">
        <v>1</v>
      </c>
      <c r="H2797">
        <v>328</v>
      </c>
      <c r="I2797" t="s">
        <v>23</v>
      </c>
      <c r="J2797" t="str">
        <f>_xlfn.XLOOKUP(branches[[#This Row],[Филиал]], tbl_Filialy[Филиал], tbl_Filialy[Менеджер])</f>
        <v>Дмитрий Волков</v>
      </c>
    </row>
    <row r="2798" spans="1:10" x14ac:dyDescent="0.3">
      <c r="A2798" t="str">
        <f>_xlfn.XLOOKUP(branches[[#This Row],[Филиал]], tbl_Filialy[Филиал], tbl_Filialy[Город])</f>
        <v>Санкт-Петербург</v>
      </c>
      <c r="B2798" s="1" t="s">
        <v>38</v>
      </c>
      <c r="C2798" s="2">
        <v>45844</v>
      </c>
      <c r="D2798" s="2" t="str">
        <f>CHOOSE(MONTH(branches[[#This Row],[Дата]]),"Январь","Февраль","Март","Апрель","Май","Июнь","Июль","Август","Сентябрь","Октябрь","Ноябрь","Декабрь")&amp;" "&amp;YEAR(branches[[#This Row],[Дата]])</f>
        <v>Июль 2025</v>
      </c>
      <c r="E2798" t="s">
        <v>16</v>
      </c>
      <c r="F2798" t="s">
        <v>17</v>
      </c>
      <c r="G2798">
        <v>1</v>
      </c>
      <c r="H2798">
        <v>340</v>
      </c>
      <c r="I2798" t="s">
        <v>19</v>
      </c>
      <c r="J2798" t="str">
        <f>_xlfn.XLOOKUP(branches[[#This Row],[Филиал]], tbl_Filialy[Филиал], tbl_Filialy[Менеджер])</f>
        <v>Дмитрий Волков</v>
      </c>
    </row>
    <row r="2799" spans="1:10" x14ac:dyDescent="0.3">
      <c r="A2799" t="str">
        <f>_xlfn.XLOOKUP(branches[[#This Row],[Филиал]], tbl_Filialy[Филиал], tbl_Filialy[Город])</f>
        <v>Санкт-Петербург</v>
      </c>
      <c r="B2799" s="1" t="s">
        <v>38</v>
      </c>
      <c r="C2799" s="2">
        <v>45667</v>
      </c>
      <c r="D2799" s="2" t="str">
        <f>CHOOSE(MONTH(branches[[#This Row],[Дата]]),"Январь","Февраль","Март","Апрель","Май","Июнь","Июль","Август","Сентябрь","Октябрь","Ноябрь","Декабрь")&amp;" "&amp;YEAR(branches[[#This Row],[Дата]])</f>
        <v>Январь 2025</v>
      </c>
      <c r="E2799" t="s">
        <v>24</v>
      </c>
      <c r="F2799" t="s">
        <v>17</v>
      </c>
      <c r="G2799">
        <v>1</v>
      </c>
      <c r="H2799">
        <v>419</v>
      </c>
      <c r="I2799" t="s">
        <v>21</v>
      </c>
      <c r="J2799" t="str">
        <f>_xlfn.XLOOKUP(branches[[#This Row],[Филиал]], tbl_Filialy[Филиал], tbl_Filialy[Менеджер])</f>
        <v>Дмитрий Волков</v>
      </c>
    </row>
    <row r="2800" spans="1:10" x14ac:dyDescent="0.3">
      <c r="A2800" t="str">
        <f>_xlfn.XLOOKUP(branches[[#This Row],[Филиал]], tbl_Filialy[Филиал], tbl_Filialy[Город])</f>
        <v>Санкт-Петербург</v>
      </c>
      <c r="B2800" s="1" t="s">
        <v>38</v>
      </c>
      <c r="C2800" s="2">
        <v>45997</v>
      </c>
      <c r="D2800" s="2" t="str">
        <f>CHOOSE(MONTH(branches[[#This Row],[Дата]]),"Январь","Февраль","Март","Апрель","Май","Июнь","Июль","Август","Сентябрь","Октябрь","Ноябрь","Декабрь")&amp;" "&amp;YEAR(branches[[#This Row],[Дата]])</f>
        <v>Декабрь 2025</v>
      </c>
      <c r="E2800" t="s">
        <v>18</v>
      </c>
      <c r="F2800" t="s">
        <v>12</v>
      </c>
      <c r="G2800">
        <v>2</v>
      </c>
      <c r="H2800">
        <v>320</v>
      </c>
      <c r="I2800" t="s">
        <v>19</v>
      </c>
      <c r="J2800" t="str">
        <f>_xlfn.XLOOKUP(branches[[#This Row],[Филиал]], tbl_Filialy[Филиал], tbl_Filialy[Менеджер])</f>
        <v>Дмитрий Волков</v>
      </c>
    </row>
    <row r="2801" spans="1:10" x14ac:dyDescent="0.3">
      <c r="A2801" t="str">
        <f>_xlfn.XLOOKUP(branches[[#This Row],[Филиал]], tbl_Filialy[Филиал], tbl_Filialy[Город])</f>
        <v>Санкт-Петербург</v>
      </c>
      <c r="B2801" s="1" t="s">
        <v>38</v>
      </c>
      <c r="C2801" s="2">
        <v>45833</v>
      </c>
      <c r="D2801" s="2" t="str">
        <f>CHOOSE(MONTH(branches[[#This Row],[Дата]]),"Январь","Февраль","Март","Апрель","Май","Июнь","Июль","Август","Сентябрь","Октябрь","Ноябрь","Декабрь")&amp;" "&amp;YEAR(branches[[#This Row],[Дата]])</f>
        <v>Июнь 2025</v>
      </c>
      <c r="E2801" t="s">
        <v>22</v>
      </c>
      <c r="F2801" t="s">
        <v>9</v>
      </c>
      <c r="G2801">
        <v>1</v>
      </c>
      <c r="H2801">
        <v>195</v>
      </c>
      <c r="I2801" t="s">
        <v>19</v>
      </c>
      <c r="J2801" t="str">
        <f>_xlfn.XLOOKUP(branches[[#This Row],[Филиал]], tbl_Filialy[Филиал], tbl_Filialy[Менеджер])</f>
        <v>Дмитрий Волков</v>
      </c>
    </row>
    <row r="2802" spans="1:10" x14ac:dyDescent="0.3">
      <c r="A2802" t="str">
        <f>_xlfn.XLOOKUP(branches[[#This Row],[Филиал]], tbl_Filialy[Филиал], tbl_Filialy[Город])</f>
        <v>Санкт-Петербург</v>
      </c>
      <c r="B2802" s="1" t="s">
        <v>38</v>
      </c>
      <c r="C2802" s="2">
        <v>45996</v>
      </c>
      <c r="D2802" s="2" t="str">
        <f>CHOOSE(MONTH(branches[[#This Row],[Дата]]),"Январь","Февраль","Март","Апрель","Май","Июнь","Июль","Август","Сентябрь","Октябрь","Ноябрь","Декабрь")&amp;" "&amp;YEAR(branches[[#This Row],[Дата]])</f>
        <v>Декабрь 2025</v>
      </c>
      <c r="E2802" t="s">
        <v>22</v>
      </c>
      <c r="F2802" t="s">
        <v>9</v>
      </c>
      <c r="G2802">
        <v>3</v>
      </c>
      <c r="H2802">
        <v>594</v>
      </c>
      <c r="I2802" t="s">
        <v>10</v>
      </c>
      <c r="J2802" t="str">
        <f>_xlfn.XLOOKUP(branches[[#This Row],[Филиал]], tbl_Filialy[Филиал], tbl_Filialy[Менеджер])</f>
        <v>Дмитрий Волков</v>
      </c>
    </row>
    <row r="2803" spans="1:10" x14ac:dyDescent="0.3">
      <c r="A2803" t="str">
        <f>_xlfn.XLOOKUP(branches[[#This Row],[Филиал]], tbl_Filialy[Филиал], tbl_Filialy[Город])</f>
        <v>Санкт-Петербург</v>
      </c>
      <c r="B2803" s="1" t="s">
        <v>38</v>
      </c>
      <c r="C2803" s="2">
        <v>46003</v>
      </c>
      <c r="D2803" s="2" t="str">
        <f>CHOOSE(MONTH(branches[[#This Row],[Дата]]),"Январь","Февраль","Март","Апрель","Май","Июнь","Июль","Август","Сентябрь","Октябрь","Ноябрь","Декабрь")&amp;" "&amp;YEAR(branches[[#This Row],[Дата]])</f>
        <v>Декабрь 2025</v>
      </c>
      <c r="E2803" t="s">
        <v>8</v>
      </c>
      <c r="F2803" t="s">
        <v>9</v>
      </c>
      <c r="G2803">
        <v>3</v>
      </c>
      <c r="H2803">
        <v>708</v>
      </c>
      <c r="I2803" t="s">
        <v>15</v>
      </c>
      <c r="J2803" t="str">
        <f>_xlfn.XLOOKUP(branches[[#This Row],[Филиал]], tbl_Filialy[Филиал], tbl_Filialy[Менеджер])</f>
        <v>Дмитрий Волков</v>
      </c>
    </row>
    <row r="2804" spans="1:10" x14ac:dyDescent="0.3">
      <c r="A2804" t="str">
        <f>_xlfn.XLOOKUP(branches[[#This Row],[Филиал]], tbl_Filialy[Филиал], tbl_Filialy[Город])</f>
        <v>Санкт-Петербург</v>
      </c>
      <c r="B2804" s="1" t="s">
        <v>38</v>
      </c>
      <c r="C2804" s="2">
        <v>45707</v>
      </c>
      <c r="D2804" s="2" t="str">
        <f>CHOOSE(MONTH(branches[[#This Row],[Дата]]),"Январь","Февраль","Март","Апрель","Май","Июнь","Июль","Август","Сентябрь","Октябрь","Ноябрь","Декабрь")&amp;" "&amp;YEAR(branches[[#This Row],[Дата]])</f>
        <v>Февраль 2025</v>
      </c>
      <c r="E2804" t="s">
        <v>16</v>
      </c>
      <c r="F2804" t="s">
        <v>17</v>
      </c>
      <c r="G2804">
        <v>3</v>
      </c>
      <c r="H2804">
        <v>870</v>
      </c>
      <c r="I2804" t="s">
        <v>19</v>
      </c>
      <c r="J2804" t="str">
        <f>_xlfn.XLOOKUP(branches[[#This Row],[Филиал]], tbl_Filialy[Филиал], tbl_Filialy[Менеджер])</f>
        <v>Дмитрий Волков</v>
      </c>
    </row>
    <row r="2805" spans="1:10" x14ac:dyDescent="0.3">
      <c r="A2805" t="str">
        <f>_xlfn.XLOOKUP(branches[[#This Row],[Филиал]], tbl_Filialy[Филиал], tbl_Filialy[Город])</f>
        <v>Санкт-Петербург</v>
      </c>
      <c r="B2805" s="1" t="s">
        <v>38</v>
      </c>
      <c r="C2805" s="2">
        <v>45943</v>
      </c>
      <c r="D2805" s="2" t="str">
        <f>CHOOSE(MONTH(branches[[#This Row],[Дата]]),"Январь","Февраль","Март","Апрель","Май","Июнь","Июль","Август","Сентябрь","Октябрь","Ноябрь","Декабрь")&amp;" "&amp;YEAR(branches[[#This Row],[Дата]])</f>
        <v>Октябрь 2025</v>
      </c>
      <c r="E2805" t="s">
        <v>18</v>
      </c>
      <c r="F2805" t="s">
        <v>12</v>
      </c>
      <c r="G2805">
        <v>1</v>
      </c>
      <c r="H2805">
        <v>125</v>
      </c>
      <c r="I2805" t="s">
        <v>13</v>
      </c>
      <c r="J2805" t="str">
        <f>_xlfn.XLOOKUP(branches[[#This Row],[Филиал]], tbl_Filialy[Филиал], tbl_Filialy[Менеджер])</f>
        <v>Дмитрий Волков</v>
      </c>
    </row>
    <row r="2806" spans="1:10" x14ac:dyDescent="0.3">
      <c r="A2806" t="str">
        <f>_xlfn.XLOOKUP(branches[[#This Row],[Филиал]], tbl_Filialy[Филиал], tbl_Filialy[Город])</f>
        <v>Санкт-Петербург</v>
      </c>
      <c r="B2806" s="1" t="s">
        <v>38</v>
      </c>
      <c r="C2806" s="2">
        <v>45802</v>
      </c>
      <c r="D2806" s="2" t="str">
        <f>CHOOSE(MONTH(branches[[#This Row],[Дата]]),"Январь","Февраль","Март","Апрель","Май","Июнь","Июль","Август","Сентябрь","Октябрь","Ноябрь","Декабрь")&amp;" "&amp;YEAR(branches[[#This Row],[Дата]])</f>
        <v>Май 2025</v>
      </c>
      <c r="E2806" t="s">
        <v>20</v>
      </c>
      <c r="F2806" t="s">
        <v>12</v>
      </c>
      <c r="G2806">
        <v>2</v>
      </c>
      <c r="H2806">
        <v>580</v>
      </c>
      <c r="I2806" t="s">
        <v>21</v>
      </c>
      <c r="J2806" t="str">
        <f>_xlfn.XLOOKUP(branches[[#This Row],[Филиал]], tbl_Filialy[Филиал], tbl_Filialy[Менеджер])</f>
        <v>Дмитрий Волков</v>
      </c>
    </row>
    <row r="2807" spans="1:10" x14ac:dyDescent="0.3">
      <c r="A2807" t="str">
        <f>_xlfn.XLOOKUP(branches[[#This Row],[Филиал]], tbl_Filialy[Филиал], tbl_Filialy[Город])</f>
        <v>Санкт-Петербург</v>
      </c>
      <c r="B2807" s="1" t="s">
        <v>38</v>
      </c>
      <c r="C2807" s="2">
        <v>46009</v>
      </c>
      <c r="D2807" s="2" t="str">
        <f>CHOOSE(MONTH(branches[[#This Row],[Дата]]),"Январь","Февраль","Март","Апрель","Май","Июнь","Июль","Август","Сентябрь","Октябрь","Ноябрь","Декабрь")&amp;" "&amp;YEAR(branches[[#This Row],[Дата]])</f>
        <v>Декабрь 2025</v>
      </c>
      <c r="E2807" t="s">
        <v>16</v>
      </c>
      <c r="F2807" t="s">
        <v>17</v>
      </c>
      <c r="G2807">
        <v>1</v>
      </c>
      <c r="H2807">
        <v>326</v>
      </c>
      <c r="I2807" t="s">
        <v>13</v>
      </c>
      <c r="J2807" t="str">
        <f>_xlfn.XLOOKUP(branches[[#This Row],[Филиал]], tbl_Filialy[Филиал], tbl_Filialy[Менеджер])</f>
        <v>Дмитрий Волков</v>
      </c>
    </row>
    <row r="2808" spans="1:10" x14ac:dyDescent="0.3">
      <c r="A2808" t="str">
        <f>_xlfn.XLOOKUP(branches[[#This Row],[Филиал]], tbl_Filialy[Филиал], tbl_Filialy[Город])</f>
        <v>Санкт-Петербург</v>
      </c>
      <c r="B2808" s="1" t="s">
        <v>38</v>
      </c>
      <c r="C2808" s="2">
        <v>45994</v>
      </c>
      <c r="D2808" s="2" t="str">
        <f>CHOOSE(MONTH(branches[[#This Row],[Дата]]),"Январь","Февраль","Март","Апрель","Май","Июнь","Июль","Август","Сентябрь","Октябрь","Ноябрь","Декабрь")&amp;" "&amp;YEAR(branches[[#This Row],[Дата]])</f>
        <v>Декабрь 2025</v>
      </c>
      <c r="E2808" t="s">
        <v>26</v>
      </c>
      <c r="F2808" t="s">
        <v>9</v>
      </c>
      <c r="G2808">
        <v>2</v>
      </c>
      <c r="H2808">
        <v>434</v>
      </c>
      <c r="I2808" t="s">
        <v>21</v>
      </c>
      <c r="J2808" t="str">
        <f>_xlfn.XLOOKUP(branches[[#This Row],[Филиал]], tbl_Filialy[Филиал], tbl_Filialy[Менеджер])</f>
        <v>Дмитрий Волков</v>
      </c>
    </row>
    <row r="2809" spans="1:10" x14ac:dyDescent="0.3">
      <c r="A2809" t="str">
        <f>_xlfn.XLOOKUP(branches[[#This Row],[Филиал]], tbl_Filialy[Филиал], tbl_Filialy[Город])</f>
        <v>Санкт-Петербург</v>
      </c>
      <c r="B2809" s="1" t="s">
        <v>38</v>
      </c>
      <c r="C2809" s="2">
        <v>46006</v>
      </c>
      <c r="D2809" s="2" t="str">
        <f>CHOOSE(MONTH(branches[[#This Row],[Дата]]),"Январь","Февраль","Март","Апрель","Май","Июнь","Июль","Август","Сентябрь","Октябрь","Ноябрь","Декабрь")&amp;" "&amp;YEAR(branches[[#This Row],[Дата]])</f>
        <v>Декабрь 2025</v>
      </c>
      <c r="E2809" t="s">
        <v>14</v>
      </c>
      <c r="F2809" t="s">
        <v>12</v>
      </c>
      <c r="G2809">
        <v>2</v>
      </c>
      <c r="H2809">
        <v>506</v>
      </c>
      <c r="I2809" t="s">
        <v>23</v>
      </c>
      <c r="J2809" t="str">
        <f>_xlfn.XLOOKUP(branches[[#This Row],[Филиал]], tbl_Filialy[Филиал], tbl_Filialy[Менеджер])</f>
        <v>Дмитрий Волков</v>
      </c>
    </row>
    <row r="2810" spans="1:10" x14ac:dyDescent="0.3">
      <c r="A2810" t="str">
        <f>_xlfn.XLOOKUP(branches[[#This Row],[Филиал]], tbl_Filialy[Филиал], tbl_Filialy[Город])</f>
        <v>Санкт-Петербург</v>
      </c>
      <c r="B2810" s="1" t="s">
        <v>38</v>
      </c>
      <c r="C2810" s="2">
        <v>45978</v>
      </c>
      <c r="D2810" s="2" t="str">
        <f>CHOOSE(MONTH(branches[[#This Row],[Дата]]),"Январь","Февраль","Март","Апрель","Май","Июнь","Июль","Август","Сентябрь","Октябрь","Ноябрь","Декабрь")&amp;" "&amp;YEAR(branches[[#This Row],[Дата]])</f>
        <v>Ноябрь 2025</v>
      </c>
      <c r="E2810" t="s">
        <v>16</v>
      </c>
      <c r="F2810" t="s">
        <v>17</v>
      </c>
      <c r="G2810">
        <v>1</v>
      </c>
      <c r="H2810">
        <v>296</v>
      </c>
      <c r="I2810" t="s">
        <v>21</v>
      </c>
      <c r="J2810" t="str">
        <f>_xlfn.XLOOKUP(branches[[#This Row],[Филиал]], tbl_Filialy[Филиал], tbl_Filialy[Менеджер])</f>
        <v>Дмитрий Волков</v>
      </c>
    </row>
    <row r="2811" spans="1:10" x14ac:dyDescent="0.3">
      <c r="A2811" t="str">
        <f>_xlfn.XLOOKUP(branches[[#This Row],[Филиал]], tbl_Filialy[Филиал], tbl_Filialy[Город])</f>
        <v>Санкт-Петербург</v>
      </c>
      <c r="B2811" s="1" t="s">
        <v>38</v>
      </c>
      <c r="C2811" s="2">
        <v>45735</v>
      </c>
      <c r="D2811" s="2" t="str">
        <f>CHOOSE(MONTH(branches[[#This Row],[Дата]]),"Январь","Февраль","Март","Апрель","Май","Июнь","Июль","Август","Сентябрь","Октябрь","Ноябрь","Декабрь")&amp;" "&amp;YEAR(branches[[#This Row],[Дата]])</f>
        <v>Март 2025</v>
      </c>
      <c r="E2811" t="s">
        <v>25</v>
      </c>
      <c r="F2811" t="s">
        <v>12</v>
      </c>
      <c r="G2811">
        <v>1</v>
      </c>
      <c r="H2811">
        <v>204</v>
      </c>
      <c r="I2811" t="s">
        <v>19</v>
      </c>
      <c r="J2811" t="str">
        <f>_xlfn.XLOOKUP(branches[[#This Row],[Филиал]], tbl_Filialy[Филиал], tbl_Filialy[Менеджер])</f>
        <v>Дмитрий Волков</v>
      </c>
    </row>
    <row r="2812" spans="1:10" x14ac:dyDescent="0.3">
      <c r="A2812" t="str">
        <f>_xlfn.XLOOKUP(branches[[#This Row],[Филиал]], tbl_Filialy[Филиал], tbl_Filialy[Город])</f>
        <v>Санкт-Петербург</v>
      </c>
      <c r="B2812" s="1" t="s">
        <v>38</v>
      </c>
      <c r="C2812" s="2">
        <v>46018</v>
      </c>
      <c r="D2812" s="2" t="str">
        <f>CHOOSE(MONTH(branches[[#This Row],[Дата]]),"Январь","Февраль","Март","Апрель","Май","Июнь","Июль","Август","Сентябрь","Октябрь","Ноябрь","Декабрь")&amp;" "&amp;YEAR(branches[[#This Row],[Дата]])</f>
        <v>Декабрь 2025</v>
      </c>
      <c r="E2812" t="s">
        <v>25</v>
      </c>
      <c r="F2812" t="s">
        <v>12</v>
      </c>
      <c r="G2812">
        <v>3</v>
      </c>
      <c r="H2812">
        <v>666</v>
      </c>
      <c r="I2812" t="s">
        <v>13</v>
      </c>
      <c r="J2812" t="str">
        <f>_xlfn.XLOOKUP(branches[[#This Row],[Филиал]], tbl_Filialy[Филиал], tbl_Filialy[Менеджер])</f>
        <v>Дмитрий Волков</v>
      </c>
    </row>
    <row r="2813" spans="1:10" x14ac:dyDescent="0.3">
      <c r="A2813" t="str">
        <f>_xlfn.XLOOKUP(branches[[#This Row],[Филиал]], tbl_Filialy[Филиал], tbl_Filialy[Город])</f>
        <v>Санкт-Петербург</v>
      </c>
      <c r="B2813" s="1" t="s">
        <v>38</v>
      </c>
      <c r="C2813" s="2">
        <v>46012</v>
      </c>
      <c r="D2813" s="2" t="str">
        <f>CHOOSE(MONTH(branches[[#This Row],[Дата]]),"Январь","Февраль","Март","Апрель","Май","Июнь","Июль","Август","Сентябрь","Октябрь","Ноябрь","Декабрь")&amp;" "&amp;YEAR(branches[[#This Row],[Дата]])</f>
        <v>Декабрь 2025</v>
      </c>
      <c r="E2813" t="s">
        <v>14</v>
      </c>
      <c r="F2813" t="s">
        <v>12</v>
      </c>
      <c r="G2813">
        <v>1</v>
      </c>
      <c r="H2813">
        <v>240</v>
      </c>
      <c r="I2813" t="s">
        <v>13</v>
      </c>
      <c r="J2813" t="str">
        <f>_xlfn.XLOOKUP(branches[[#This Row],[Филиал]], tbl_Filialy[Филиал], tbl_Filialy[Менеджер])</f>
        <v>Дмитрий Волков</v>
      </c>
    </row>
    <row r="2814" spans="1:10" x14ac:dyDescent="0.3">
      <c r="A2814" t="str">
        <f>_xlfn.XLOOKUP(branches[[#This Row],[Филиал]], tbl_Filialy[Филиал], tbl_Filialy[Город])</f>
        <v>Санкт-Петербург</v>
      </c>
      <c r="B2814" s="1" t="s">
        <v>38</v>
      </c>
      <c r="C2814" s="2">
        <v>45704</v>
      </c>
      <c r="D2814" s="2" t="str">
        <f>CHOOSE(MONTH(branches[[#This Row],[Дата]]),"Январь","Февраль","Март","Апрель","Май","Июнь","Июль","Август","Сентябрь","Октябрь","Ноябрь","Декабрь")&amp;" "&amp;YEAR(branches[[#This Row],[Дата]])</f>
        <v>Февраль 2025</v>
      </c>
      <c r="E2814" t="s">
        <v>18</v>
      </c>
      <c r="F2814" t="s">
        <v>12</v>
      </c>
      <c r="G2814">
        <v>3</v>
      </c>
      <c r="H2814">
        <v>414</v>
      </c>
      <c r="I2814" t="s">
        <v>15</v>
      </c>
      <c r="J2814" t="str">
        <f>_xlfn.XLOOKUP(branches[[#This Row],[Филиал]], tbl_Filialy[Филиал], tbl_Filialy[Менеджер])</f>
        <v>Дмитрий Волков</v>
      </c>
    </row>
    <row r="2815" spans="1:10" x14ac:dyDescent="0.3">
      <c r="A2815" t="str">
        <f>_xlfn.XLOOKUP(branches[[#This Row],[Филиал]], tbl_Filialy[Филиал], tbl_Filialy[Город])</f>
        <v>Санкт-Петербург</v>
      </c>
      <c r="B2815" s="1" t="s">
        <v>38</v>
      </c>
      <c r="C2815" s="2">
        <v>45701</v>
      </c>
      <c r="D2815" s="2" t="str">
        <f>CHOOSE(MONTH(branches[[#This Row],[Дата]]),"Январь","Февраль","Март","Апрель","Май","Июнь","Июль","Август","Сентябрь","Октябрь","Ноябрь","Декабрь")&amp;" "&amp;YEAR(branches[[#This Row],[Дата]])</f>
        <v>Февраль 2025</v>
      </c>
      <c r="E2815" t="s">
        <v>25</v>
      </c>
      <c r="F2815" t="s">
        <v>12</v>
      </c>
      <c r="G2815">
        <v>2</v>
      </c>
      <c r="H2815">
        <v>392</v>
      </c>
      <c r="I2815" t="s">
        <v>13</v>
      </c>
      <c r="J2815" t="str">
        <f>_xlfn.XLOOKUP(branches[[#This Row],[Филиал]], tbl_Filialy[Филиал], tbl_Filialy[Менеджер])</f>
        <v>Дмитрий Волков</v>
      </c>
    </row>
    <row r="2816" spans="1:10" x14ac:dyDescent="0.3">
      <c r="A2816" t="str">
        <f>_xlfn.XLOOKUP(branches[[#This Row],[Филиал]], tbl_Filialy[Филиал], tbl_Filialy[Город])</f>
        <v>Санкт-Петербург</v>
      </c>
      <c r="B2816" s="1" t="s">
        <v>38</v>
      </c>
      <c r="C2816" s="2">
        <v>46017</v>
      </c>
      <c r="D2816" s="2" t="str">
        <f>CHOOSE(MONTH(branches[[#This Row],[Дата]]),"Январь","Февраль","Март","Апрель","Май","Июнь","Июль","Август","Сентябрь","Октябрь","Ноябрь","Декабрь")&amp;" "&amp;YEAR(branches[[#This Row],[Дата]])</f>
        <v>Декабрь 2025</v>
      </c>
      <c r="E2816" t="s">
        <v>11</v>
      </c>
      <c r="F2816" t="s">
        <v>12</v>
      </c>
      <c r="G2816">
        <v>3</v>
      </c>
      <c r="H2816">
        <v>537</v>
      </c>
      <c r="I2816" t="s">
        <v>23</v>
      </c>
      <c r="J2816" t="str">
        <f>_xlfn.XLOOKUP(branches[[#This Row],[Филиал]], tbl_Filialy[Филиал], tbl_Filialy[Менеджер])</f>
        <v>Дмитрий Волков</v>
      </c>
    </row>
    <row r="2817" spans="1:10" x14ac:dyDescent="0.3">
      <c r="A2817" t="str">
        <f>_xlfn.XLOOKUP(branches[[#This Row],[Филиал]], tbl_Filialy[Филиал], tbl_Filialy[Город])</f>
        <v>Санкт-Петербург</v>
      </c>
      <c r="B2817" s="1" t="s">
        <v>38</v>
      </c>
      <c r="C2817" s="2">
        <v>45993</v>
      </c>
      <c r="D2817" s="2" t="str">
        <f>CHOOSE(MONTH(branches[[#This Row],[Дата]]),"Январь","Февраль","Март","Апрель","Май","Июнь","Июль","Август","Сентябрь","Октябрь","Ноябрь","Декабрь")&amp;" "&amp;YEAR(branches[[#This Row],[Дата]])</f>
        <v>Декабрь 2025</v>
      </c>
      <c r="E2817" t="s">
        <v>25</v>
      </c>
      <c r="F2817" t="s">
        <v>12</v>
      </c>
      <c r="G2817">
        <v>1</v>
      </c>
      <c r="H2817">
        <v>195</v>
      </c>
      <c r="I2817" t="s">
        <v>19</v>
      </c>
      <c r="J2817" t="str">
        <f>_xlfn.XLOOKUP(branches[[#This Row],[Филиал]], tbl_Filialy[Филиал], tbl_Filialy[Менеджер])</f>
        <v>Дмитрий Волков</v>
      </c>
    </row>
    <row r="2818" spans="1:10" x14ac:dyDescent="0.3">
      <c r="A2818" t="str">
        <f>_xlfn.XLOOKUP(branches[[#This Row],[Филиал]], tbl_Filialy[Филиал], tbl_Filialy[Город])</f>
        <v>Санкт-Петербург</v>
      </c>
      <c r="B2818" s="1" t="s">
        <v>38</v>
      </c>
      <c r="C2818" s="2">
        <v>45889</v>
      </c>
      <c r="D2818" s="2" t="str">
        <f>CHOOSE(MONTH(branches[[#This Row],[Дата]]),"Январь","Февраль","Март","Апрель","Май","Июнь","Июль","Август","Сентябрь","Октябрь","Ноябрь","Декабрь")&amp;" "&amp;YEAR(branches[[#This Row],[Дата]])</f>
        <v>Август 2025</v>
      </c>
      <c r="E2818" t="s">
        <v>27</v>
      </c>
      <c r="F2818" t="s">
        <v>12</v>
      </c>
      <c r="G2818">
        <v>1</v>
      </c>
      <c r="H2818">
        <v>216</v>
      </c>
      <c r="I2818" t="s">
        <v>15</v>
      </c>
      <c r="J2818" t="str">
        <f>_xlfn.XLOOKUP(branches[[#This Row],[Филиал]], tbl_Filialy[Филиал], tbl_Filialy[Менеджер])</f>
        <v>Дмитрий Волков</v>
      </c>
    </row>
    <row r="2819" spans="1:10" x14ac:dyDescent="0.3">
      <c r="A2819" t="str">
        <f>_xlfn.XLOOKUP(branches[[#This Row],[Филиал]], tbl_Filialy[Филиал], tbl_Filialy[Город])</f>
        <v>Санкт-Петербург</v>
      </c>
      <c r="B2819" s="1" t="s">
        <v>38</v>
      </c>
      <c r="C2819" s="2">
        <v>45721</v>
      </c>
      <c r="D2819" s="2" t="str">
        <f>CHOOSE(MONTH(branches[[#This Row],[Дата]]),"Январь","Февраль","Март","Апрель","Май","Июнь","Июль","Август","Сентябрь","Октябрь","Ноябрь","Декабрь")&amp;" "&amp;YEAR(branches[[#This Row],[Дата]])</f>
        <v>Март 2025</v>
      </c>
      <c r="E2819" t="s">
        <v>11</v>
      </c>
      <c r="F2819" t="s">
        <v>12</v>
      </c>
      <c r="G2819">
        <v>1</v>
      </c>
      <c r="H2819">
        <v>170</v>
      </c>
      <c r="I2819" t="s">
        <v>19</v>
      </c>
      <c r="J2819" t="str">
        <f>_xlfn.XLOOKUP(branches[[#This Row],[Филиал]], tbl_Filialy[Филиал], tbl_Filialy[Менеджер])</f>
        <v>Дмитрий Волков</v>
      </c>
    </row>
    <row r="2820" spans="1:10" x14ac:dyDescent="0.3">
      <c r="A2820" t="str">
        <f>_xlfn.XLOOKUP(branches[[#This Row],[Филиал]], tbl_Filialy[Филиал], tbl_Filialy[Город])</f>
        <v>Санкт-Петербург</v>
      </c>
      <c r="B2820" s="1" t="s">
        <v>38</v>
      </c>
      <c r="C2820" s="2">
        <v>45757</v>
      </c>
      <c r="D2820" s="2" t="str">
        <f>CHOOSE(MONTH(branches[[#This Row],[Дата]]),"Январь","Февраль","Март","Апрель","Май","Июнь","Июль","Август","Сентябрь","Октябрь","Ноябрь","Декабрь")&amp;" "&amp;YEAR(branches[[#This Row],[Дата]])</f>
        <v>Апрель 2025</v>
      </c>
      <c r="E2820" t="s">
        <v>18</v>
      </c>
      <c r="F2820" t="s">
        <v>12</v>
      </c>
      <c r="G2820">
        <v>3</v>
      </c>
      <c r="H2820">
        <v>426</v>
      </c>
      <c r="I2820" t="s">
        <v>21</v>
      </c>
      <c r="J2820" t="str">
        <f>_xlfn.XLOOKUP(branches[[#This Row],[Филиал]], tbl_Filialy[Филиал], tbl_Filialy[Менеджер])</f>
        <v>Дмитрий Волков</v>
      </c>
    </row>
    <row r="2821" spans="1:10" x14ac:dyDescent="0.3">
      <c r="A2821" t="str">
        <f>_xlfn.XLOOKUP(branches[[#This Row],[Филиал]], tbl_Filialy[Филиал], tbl_Filialy[Город])</f>
        <v>Санкт-Петербург</v>
      </c>
      <c r="B2821" s="1" t="s">
        <v>38</v>
      </c>
      <c r="C2821" s="2">
        <v>45742</v>
      </c>
      <c r="D2821" s="2" t="str">
        <f>CHOOSE(MONTH(branches[[#This Row],[Дата]]),"Январь","Февраль","Март","Апрель","Май","Июнь","Июль","Август","Сентябрь","Октябрь","Ноябрь","Декабрь")&amp;" "&amp;YEAR(branches[[#This Row],[Дата]])</f>
        <v>Март 2025</v>
      </c>
      <c r="E2821" t="s">
        <v>25</v>
      </c>
      <c r="F2821" t="s">
        <v>12</v>
      </c>
      <c r="G2821">
        <v>1</v>
      </c>
      <c r="H2821">
        <v>225</v>
      </c>
      <c r="I2821" t="s">
        <v>19</v>
      </c>
      <c r="J2821" t="str">
        <f>_xlfn.XLOOKUP(branches[[#This Row],[Филиал]], tbl_Filialy[Филиал], tbl_Filialy[Менеджер])</f>
        <v>Дмитрий Волков</v>
      </c>
    </row>
    <row r="2822" spans="1:10" x14ac:dyDescent="0.3">
      <c r="A2822" t="str">
        <f>_xlfn.XLOOKUP(branches[[#This Row],[Филиал]], tbl_Filialy[Филиал], tbl_Filialy[Город])</f>
        <v>Санкт-Петербург</v>
      </c>
      <c r="B2822" s="1" t="s">
        <v>38</v>
      </c>
      <c r="C2822" s="2">
        <v>45801</v>
      </c>
      <c r="D2822" s="2" t="str">
        <f>CHOOSE(MONTH(branches[[#This Row],[Дата]]),"Январь","Февраль","Март","Апрель","Май","Июнь","Июль","Август","Сентябрь","Октябрь","Ноябрь","Декабрь")&amp;" "&amp;YEAR(branches[[#This Row],[Дата]])</f>
        <v>Май 2025</v>
      </c>
      <c r="E2822" t="s">
        <v>8</v>
      </c>
      <c r="F2822" t="s">
        <v>9</v>
      </c>
      <c r="G2822">
        <v>1</v>
      </c>
      <c r="H2822">
        <v>266</v>
      </c>
      <c r="I2822" t="s">
        <v>23</v>
      </c>
      <c r="J2822" t="str">
        <f>_xlfn.XLOOKUP(branches[[#This Row],[Филиал]], tbl_Filialy[Филиал], tbl_Filialy[Менеджер])</f>
        <v>Дмитрий Волков</v>
      </c>
    </row>
    <row r="2823" spans="1:10" x14ac:dyDescent="0.3">
      <c r="A2823" t="str">
        <f>_xlfn.XLOOKUP(branches[[#This Row],[Филиал]], tbl_Filialy[Филиал], tbl_Filialy[Город])</f>
        <v>Санкт-Петербург</v>
      </c>
      <c r="B2823" s="1" t="s">
        <v>38</v>
      </c>
      <c r="C2823" s="2">
        <v>45754</v>
      </c>
      <c r="D2823" s="2" t="str">
        <f>CHOOSE(MONTH(branches[[#This Row],[Дата]]),"Январь","Февраль","Март","Апрель","Май","Июнь","Июль","Август","Сентябрь","Октябрь","Ноябрь","Декабрь")&amp;" "&amp;YEAR(branches[[#This Row],[Дата]])</f>
        <v>Апрель 2025</v>
      </c>
      <c r="E2823" t="s">
        <v>27</v>
      </c>
      <c r="F2823" t="s">
        <v>12</v>
      </c>
      <c r="G2823">
        <v>2</v>
      </c>
      <c r="H2823">
        <v>394</v>
      </c>
      <c r="I2823" t="s">
        <v>21</v>
      </c>
      <c r="J2823" t="str">
        <f>_xlfn.XLOOKUP(branches[[#This Row],[Филиал]], tbl_Filialy[Филиал], tbl_Filialy[Менеджер])</f>
        <v>Дмитрий Волков</v>
      </c>
    </row>
    <row r="2824" spans="1:10" x14ac:dyDescent="0.3">
      <c r="A2824" t="str">
        <f>_xlfn.XLOOKUP(branches[[#This Row],[Филиал]], tbl_Filialy[Филиал], tbl_Filialy[Город])</f>
        <v>Санкт-Петербург</v>
      </c>
      <c r="B2824" s="1" t="s">
        <v>38</v>
      </c>
      <c r="C2824" s="2">
        <v>45794</v>
      </c>
      <c r="D2824" s="2" t="str">
        <f>CHOOSE(MONTH(branches[[#This Row],[Дата]]),"Январь","Февраль","Март","Апрель","Май","Июнь","Июль","Август","Сентябрь","Октябрь","Ноябрь","Декабрь")&amp;" "&amp;YEAR(branches[[#This Row],[Дата]])</f>
        <v>Май 2025</v>
      </c>
      <c r="E2824" t="s">
        <v>16</v>
      </c>
      <c r="F2824" t="s">
        <v>17</v>
      </c>
      <c r="G2824">
        <v>1</v>
      </c>
      <c r="H2824">
        <v>346</v>
      </c>
      <c r="I2824" t="s">
        <v>13</v>
      </c>
      <c r="J2824" t="str">
        <f>_xlfn.XLOOKUP(branches[[#This Row],[Филиал]], tbl_Filialy[Филиал], tbl_Filialy[Менеджер])</f>
        <v>Дмитрий Волков</v>
      </c>
    </row>
    <row r="2825" spans="1:10" x14ac:dyDescent="0.3">
      <c r="A2825" t="str">
        <f>_xlfn.XLOOKUP(branches[[#This Row],[Филиал]], tbl_Filialy[Филиал], tbl_Filialy[Город])</f>
        <v>Санкт-Петербург</v>
      </c>
      <c r="B2825" s="1" t="s">
        <v>38</v>
      </c>
      <c r="C2825" s="2">
        <v>46014</v>
      </c>
      <c r="D2825" s="2" t="str">
        <f>CHOOSE(MONTH(branches[[#This Row],[Дата]]),"Январь","Февраль","Март","Апрель","Май","Июнь","Июль","Август","Сентябрь","Октябрь","Ноябрь","Декабрь")&amp;" "&amp;YEAR(branches[[#This Row],[Дата]])</f>
        <v>Декабрь 2025</v>
      </c>
      <c r="E2825" t="s">
        <v>22</v>
      </c>
      <c r="F2825" t="s">
        <v>9</v>
      </c>
      <c r="G2825">
        <v>2</v>
      </c>
      <c r="H2825">
        <v>398</v>
      </c>
      <c r="I2825" t="s">
        <v>19</v>
      </c>
      <c r="J2825" t="str">
        <f>_xlfn.XLOOKUP(branches[[#This Row],[Филиал]], tbl_Filialy[Филиал], tbl_Filialy[Менеджер])</f>
        <v>Дмитрий Волков</v>
      </c>
    </row>
    <row r="2826" spans="1:10" x14ac:dyDescent="0.3">
      <c r="A2826" t="str">
        <f>_xlfn.XLOOKUP(branches[[#This Row],[Филиал]], tbl_Filialy[Филиал], tbl_Filialy[Город])</f>
        <v>Санкт-Петербург</v>
      </c>
      <c r="B2826" s="1" t="s">
        <v>38</v>
      </c>
      <c r="C2826" s="2">
        <v>45953</v>
      </c>
      <c r="D2826" s="2" t="str">
        <f>CHOOSE(MONTH(branches[[#This Row],[Дата]]),"Январь","Февраль","Март","Апрель","Май","Июнь","Июль","Август","Сентябрь","Октябрь","Ноябрь","Декабрь")&amp;" "&amp;YEAR(branches[[#This Row],[Дата]])</f>
        <v>Октябрь 2025</v>
      </c>
      <c r="E2826" t="s">
        <v>8</v>
      </c>
      <c r="F2826" t="s">
        <v>9</v>
      </c>
      <c r="G2826">
        <v>2</v>
      </c>
      <c r="H2826">
        <v>480</v>
      </c>
      <c r="I2826" t="s">
        <v>23</v>
      </c>
      <c r="J2826" t="str">
        <f>_xlfn.XLOOKUP(branches[[#This Row],[Филиал]], tbl_Filialy[Филиал], tbl_Filialy[Менеджер])</f>
        <v>Дмитрий Волков</v>
      </c>
    </row>
    <row r="2827" spans="1:10" x14ac:dyDescent="0.3">
      <c r="A2827" t="str">
        <f>_xlfn.XLOOKUP(branches[[#This Row],[Филиал]], tbl_Filialy[Филиал], tbl_Filialy[Город])</f>
        <v>Санкт-Петербург</v>
      </c>
      <c r="B2827" s="1" t="s">
        <v>38</v>
      </c>
      <c r="C2827" s="2">
        <v>45669</v>
      </c>
      <c r="D2827" s="2" t="str">
        <f>CHOOSE(MONTH(branches[[#This Row],[Дата]]),"Январь","Февраль","Март","Апрель","Май","Июнь","Июль","Август","Сентябрь","Октябрь","Ноябрь","Декабрь")&amp;" "&amp;YEAR(branches[[#This Row],[Дата]])</f>
        <v>Январь 2025</v>
      </c>
      <c r="E2827" t="s">
        <v>26</v>
      </c>
      <c r="F2827" t="s">
        <v>9</v>
      </c>
      <c r="G2827">
        <v>1</v>
      </c>
      <c r="H2827">
        <v>214</v>
      </c>
      <c r="I2827" t="s">
        <v>19</v>
      </c>
      <c r="J2827" t="str">
        <f>_xlfn.XLOOKUP(branches[[#This Row],[Филиал]], tbl_Filialy[Филиал], tbl_Filialy[Менеджер])</f>
        <v>Дмитрий Волков</v>
      </c>
    </row>
    <row r="2828" spans="1:10" x14ac:dyDescent="0.3">
      <c r="A2828" t="str">
        <f>_xlfn.XLOOKUP(branches[[#This Row],[Филиал]], tbl_Filialy[Филиал], tbl_Filialy[Город])</f>
        <v>Санкт-Петербург</v>
      </c>
      <c r="B2828" s="1" t="s">
        <v>38</v>
      </c>
      <c r="C2828" s="2">
        <v>45842</v>
      </c>
      <c r="D2828" s="2" t="str">
        <f>CHOOSE(MONTH(branches[[#This Row],[Дата]]),"Январь","Февраль","Март","Апрель","Май","Июнь","Июль","Август","Сентябрь","Октябрь","Ноябрь","Декабрь")&amp;" "&amp;YEAR(branches[[#This Row],[Дата]])</f>
        <v>Июль 2025</v>
      </c>
      <c r="E2828" t="s">
        <v>27</v>
      </c>
      <c r="F2828" t="s">
        <v>12</v>
      </c>
      <c r="G2828">
        <v>2</v>
      </c>
      <c r="H2828">
        <v>446</v>
      </c>
      <c r="I2828" t="s">
        <v>19</v>
      </c>
      <c r="J2828" t="str">
        <f>_xlfn.XLOOKUP(branches[[#This Row],[Филиал]], tbl_Filialy[Филиал], tbl_Filialy[Менеджер])</f>
        <v>Дмитрий Волков</v>
      </c>
    </row>
    <row r="2829" spans="1:10" x14ac:dyDescent="0.3">
      <c r="A2829" t="str">
        <f>_xlfn.XLOOKUP(branches[[#This Row],[Филиал]], tbl_Filialy[Филиал], tbl_Filialy[Город])</f>
        <v>Санкт-Петербург</v>
      </c>
      <c r="B2829" s="1" t="s">
        <v>38</v>
      </c>
      <c r="C2829" s="2">
        <v>45987</v>
      </c>
      <c r="D2829" s="2" t="str">
        <f>CHOOSE(MONTH(branches[[#This Row],[Дата]]),"Январь","Февраль","Март","Апрель","Май","Июнь","Июль","Август","Сентябрь","Октябрь","Ноябрь","Декабрь")&amp;" "&amp;YEAR(branches[[#This Row],[Дата]])</f>
        <v>Ноябрь 2025</v>
      </c>
      <c r="E2829" t="s">
        <v>14</v>
      </c>
      <c r="F2829" t="s">
        <v>12</v>
      </c>
      <c r="G2829">
        <v>2</v>
      </c>
      <c r="H2829">
        <v>488</v>
      </c>
      <c r="I2829" t="s">
        <v>23</v>
      </c>
      <c r="J2829" t="str">
        <f>_xlfn.XLOOKUP(branches[[#This Row],[Филиал]], tbl_Filialy[Филиал], tbl_Filialy[Менеджер])</f>
        <v>Дмитрий Волков</v>
      </c>
    </row>
    <row r="2830" spans="1:10" x14ac:dyDescent="0.3">
      <c r="A2830" t="str">
        <f>_xlfn.XLOOKUP(branches[[#This Row],[Филиал]], tbl_Filialy[Филиал], tbl_Filialy[Город])</f>
        <v>Санкт-Петербург</v>
      </c>
      <c r="B2830" s="1" t="s">
        <v>38</v>
      </c>
      <c r="C2830" s="2">
        <v>45742</v>
      </c>
      <c r="D2830" s="2" t="str">
        <f>CHOOSE(MONTH(branches[[#This Row],[Дата]]),"Январь","Февраль","Март","Апрель","Май","Июнь","Июль","Август","Сентябрь","Октябрь","Ноябрь","Декабрь")&amp;" "&amp;YEAR(branches[[#This Row],[Дата]])</f>
        <v>Март 2025</v>
      </c>
      <c r="E2830" t="s">
        <v>22</v>
      </c>
      <c r="F2830" t="s">
        <v>9</v>
      </c>
      <c r="G2830">
        <v>1</v>
      </c>
      <c r="H2830">
        <v>179</v>
      </c>
      <c r="I2830" t="s">
        <v>15</v>
      </c>
      <c r="J2830" t="str">
        <f>_xlfn.XLOOKUP(branches[[#This Row],[Филиал]], tbl_Filialy[Филиал], tbl_Filialy[Менеджер])</f>
        <v>Дмитрий Волков</v>
      </c>
    </row>
    <row r="2831" spans="1:10" x14ac:dyDescent="0.3">
      <c r="A2831" t="str">
        <f>_xlfn.XLOOKUP(branches[[#This Row],[Филиал]], tbl_Filialy[Филиал], tbl_Filialy[Город])</f>
        <v>Санкт-Петербург</v>
      </c>
      <c r="B2831" s="1" t="s">
        <v>38</v>
      </c>
      <c r="C2831" s="2">
        <v>45941</v>
      </c>
      <c r="D2831" s="2" t="str">
        <f>CHOOSE(MONTH(branches[[#This Row],[Дата]]),"Январь","Февраль","Март","Апрель","Май","Июнь","Июль","Август","Сентябрь","Октябрь","Ноябрь","Декабрь")&amp;" "&amp;YEAR(branches[[#This Row],[Дата]])</f>
        <v>Октябрь 2025</v>
      </c>
      <c r="E2831" t="s">
        <v>22</v>
      </c>
      <c r="F2831" t="s">
        <v>9</v>
      </c>
      <c r="G2831">
        <v>1</v>
      </c>
      <c r="H2831">
        <v>199</v>
      </c>
      <c r="I2831" t="s">
        <v>15</v>
      </c>
      <c r="J2831" t="str">
        <f>_xlfn.XLOOKUP(branches[[#This Row],[Филиал]], tbl_Filialy[Филиал], tbl_Filialy[Менеджер])</f>
        <v>Дмитрий Волков</v>
      </c>
    </row>
    <row r="2832" spans="1:10" x14ac:dyDescent="0.3">
      <c r="A2832" t="str">
        <f>_xlfn.XLOOKUP(branches[[#This Row],[Филиал]], tbl_Filialy[Филиал], tbl_Filialy[Город])</f>
        <v>Санкт-Петербург</v>
      </c>
      <c r="B2832" s="1" t="s">
        <v>38</v>
      </c>
      <c r="C2832" s="2">
        <v>45692</v>
      </c>
      <c r="D2832" s="2" t="str">
        <f>CHOOSE(MONTH(branches[[#This Row],[Дата]]),"Январь","Февраль","Март","Апрель","Май","Июнь","Июль","Август","Сентябрь","Октябрь","Ноябрь","Декабрь")&amp;" "&amp;YEAR(branches[[#This Row],[Дата]])</f>
        <v>Февраль 2025</v>
      </c>
      <c r="E2832" t="s">
        <v>11</v>
      </c>
      <c r="F2832" t="s">
        <v>12</v>
      </c>
      <c r="G2832">
        <v>1</v>
      </c>
      <c r="H2832">
        <v>166</v>
      </c>
      <c r="I2832" t="s">
        <v>23</v>
      </c>
      <c r="J2832" t="str">
        <f>_xlfn.XLOOKUP(branches[[#This Row],[Филиал]], tbl_Filialy[Филиал], tbl_Filialy[Менеджер])</f>
        <v>Дмитрий Волков</v>
      </c>
    </row>
    <row r="2833" spans="1:10" x14ac:dyDescent="0.3">
      <c r="A2833" t="str">
        <f>_xlfn.XLOOKUP(branches[[#This Row],[Филиал]], tbl_Filialy[Филиал], tbl_Filialy[Город])</f>
        <v>Санкт-Петербург</v>
      </c>
      <c r="B2833" s="1" t="s">
        <v>38</v>
      </c>
      <c r="C2833" s="2">
        <v>45821</v>
      </c>
      <c r="D2833" s="2" t="str">
        <f>CHOOSE(MONTH(branches[[#This Row],[Дата]]),"Январь","Февраль","Март","Апрель","Май","Июнь","Июль","Август","Сентябрь","Октябрь","Ноябрь","Декабрь")&amp;" "&amp;YEAR(branches[[#This Row],[Дата]])</f>
        <v>Июнь 2025</v>
      </c>
      <c r="E2833" t="s">
        <v>24</v>
      </c>
      <c r="F2833" t="s">
        <v>17</v>
      </c>
      <c r="G2833">
        <v>1</v>
      </c>
      <c r="H2833">
        <v>370</v>
      </c>
      <c r="I2833" t="s">
        <v>10</v>
      </c>
      <c r="J2833" t="str">
        <f>_xlfn.XLOOKUP(branches[[#This Row],[Филиал]], tbl_Filialy[Филиал], tbl_Filialy[Менеджер])</f>
        <v>Дмитрий Волков</v>
      </c>
    </row>
    <row r="2834" spans="1:10" x14ac:dyDescent="0.3">
      <c r="A2834" t="str">
        <f>_xlfn.XLOOKUP(branches[[#This Row],[Филиал]], tbl_Filialy[Филиал], tbl_Filialy[Город])</f>
        <v>Санкт-Петербург</v>
      </c>
      <c r="B2834" s="1" t="s">
        <v>38</v>
      </c>
      <c r="C2834" s="2">
        <v>45739</v>
      </c>
      <c r="D2834" s="2" t="str">
        <f>CHOOSE(MONTH(branches[[#This Row],[Дата]]),"Январь","Февраль","Март","Апрель","Май","Июнь","Июль","Август","Сентябрь","Октябрь","Ноябрь","Декабрь")&amp;" "&amp;YEAR(branches[[#This Row],[Дата]])</f>
        <v>Март 2025</v>
      </c>
      <c r="E2834" t="s">
        <v>14</v>
      </c>
      <c r="F2834" t="s">
        <v>12</v>
      </c>
      <c r="G2834">
        <v>2</v>
      </c>
      <c r="H2834">
        <v>568</v>
      </c>
      <c r="I2834" t="s">
        <v>13</v>
      </c>
      <c r="J2834" t="str">
        <f>_xlfn.XLOOKUP(branches[[#This Row],[Филиал]], tbl_Filialy[Филиал], tbl_Filialy[Менеджер])</f>
        <v>Дмитрий Волков</v>
      </c>
    </row>
    <row r="2835" spans="1:10" x14ac:dyDescent="0.3">
      <c r="A2835" t="str">
        <f>_xlfn.XLOOKUP(branches[[#This Row],[Филиал]], tbl_Filialy[Филиал], tbl_Filialy[Город])</f>
        <v>Санкт-Петербург</v>
      </c>
      <c r="B2835" s="1" t="s">
        <v>38</v>
      </c>
      <c r="C2835" s="2">
        <v>45902</v>
      </c>
      <c r="D2835" s="2" t="str">
        <f>CHOOSE(MONTH(branches[[#This Row],[Дата]]),"Январь","Февраль","Март","Апрель","Май","Июнь","Июль","Август","Сентябрь","Октябрь","Ноябрь","Декабрь")&amp;" "&amp;YEAR(branches[[#This Row],[Дата]])</f>
        <v>Сентябрь 2025</v>
      </c>
      <c r="E2835" t="s">
        <v>22</v>
      </c>
      <c r="F2835" t="s">
        <v>9</v>
      </c>
      <c r="G2835">
        <v>2</v>
      </c>
      <c r="H2835">
        <v>396</v>
      </c>
      <c r="I2835" t="s">
        <v>19</v>
      </c>
      <c r="J2835" t="str">
        <f>_xlfn.XLOOKUP(branches[[#This Row],[Филиал]], tbl_Filialy[Филиал], tbl_Filialy[Менеджер])</f>
        <v>Дмитрий Волков</v>
      </c>
    </row>
    <row r="2836" spans="1:10" x14ac:dyDescent="0.3">
      <c r="A2836" t="str">
        <f>_xlfn.XLOOKUP(branches[[#This Row],[Филиал]], tbl_Filialy[Филиал], tbl_Filialy[Город])</f>
        <v>Санкт-Петербург</v>
      </c>
      <c r="B2836" s="1" t="s">
        <v>38</v>
      </c>
      <c r="C2836" s="2">
        <v>45691</v>
      </c>
      <c r="D2836" s="2" t="str">
        <f>CHOOSE(MONTH(branches[[#This Row],[Дата]]),"Январь","Февраль","Март","Апрель","Май","Июнь","Июль","Август","Сентябрь","Октябрь","Ноябрь","Декабрь")&amp;" "&amp;YEAR(branches[[#This Row],[Дата]])</f>
        <v>Февраль 2025</v>
      </c>
      <c r="E2836" t="s">
        <v>11</v>
      </c>
      <c r="F2836" t="s">
        <v>12</v>
      </c>
      <c r="G2836">
        <v>1</v>
      </c>
      <c r="H2836">
        <v>192</v>
      </c>
      <c r="I2836" t="s">
        <v>21</v>
      </c>
      <c r="J2836" t="str">
        <f>_xlfn.XLOOKUP(branches[[#This Row],[Филиал]], tbl_Filialy[Филиал], tbl_Filialy[Менеджер])</f>
        <v>Дмитрий Волков</v>
      </c>
    </row>
    <row r="2837" spans="1:10" x14ac:dyDescent="0.3">
      <c r="A2837" t="str">
        <f>_xlfn.XLOOKUP(branches[[#This Row],[Филиал]], tbl_Filialy[Филиал], tbl_Filialy[Город])</f>
        <v>Санкт-Петербург</v>
      </c>
      <c r="B2837" s="1" t="s">
        <v>38</v>
      </c>
      <c r="C2837" s="2">
        <v>45993</v>
      </c>
      <c r="D2837" s="2" t="str">
        <f>CHOOSE(MONTH(branches[[#This Row],[Дата]]),"Январь","Февраль","Март","Апрель","Май","Июнь","Июль","Август","Сентябрь","Октябрь","Ноябрь","Декабрь")&amp;" "&amp;YEAR(branches[[#This Row],[Дата]])</f>
        <v>Декабрь 2025</v>
      </c>
      <c r="E2837" t="s">
        <v>27</v>
      </c>
      <c r="F2837" t="s">
        <v>12</v>
      </c>
      <c r="G2837">
        <v>1</v>
      </c>
      <c r="H2837">
        <v>213</v>
      </c>
      <c r="I2837" t="s">
        <v>10</v>
      </c>
      <c r="J2837" t="str">
        <f>_xlfn.XLOOKUP(branches[[#This Row],[Филиал]], tbl_Filialy[Филиал], tbl_Filialy[Менеджер])</f>
        <v>Дмитрий Волков</v>
      </c>
    </row>
    <row r="2838" spans="1:10" x14ac:dyDescent="0.3">
      <c r="A2838" t="str">
        <f>_xlfn.XLOOKUP(branches[[#This Row],[Филиал]], tbl_Filialy[Филиал], tbl_Filialy[Город])</f>
        <v>Санкт-Петербург</v>
      </c>
      <c r="B2838" s="1" t="s">
        <v>38</v>
      </c>
      <c r="C2838" s="2">
        <v>45758</v>
      </c>
      <c r="D2838" s="2" t="str">
        <f>CHOOSE(MONTH(branches[[#This Row],[Дата]]),"Январь","Февраль","Март","Апрель","Май","Июнь","Июль","Август","Сентябрь","Октябрь","Ноябрь","Декабрь")&amp;" "&amp;YEAR(branches[[#This Row],[Дата]])</f>
        <v>Апрель 2025</v>
      </c>
      <c r="E2838" t="s">
        <v>8</v>
      </c>
      <c r="F2838" t="s">
        <v>9</v>
      </c>
      <c r="G2838">
        <v>2</v>
      </c>
      <c r="H2838">
        <v>506</v>
      </c>
      <c r="I2838" t="s">
        <v>15</v>
      </c>
      <c r="J2838" t="str">
        <f>_xlfn.XLOOKUP(branches[[#This Row],[Филиал]], tbl_Filialy[Филиал], tbl_Filialy[Менеджер])</f>
        <v>Дмитрий Волков</v>
      </c>
    </row>
    <row r="2839" spans="1:10" x14ac:dyDescent="0.3">
      <c r="A2839" t="str">
        <f>_xlfn.XLOOKUP(branches[[#This Row],[Филиал]], tbl_Filialy[Филиал], tbl_Filialy[Город])</f>
        <v>Санкт-Петербург</v>
      </c>
      <c r="B2839" s="1" t="s">
        <v>38</v>
      </c>
      <c r="C2839" s="2">
        <v>45860</v>
      </c>
      <c r="D2839" s="2" t="str">
        <f>CHOOSE(MONTH(branches[[#This Row],[Дата]]),"Январь","Февраль","Март","Апрель","Май","Июнь","Июль","Август","Сентябрь","Октябрь","Ноябрь","Декабрь")&amp;" "&amp;YEAR(branches[[#This Row],[Дата]])</f>
        <v>Июль 2025</v>
      </c>
      <c r="E2839" t="s">
        <v>16</v>
      </c>
      <c r="F2839" t="s">
        <v>17</v>
      </c>
      <c r="G2839">
        <v>1</v>
      </c>
      <c r="H2839">
        <v>318</v>
      </c>
      <c r="I2839" t="s">
        <v>13</v>
      </c>
      <c r="J2839" t="str">
        <f>_xlfn.XLOOKUP(branches[[#This Row],[Филиал]], tbl_Filialy[Филиал], tbl_Filialy[Менеджер])</f>
        <v>Дмитрий Волков</v>
      </c>
    </row>
    <row r="2840" spans="1:10" x14ac:dyDescent="0.3">
      <c r="A2840" t="str">
        <f>_xlfn.XLOOKUP(branches[[#This Row],[Филиал]], tbl_Filialy[Филиал], tbl_Filialy[Город])</f>
        <v>Санкт-Петербург</v>
      </c>
      <c r="B2840" s="1" t="s">
        <v>38</v>
      </c>
      <c r="C2840" s="2">
        <v>45866</v>
      </c>
      <c r="D2840" s="2" t="str">
        <f>CHOOSE(MONTH(branches[[#This Row],[Дата]]),"Январь","Февраль","Март","Апрель","Май","Июнь","Июль","Август","Сентябрь","Октябрь","Ноябрь","Декабрь")&amp;" "&amp;YEAR(branches[[#This Row],[Дата]])</f>
        <v>Июль 2025</v>
      </c>
      <c r="E2840" t="s">
        <v>16</v>
      </c>
      <c r="F2840" t="s">
        <v>17</v>
      </c>
      <c r="G2840">
        <v>3</v>
      </c>
      <c r="H2840">
        <v>921</v>
      </c>
      <c r="I2840" t="s">
        <v>13</v>
      </c>
      <c r="J2840" t="str">
        <f>_xlfn.XLOOKUP(branches[[#This Row],[Филиал]], tbl_Filialy[Филиал], tbl_Filialy[Менеджер])</f>
        <v>Дмитрий Волков</v>
      </c>
    </row>
    <row r="2841" spans="1:10" x14ac:dyDescent="0.3">
      <c r="A2841" t="str">
        <f>_xlfn.XLOOKUP(branches[[#This Row],[Филиал]], tbl_Filialy[Филиал], tbl_Filialy[Город])</f>
        <v>Санкт-Петербург</v>
      </c>
      <c r="B2841" s="1" t="s">
        <v>38</v>
      </c>
      <c r="C2841" s="2">
        <v>46007</v>
      </c>
      <c r="D2841" s="2" t="str">
        <f>CHOOSE(MONTH(branches[[#This Row],[Дата]]),"Январь","Февраль","Март","Апрель","Май","Июнь","Июль","Август","Сентябрь","Октябрь","Ноябрь","Декабрь")&amp;" "&amp;YEAR(branches[[#This Row],[Дата]])</f>
        <v>Декабрь 2025</v>
      </c>
      <c r="E2841" t="s">
        <v>27</v>
      </c>
      <c r="F2841" t="s">
        <v>12</v>
      </c>
      <c r="G2841">
        <v>1</v>
      </c>
      <c r="H2841">
        <v>221</v>
      </c>
      <c r="I2841" t="s">
        <v>23</v>
      </c>
      <c r="J2841" t="str">
        <f>_xlfn.XLOOKUP(branches[[#This Row],[Филиал]], tbl_Filialy[Филиал], tbl_Filialy[Менеджер])</f>
        <v>Дмитрий Волков</v>
      </c>
    </row>
    <row r="2842" spans="1:10" x14ac:dyDescent="0.3">
      <c r="A2842" t="str">
        <f>_xlfn.XLOOKUP(branches[[#This Row],[Филиал]], tbl_Filialy[Филиал], tbl_Filialy[Город])</f>
        <v>Санкт-Петербург</v>
      </c>
      <c r="B2842" s="1" t="s">
        <v>38</v>
      </c>
      <c r="C2842" s="2">
        <v>45829</v>
      </c>
      <c r="D2842" s="2" t="str">
        <f>CHOOSE(MONTH(branches[[#This Row],[Дата]]),"Январь","Февраль","Март","Апрель","Май","Июнь","Июль","Август","Сентябрь","Октябрь","Ноябрь","Декабрь")&amp;" "&amp;YEAR(branches[[#This Row],[Дата]])</f>
        <v>Июнь 2025</v>
      </c>
      <c r="E2842" t="s">
        <v>8</v>
      </c>
      <c r="F2842" t="s">
        <v>9</v>
      </c>
      <c r="G2842">
        <v>1</v>
      </c>
      <c r="H2842">
        <v>267</v>
      </c>
      <c r="I2842" t="s">
        <v>19</v>
      </c>
      <c r="J2842" t="str">
        <f>_xlfn.XLOOKUP(branches[[#This Row],[Филиал]], tbl_Filialy[Филиал], tbl_Filialy[Менеджер])</f>
        <v>Дмитрий Волков</v>
      </c>
    </row>
    <row r="2843" spans="1:10" x14ac:dyDescent="0.3">
      <c r="A2843" t="str">
        <f>_xlfn.XLOOKUP(branches[[#This Row],[Филиал]], tbl_Filialy[Филиал], tbl_Filialy[Город])</f>
        <v>Санкт-Петербург</v>
      </c>
      <c r="B2843" s="1" t="s">
        <v>38</v>
      </c>
      <c r="C2843" s="2">
        <v>45681</v>
      </c>
      <c r="D2843" s="2" t="str">
        <f>CHOOSE(MONTH(branches[[#This Row],[Дата]]),"Январь","Февраль","Март","Апрель","Май","Июнь","Июль","Август","Сентябрь","Октябрь","Ноябрь","Декабрь")&amp;" "&amp;YEAR(branches[[#This Row],[Дата]])</f>
        <v>Январь 2025</v>
      </c>
      <c r="E2843" t="s">
        <v>28</v>
      </c>
      <c r="F2843" t="s">
        <v>12</v>
      </c>
      <c r="G2843">
        <v>2</v>
      </c>
      <c r="H2843">
        <v>486</v>
      </c>
      <c r="I2843" t="s">
        <v>23</v>
      </c>
      <c r="J2843" t="str">
        <f>_xlfn.XLOOKUP(branches[[#This Row],[Филиал]], tbl_Filialy[Филиал], tbl_Filialy[Менеджер])</f>
        <v>Дмитрий Волков</v>
      </c>
    </row>
    <row r="2844" spans="1:10" x14ac:dyDescent="0.3">
      <c r="A2844" t="str">
        <f>_xlfn.XLOOKUP(branches[[#This Row],[Филиал]], tbl_Filialy[Филиал], tbl_Filialy[Город])</f>
        <v>Санкт-Петербург</v>
      </c>
      <c r="B2844" s="1" t="s">
        <v>38</v>
      </c>
      <c r="C2844" s="2">
        <v>45995</v>
      </c>
      <c r="D2844" s="2" t="str">
        <f>CHOOSE(MONTH(branches[[#This Row],[Дата]]),"Январь","Февраль","Март","Апрель","Май","Июнь","Июль","Август","Сентябрь","Октябрь","Ноябрь","Декабрь")&amp;" "&amp;YEAR(branches[[#This Row],[Дата]])</f>
        <v>Декабрь 2025</v>
      </c>
      <c r="E2844" t="s">
        <v>25</v>
      </c>
      <c r="F2844" t="s">
        <v>12</v>
      </c>
      <c r="G2844">
        <v>3</v>
      </c>
      <c r="H2844">
        <v>645</v>
      </c>
      <c r="I2844" t="s">
        <v>23</v>
      </c>
      <c r="J2844" t="str">
        <f>_xlfn.XLOOKUP(branches[[#This Row],[Филиал]], tbl_Filialy[Филиал], tbl_Filialy[Менеджер])</f>
        <v>Дмитрий Волков</v>
      </c>
    </row>
    <row r="2845" spans="1:10" x14ac:dyDescent="0.3">
      <c r="A2845" t="str">
        <f>_xlfn.XLOOKUP(branches[[#This Row],[Филиал]], tbl_Filialy[Филиал], tbl_Filialy[Город])</f>
        <v>Санкт-Петербург</v>
      </c>
      <c r="B2845" s="1" t="s">
        <v>38</v>
      </c>
      <c r="C2845" s="2">
        <v>45684</v>
      </c>
      <c r="D2845" s="2" t="str">
        <f>CHOOSE(MONTH(branches[[#This Row],[Дата]]),"Январь","Февраль","Март","Апрель","Май","Июнь","Июль","Август","Сентябрь","Октябрь","Ноябрь","Декабрь")&amp;" "&amp;YEAR(branches[[#This Row],[Дата]])</f>
        <v>Январь 2025</v>
      </c>
      <c r="E2845" t="s">
        <v>11</v>
      </c>
      <c r="F2845" t="s">
        <v>12</v>
      </c>
      <c r="G2845">
        <v>3</v>
      </c>
      <c r="H2845">
        <v>492</v>
      </c>
      <c r="I2845" t="s">
        <v>13</v>
      </c>
      <c r="J2845" t="str">
        <f>_xlfn.XLOOKUP(branches[[#This Row],[Филиал]], tbl_Filialy[Филиал], tbl_Filialy[Менеджер])</f>
        <v>Дмитрий Волков</v>
      </c>
    </row>
    <row r="2846" spans="1:10" x14ac:dyDescent="0.3">
      <c r="A2846" t="str">
        <f>_xlfn.XLOOKUP(branches[[#This Row],[Филиал]], tbl_Filialy[Филиал], tbl_Filialy[Город])</f>
        <v>Санкт-Петербург</v>
      </c>
      <c r="B2846" s="1" t="s">
        <v>38</v>
      </c>
      <c r="C2846" s="2">
        <v>45915</v>
      </c>
      <c r="D2846" s="2" t="str">
        <f>CHOOSE(MONTH(branches[[#This Row],[Дата]]),"Январь","Февраль","Март","Апрель","Май","Июнь","Июль","Август","Сентябрь","Октябрь","Ноябрь","Декабрь")&amp;" "&amp;YEAR(branches[[#This Row],[Дата]])</f>
        <v>Сентябрь 2025</v>
      </c>
      <c r="E2846" t="s">
        <v>28</v>
      </c>
      <c r="F2846" t="s">
        <v>12</v>
      </c>
      <c r="G2846">
        <v>3</v>
      </c>
      <c r="H2846">
        <v>642</v>
      </c>
      <c r="I2846" t="s">
        <v>13</v>
      </c>
      <c r="J2846" t="str">
        <f>_xlfn.XLOOKUP(branches[[#This Row],[Филиал]], tbl_Filialy[Филиал], tbl_Filialy[Менеджер])</f>
        <v>Дмитрий Волков</v>
      </c>
    </row>
    <row r="2847" spans="1:10" x14ac:dyDescent="0.3">
      <c r="A2847" t="str">
        <f>_xlfn.XLOOKUP(branches[[#This Row],[Филиал]], tbl_Filialy[Филиал], tbl_Filialy[Город])</f>
        <v>Санкт-Петербург</v>
      </c>
      <c r="B2847" s="1" t="s">
        <v>38</v>
      </c>
      <c r="C2847" s="2">
        <v>45659</v>
      </c>
      <c r="D2847" s="2" t="str">
        <f>CHOOSE(MONTH(branches[[#This Row],[Дата]]),"Январь","Февраль","Март","Апрель","Май","Июнь","Июль","Август","Сентябрь","Октябрь","Ноябрь","Декабрь")&amp;" "&amp;YEAR(branches[[#This Row],[Дата]])</f>
        <v>Январь 2025</v>
      </c>
      <c r="E2847" t="s">
        <v>24</v>
      </c>
      <c r="F2847" t="s">
        <v>17</v>
      </c>
      <c r="G2847">
        <v>1</v>
      </c>
      <c r="H2847">
        <v>346</v>
      </c>
      <c r="I2847" t="s">
        <v>21</v>
      </c>
      <c r="J2847" t="str">
        <f>_xlfn.XLOOKUP(branches[[#This Row],[Филиал]], tbl_Filialy[Филиал], tbl_Filialy[Менеджер])</f>
        <v>Дмитрий Волков</v>
      </c>
    </row>
    <row r="2848" spans="1:10" x14ac:dyDescent="0.3">
      <c r="A2848" t="str">
        <f>_xlfn.XLOOKUP(branches[[#This Row],[Филиал]], tbl_Filialy[Филиал], tbl_Filialy[Город])</f>
        <v>Санкт-Петербург</v>
      </c>
      <c r="B2848" s="1" t="s">
        <v>38</v>
      </c>
      <c r="C2848" s="2">
        <v>45676</v>
      </c>
      <c r="D2848" s="2" t="str">
        <f>CHOOSE(MONTH(branches[[#This Row],[Дата]]),"Январь","Февраль","Март","Апрель","Май","Июнь","Июль","Август","Сентябрь","Октябрь","Ноябрь","Декабрь")&amp;" "&amp;YEAR(branches[[#This Row],[Дата]])</f>
        <v>Январь 2025</v>
      </c>
      <c r="E2848" t="s">
        <v>20</v>
      </c>
      <c r="F2848" t="s">
        <v>12</v>
      </c>
      <c r="G2848">
        <v>1</v>
      </c>
      <c r="H2848">
        <v>282</v>
      </c>
      <c r="I2848" t="s">
        <v>10</v>
      </c>
      <c r="J2848" t="str">
        <f>_xlfn.XLOOKUP(branches[[#This Row],[Филиал]], tbl_Filialy[Филиал], tbl_Filialy[Менеджер])</f>
        <v>Дмитрий Волков</v>
      </c>
    </row>
    <row r="2849" spans="1:10" x14ac:dyDescent="0.3">
      <c r="A2849" t="str">
        <f>_xlfn.XLOOKUP(branches[[#This Row],[Филиал]], tbl_Filialy[Филиал], tbl_Filialy[Город])</f>
        <v>Санкт-Петербург</v>
      </c>
      <c r="B2849" s="1" t="s">
        <v>38</v>
      </c>
      <c r="C2849" s="2">
        <v>45732</v>
      </c>
      <c r="D2849" s="2" t="str">
        <f>CHOOSE(MONTH(branches[[#This Row],[Дата]]),"Январь","Февраль","Март","Апрель","Май","Июнь","Июль","Август","Сентябрь","Октябрь","Ноябрь","Декабрь")&amp;" "&amp;YEAR(branches[[#This Row],[Дата]])</f>
        <v>Март 2025</v>
      </c>
      <c r="E2849" t="s">
        <v>16</v>
      </c>
      <c r="F2849" t="s">
        <v>17</v>
      </c>
      <c r="G2849">
        <v>3</v>
      </c>
      <c r="H2849">
        <v>1068</v>
      </c>
      <c r="I2849" t="s">
        <v>21</v>
      </c>
      <c r="J2849" t="str">
        <f>_xlfn.XLOOKUP(branches[[#This Row],[Филиал]], tbl_Filialy[Филиал], tbl_Filialy[Менеджер])</f>
        <v>Дмитрий Волков</v>
      </c>
    </row>
    <row r="2850" spans="1:10" x14ac:dyDescent="0.3">
      <c r="A2850" t="str">
        <f>_xlfn.XLOOKUP(branches[[#This Row],[Филиал]], tbl_Filialy[Филиал], tbl_Filialy[Город])</f>
        <v>Санкт-Петербург</v>
      </c>
      <c r="B2850" s="1" t="s">
        <v>38</v>
      </c>
      <c r="C2850" s="2">
        <v>45696</v>
      </c>
      <c r="D2850" s="2" t="str">
        <f>CHOOSE(MONTH(branches[[#This Row],[Дата]]),"Январь","Февраль","Март","Апрель","Май","Июнь","Июль","Август","Сентябрь","Октябрь","Ноябрь","Декабрь")&amp;" "&amp;YEAR(branches[[#This Row],[Дата]])</f>
        <v>Февраль 2025</v>
      </c>
      <c r="E2850" t="s">
        <v>24</v>
      </c>
      <c r="F2850" t="s">
        <v>17</v>
      </c>
      <c r="G2850">
        <v>2</v>
      </c>
      <c r="H2850">
        <v>760</v>
      </c>
      <c r="I2850" t="s">
        <v>13</v>
      </c>
      <c r="J2850" t="str">
        <f>_xlfn.XLOOKUP(branches[[#This Row],[Филиал]], tbl_Filialy[Филиал], tbl_Filialy[Менеджер])</f>
        <v>Дмитрий Волков</v>
      </c>
    </row>
    <row r="2851" spans="1:10" x14ac:dyDescent="0.3">
      <c r="A2851" t="str">
        <f>_xlfn.XLOOKUP(branches[[#This Row],[Филиал]], tbl_Filialy[Филиал], tbl_Filialy[Город])</f>
        <v>Санкт-Петербург</v>
      </c>
      <c r="B2851" s="1" t="s">
        <v>38</v>
      </c>
      <c r="C2851" s="2">
        <v>45909</v>
      </c>
      <c r="D2851" s="2" t="str">
        <f>CHOOSE(MONTH(branches[[#This Row],[Дата]]),"Январь","Февраль","Март","Апрель","Май","Июнь","Июль","Август","Сентябрь","Октябрь","Ноябрь","Декабрь")&amp;" "&amp;YEAR(branches[[#This Row],[Дата]])</f>
        <v>Сентябрь 2025</v>
      </c>
      <c r="E2851" t="s">
        <v>11</v>
      </c>
      <c r="F2851" t="s">
        <v>12</v>
      </c>
      <c r="G2851">
        <v>1</v>
      </c>
      <c r="H2851">
        <v>155</v>
      </c>
      <c r="I2851" t="s">
        <v>21</v>
      </c>
      <c r="J2851" t="str">
        <f>_xlfn.XLOOKUP(branches[[#This Row],[Филиал]], tbl_Filialy[Филиал], tbl_Filialy[Менеджер])</f>
        <v>Дмитрий Волков</v>
      </c>
    </row>
    <row r="2852" spans="1:10" x14ac:dyDescent="0.3">
      <c r="A2852" t="str">
        <f>_xlfn.XLOOKUP(branches[[#This Row],[Филиал]], tbl_Filialy[Филиал], tbl_Filialy[Город])</f>
        <v>Санкт-Петербург</v>
      </c>
      <c r="B2852" s="1" t="s">
        <v>38</v>
      </c>
      <c r="C2852" s="2">
        <v>45659</v>
      </c>
      <c r="D2852" s="2" t="str">
        <f>CHOOSE(MONTH(branches[[#This Row],[Дата]]),"Январь","Февраль","Март","Апрель","Май","Июнь","Июль","Август","Сентябрь","Октябрь","Ноябрь","Декабрь")&amp;" "&amp;YEAR(branches[[#This Row],[Дата]])</f>
        <v>Январь 2025</v>
      </c>
      <c r="E2852" t="s">
        <v>22</v>
      </c>
      <c r="F2852" t="s">
        <v>9</v>
      </c>
      <c r="G2852">
        <v>2</v>
      </c>
      <c r="H2852">
        <v>396</v>
      </c>
      <c r="I2852" t="s">
        <v>10</v>
      </c>
      <c r="J2852" t="str">
        <f>_xlfn.XLOOKUP(branches[[#This Row],[Филиал]], tbl_Filialy[Филиал], tbl_Filialy[Менеджер])</f>
        <v>Дмитрий Волков</v>
      </c>
    </row>
    <row r="2853" spans="1:10" x14ac:dyDescent="0.3">
      <c r="A2853" t="str">
        <f>_xlfn.XLOOKUP(branches[[#This Row],[Филиал]], tbl_Filialy[Филиал], tbl_Filialy[Город])</f>
        <v>Санкт-Петербург</v>
      </c>
      <c r="B2853" s="1" t="s">
        <v>38</v>
      </c>
      <c r="C2853" s="2">
        <v>45851</v>
      </c>
      <c r="D2853" s="2" t="str">
        <f>CHOOSE(MONTH(branches[[#This Row],[Дата]]),"Январь","Февраль","Март","Апрель","Май","Июнь","Июль","Август","Сентябрь","Октябрь","Ноябрь","Декабрь")&amp;" "&amp;YEAR(branches[[#This Row],[Дата]])</f>
        <v>Июль 2025</v>
      </c>
      <c r="E2853" t="s">
        <v>25</v>
      </c>
      <c r="F2853" t="s">
        <v>12</v>
      </c>
      <c r="G2853">
        <v>2</v>
      </c>
      <c r="H2853">
        <v>470</v>
      </c>
      <c r="I2853" t="s">
        <v>15</v>
      </c>
      <c r="J2853" t="str">
        <f>_xlfn.XLOOKUP(branches[[#This Row],[Филиал]], tbl_Filialy[Филиал], tbl_Filialy[Менеджер])</f>
        <v>Дмитрий Волков</v>
      </c>
    </row>
    <row r="2854" spans="1:10" x14ac:dyDescent="0.3">
      <c r="A2854" t="str">
        <f>_xlfn.XLOOKUP(branches[[#This Row],[Филиал]], tbl_Filialy[Филиал], tbl_Filialy[Город])</f>
        <v>Санкт-Петербург</v>
      </c>
      <c r="B2854" s="1" t="s">
        <v>38</v>
      </c>
      <c r="C2854" s="2">
        <v>45953</v>
      </c>
      <c r="D2854" s="2" t="str">
        <f>CHOOSE(MONTH(branches[[#This Row],[Дата]]),"Январь","Февраль","Март","Апрель","Май","Июнь","Июль","Август","Сентябрь","Октябрь","Ноябрь","Декабрь")&amp;" "&amp;YEAR(branches[[#This Row],[Дата]])</f>
        <v>Октябрь 2025</v>
      </c>
      <c r="E2854" t="s">
        <v>8</v>
      </c>
      <c r="F2854" t="s">
        <v>9</v>
      </c>
      <c r="G2854">
        <v>2</v>
      </c>
      <c r="H2854">
        <v>472</v>
      </c>
      <c r="I2854" t="s">
        <v>15</v>
      </c>
      <c r="J2854" t="str">
        <f>_xlfn.XLOOKUP(branches[[#This Row],[Филиал]], tbl_Filialy[Филиал], tbl_Filialy[Менеджер])</f>
        <v>Дмитрий Волков</v>
      </c>
    </row>
    <row r="2855" spans="1:10" x14ac:dyDescent="0.3">
      <c r="A2855" t="str">
        <f>_xlfn.XLOOKUP(branches[[#This Row],[Филиал]], tbl_Filialy[Филиал], tbl_Filialy[Город])</f>
        <v>Санкт-Петербург</v>
      </c>
      <c r="B2855" s="1" t="s">
        <v>38</v>
      </c>
      <c r="C2855" s="2">
        <v>45741</v>
      </c>
      <c r="D2855" s="2" t="str">
        <f>CHOOSE(MONTH(branches[[#This Row],[Дата]]),"Январь","Февраль","Март","Апрель","Май","Июнь","Июль","Август","Сентябрь","Октябрь","Ноябрь","Декабрь")&amp;" "&amp;YEAR(branches[[#This Row],[Дата]])</f>
        <v>Март 2025</v>
      </c>
      <c r="E2855" t="s">
        <v>26</v>
      </c>
      <c r="F2855" t="s">
        <v>9</v>
      </c>
      <c r="G2855">
        <v>1</v>
      </c>
      <c r="H2855">
        <v>192</v>
      </c>
      <c r="I2855" t="s">
        <v>15</v>
      </c>
      <c r="J2855" t="str">
        <f>_xlfn.XLOOKUP(branches[[#This Row],[Филиал]], tbl_Filialy[Филиал], tbl_Filialy[Менеджер])</f>
        <v>Дмитрий Волков</v>
      </c>
    </row>
    <row r="2856" spans="1:10" x14ac:dyDescent="0.3">
      <c r="A2856" t="str">
        <f>_xlfn.XLOOKUP(branches[[#This Row],[Филиал]], tbl_Filialy[Филиал], tbl_Filialy[Город])</f>
        <v>Санкт-Петербург</v>
      </c>
      <c r="B2856" s="1" t="s">
        <v>38</v>
      </c>
      <c r="C2856" s="2">
        <v>45891</v>
      </c>
      <c r="D2856" s="2" t="str">
        <f>CHOOSE(MONTH(branches[[#This Row],[Дата]]),"Январь","Февраль","Март","Апрель","Май","Июнь","Июль","Август","Сентябрь","Октябрь","Ноябрь","Декабрь")&amp;" "&amp;YEAR(branches[[#This Row],[Дата]])</f>
        <v>Август 2025</v>
      </c>
      <c r="E2856" t="s">
        <v>18</v>
      </c>
      <c r="F2856" t="s">
        <v>12</v>
      </c>
      <c r="G2856">
        <v>1</v>
      </c>
      <c r="H2856">
        <v>131</v>
      </c>
      <c r="I2856" t="s">
        <v>19</v>
      </c>
      <c r="J2856" t="str">
        <f>_xlfn.XLOOKUP(branches[[#This Row],[Филиал]], tbl_Filialy[Филиал], tbl_Filialy[Менеджер])</f>
        <v>Дмитрий Волков</v>
      </c>
    </row>
    <row r="2857" spans="1:10" x14ac:dyDescent="0.3">
      <c r="A2857" t="str">
        <f>_xlfn.XLOOKUP(branches[[#This Row],[Филиал]], tbl_Filialy[Филиал], tbl_Filialy[Город])</f>
        <v>Санкт-Петербург</v>
      </c>
      <c r="B2857" s="1" t="s">
        <v>38</v>
      </c>
      <c r="C2857" s="2">
        <v>45791</v>
      </c>
      <c r="D2857" s="2" t="str">
        <f>CHOOSE(MONTH(branches[[#This Row],[Дата]]),"Январь","Февраль","Март","Апрель","Май","Июнь","Июль","Август","Сентябрь","Октябрь","Ноябрь","Декабрь")&amp;" "&amp;YEAR(branches[[#This Row],[Дата]])</f>
        <v>Май 2025</v>
      </c>
      <c r="E2857" t="s">
        <v>22</v>
      </c>
      <c r="F2857" t="s">
        <v>9</v>
      </c>
      <c r="G2857">
        <v>2</v>
      </c>
      <c r="H2857">
        <v>334</v>
      </c>
      <c r="I2857" t="s">
        <v>15</v>
      </c>
      <c r="J2857" t="str">
        <f>_xlfn.XLOOKUP(branches[[#This Row],[Филиал]], tbl_Filialy[Филиал], tbl_Filialy[Менеджер])</f>
        <v>Дмитрий Волков</v>
      </c>
    </row>
    <row r="2858" spans="1:10" x14ac:dyDescent="0.3">
      <c r="A2858" t="str">
        <f>_xlfn.XLOOKUP(branches[[#This Row],[Филиал]], tbl_Filialy[Филиал], tbl_Filialy[Город])</f>
        <v>Санкт-Петербург</v>
      </c>
      <c r="B2858" s="1" t="s">
        <v>38</v>
      </c>
      <c r="C2858" s="2">
        <v>45970</v>
      </c>
      <c r="D2858" s="2" t="str">
        <f>CHOOSE(MONTH(branches[[#This Row],[Дата]]),"Январь","Февраль","Март","Апрель","Май","Июнь","Июль","Август","Сентябрь","Октябрь","Ноябрь","Декабрь")&amp;" "&amp;YEAR(branches[[#This Row],[Дата]])</f>
        <v>Ноябрь 2025</v>
      </c>
      <c r="E2858" t="s">
        <v>28</v>
      </c>
      <c r="F2858" t="s">
        <v>12</v>
      </c>
      <c r="G2858">
        <v>1</v>
      </c>
      <c r="H2858">
        <v>203</v>
      </c>
      <c r="I2858" t="s">
        <v>15</v>
      </c>
      <c r="J2858" t="str">
        <f>_xlfn.XLOOKUP(branches[[#This Row],[Филиал]], tbl_Filialy[Филиал], tbl_Filialy[Менеджер])</f>
        <v>Дмитрий Волков</v>
      </c>
    </row>
    <row r="2859" spans="1:10" x14ac:dyDescent="0.3">
      <c r="A2859" t="str">
        <f>_xlfn.XLOOKUP(branches[[#This Row],[Филиал]], tbl_Filialy[Филиал], tbl_Filialy[Город])</f>
        <v>Санкт-Петербург</v>
      </c>
      <c r="B2859" s="1" t="s">
        <v>38</v>
      </c>
      <c r="C2859" s="2">
        <v>45787</v>
      </c>
      <c r="D2859" s="2" t="str">
        <f>CHOOSE(MONTH(branches[[#This Row],[Дата]]),"Январь","Февраль","Март","Апрель","Май","Июнь","Июль","Август","Сентябрь","Октябрь","Ноябрь","Декабрь")&amp;" "&amp;YEAR(branches[[#This Row],[Дата]])</f>
        <v>Май 2025</v>
      </c>
      <c r="E2859" t="s">
        <v>24</v>
      </c>
      <c r="F2859" t="s">
        <v>17</v>
      </c>
      <c r="G2859">
        <v>1</v>
      </c>
      <c r="H2859">
        <v>700</v>
      </c>
      <c r="I2859" t="s">
        <v>23</v>
      </c>
      <c r="J2859" t="str">
        <f>_xlfn.XLOOKUP(branches[[#This Row],[Филиал]], tbl_Filialy[Филиал], tbl_Filialy[Менеджер])</f>
        <v>Дмитрий Волков</v>
      </c>
    </row>
    <row r="2860" spans="1:10" x14ac:dyDescent="0.3">
      <c r="A2860" t="str">
        <f>_xlfn.XLOOKUP(branches[[#This Row],[Филиал]], tbl_Filialy[Филиал], tbl_Filialy[Город])</f>
        <v>Санкт-Петербург</v>
      </c>
      <c r="B2860" s="1" t="s">
        <v>38</v>
      </c>
      <c r="C2860" s="2">
        <v>45938</v>
      </c>
      <c r="D2860" s="2" t="str">
        <f>CHOOSE(MONTH(branches[[#This Row],[Дата]]),"Январь","Февраль","Март","Апрель","Май","Июнь","Июль","Август","Сентябрь","Октябрь","Ноябрь","Декабрь")&amp;" "&amp;YEAR(branches[[#This Row],[Дата]])</f>
        <v>Октябрь 2025</v>
      </c>
      <c r="E2860" t="s">
        <v>18</v>
      </c>
      <c r="F2860" t="s">
        <v>12</v>
      </c>
      <c r="G2860">
        <v>2</v>
      </c>
      <c r="H2860">
        <v>264</v>
      </c>
      <c r="I2860" t="s">
        <v>13</v>
      </c>
      <c r="J2860" t="str">
        <f>_xlfn.XLOOKUP(branches[[#This Row],[Филиал]], tbl_Filialy[Филиал], tbl_Filialy[Менеджер])</f>
        <v>Дмитрий Волков</v>
      </c>
    </row>
    <row r="2861" spans="1:10" x14ac:dyDescent="0.3">
      <c r="A2861" t="str">
        <f>_xlfn.XLOOKUP(branches[[#This Row],[Филиал]], tbl_Filialy[Филиал], tbl_Filialy[Город])</f>
        <v>Санкт-Петербург</v>
      </c>
      <c r="B2861" s="1" t="s">
        <v>38</v>
      </c>
      <c r="C2861" s="2">
        <v>45986</v>
      </c>
      <c r="D2861" s="2" t="str">
        <f>CHOOSE(MONTH(branches[[#This Row],[Дата]]),"Январь","Февраль","Март","Апрель","Май","Июнь","Июль","Август","Сентябрь","Октябрь","Ноябрь","Декабрь")&amp;" "&amp;YEAR(branches[[#This Row],[Дата]])</f>
        <v>Ноябрь 2025</v>
      </c>
      <c r="E2861" t="s">
        <v>27</v>
      </c>
      <c r="F2861" t="s">
        <v>12</v>
      </c>
      <c r="G2861">
        <v>2</v>
      </c>
      <c r="H2861">
        <v>426</v>
      </c>
      <c r="I2861" t="s">
        <v>23</v>
      </c>
      <c r="J2861" t="str">
        <f>_xlfn.XLOOKUP(branches[[#This Row],[Филиал]], tbl_Filialy[Филиал], tbl_Filialy[Менеджер])</f>
        <v>Дмитрий Волков</v>
      </c>
    </row>
    <row r="2862" spans="1:10" x14ac:dyDescent="0.3">
      <c r="A2862" t="str">
        <f>_xlfn.XLOOKUP(branches[[#This Row],[Филиал]], tbl_Filialy[Филиал], tbl_Filialy[Город])</f>
        <v>Санкт-Петербург</v>
      </c>
      <c r="B2862" s="1" t="s">
        <v>38</v>
      </c>
      <c r="C2862" s="2">
        <v>45662</v>
      </c>
      <c r="D2862" s="2" t="str">
        <f>CHOOSE(MONTH(branches[[#This Row],[Дата]]),"Январь","Февраль","Март","Апрель","Май","Июнь","Июль","Август","Сентябрь","Октябрь","Ноябрь","Декабрь")&amp;" "&amp;YEAR(branches[[#This Row],[Дата]])</f>
        <v>Январь 2025</v>
      </c>
      <c r="E2862" t="s">
        <v>18</v>
      </c>
      <c r="F2862" t="s">
        <v>12</v>
      </c>
      <c r="G2862">
        <v>1</v>
      </c>
      <c r="H2862">
        <v>132</v>
      </c>
      <c r="I2862" t="s">
        <v>19</v>
      </c>
      <c r="J2862" t="str">
        <f>_xlfn.XLOOKUP(branches[[#This Row],[Филиал]], tbl_Filialy[Филиал], tbl_Filialy[Менеджер])</f>
        <v>Дмитрий Волков</v>
      </c>
    </row>
    <row r="2863" spans="1:10" x14ac:dyDescent="0.3">
      <c r="A2863" t="str">
        <f>_xlfn.XLOOKUP(branches[[#This Row],[Филиал]], tbl_Filialy[Филиал], tbl_Filialy[Город])</f>
        <v>Санкт-Петербург</v>
      </c>
      <c r="B2863" s="1" t="s">
        <v>38</v>
      </c>
      <c r="C2863" s="2">
        <v>45830</v>
      </c>
      <c r="D2863" s="2" t="str">
        <f>CHOOSE(MONTH(branches[[#This Row],[Дата]]),"Январь","Февраль","Март","Апрель","Май","Июнь","Июль","Август","Сентябрь","Октябрь","Ноябрь","Декабрь")&amp;" "&amp;YEAR(branches[[#This Row],[Дата]])</f>
        <v>Июнь 2025</v>
      </c>
      <c r="E2863" t="s">
        <v>18</v>
      </c>
      <c r="F2863" t="s">
        <v>12</v>
      </c>
      <c r="G2863">
        <v>2</v>
      </c>
      <c r="H2863">
        <v>276</v>
      </c>
      <c r="I2863" t="s">
        <v>10</v>
      </c>
      <c r="J2863" t="str">
        <f>_xlfn.XLOOKUP(branches[[#This Row],[Филиал]], tbl_Filialy[Филиал], tbl_Filialy[Менеджер])</f>
        <v>Дмитрий Волков</v>
      </c>
    </row>
    <row r="2864" spans="1:10" x14ac:dyDescent="0.3">
      <c r="A2864" t="str">
        <f>_xlfn.XLOOKUP(branches[[#This Row],[Филиал]], tbl_Filialy[Филиал], tbl_Filialy[Город])</f>
        <v>Санкт-Петербург</v>
      </c>
      <c r="B2864" s="1" t="s">
        <v>38</v>
      </c>
      <c r="C2864" s="2">
        <v>45977</v>
      </c>
      <c r="D2864" s="2" t="str">
        <f>CHOOSE(MONTH(branches[[#This Row],[Дата]]),"Январь","Февраль","Март","Апрель","Май","Июнь","Июль","Август","Сентябрь","Октябрь","Ноябрь","Декабрь")&amp;" "&amp;YEAR(branches[[#This Row],[Дата]])</f>
        <v>Ноябрь 2025</v>
      </c>
      <c r="E2864" t="s">
        <v>28</v>
      </c>
      <c r="F2864" t="s">
        <v>12</v>
      </c>
      <c r="G2864">
        <v>1</v>
      </c>
      <c r="H2864">
        <v>204</v>
      </c>
      <c r="I2864" t="s">
        <v>19</v>
      </c>
      <c r="J2864" t="str">
        <f>_xlfn.XLOOKUP(branches[[#This Row],[Филиал]], tbl_Filialy[Филиал], tbl_Filialy[Менеджер])</f>
        <v>Дмитрий Волков</v>
      </c>
    </row>
    <row r="2865" spans="1:10" x14ac:dyDescent="0.3">
      <c r="A2865" t="str">
        <f>_xlfn.XLOOKUP(branches[[#This Row],[Филиал]], tbl_Filialy[Филиал], tbl_Filialy[Город])</f>
        <v>Санкт-Петербург</v>
      </c>
      <c r="B2865" s="1" t="s">
        <v>38</v>
      </c>
      <c r="C2865" s="2">
        <v>45922</v>
      </c>
      <c r="D2865" s="2" t="str">
        <f>CHOOSE(MONTH(branches[[#This Row],[Дата]]),"Январь","Февраль","Март","Апрель","Май","Июнь","Июль","Август","Сентябрь","Октябрь","Ноябрь","Декабрь")&amp;" "&amp;YEAR(branches[[#This Row],[Дата]])</f>
        <v>Сентябрь 2025</v>
      </c>
      <c r="E2865" t="s">
        <v>20</v>
      </c>
      <c r="F2865" t="s">
        <v>12</v>
      </c>
      <c r="G2865">
        <v>2</v>
      </c>
      <c r="H2865">
        <v>520</v>
      </c>
      <c r="I2865" t="s">
        <v>21</v>
      </c>
      <c r="J2865" t="str">
        <f>_xlfn.XLOOKUP(branches[[#This Row],[Филиал]], tbl_Filialy[Филиал], tbl_Filialy[Менеджер])</f>
        <v>Дмитрий Волков</v>
      </c>
    </row>
    <row r="2866" spans="1:10" x14ac:dyDescent="0.3">
      <c r="A2866" t="str">
        <f>_xlfn.XLOOKUP(branches[[#This Row],[Филиал]], tbl_Filialy[Филиал], tbl_Filialy[Город])</f>
        <v>Санкт-Петербург</v>
      </c>
      <c r="B2866" s="1" t="s">
        <v>38</v>
      </c>
      <c r="C2866" s="2">
        <v>45772</v>
      </c>
      <c r="D2866" s="2" t="str">
        <f>CHOOSE(MONTH(branches[[#This Row],[Дата]]),"Январь","Февраль","Март","Апрель","Май","Июнь","Июль","Август","Сентябрь","Октябрь","Ноябрь","Декабрь")&amp;" "&amp;YEAR(branches[[#This Row],[Дата]])</f>
        <v>Апрель 2025</v>
      </c>
      <c r="E2866" t="s">
        <v>8</v>
      </c>
      <c r="F2866" t="s">
        <v>9</v>
      </c>
      <c r="G2866">
        <v>1</v>
      </c>
      <c r="H2866">
        <v>275</v>
      </c>
      <c r="I2866" t="s">
        <v>13</v>
      </c>
      <c r="J2866" t="str">
        <f>_xlfn.XLOOKUP(branches[[#This Row],[Филиал]], tbl_Filialy[Филиал], tbl_Filialy[Менеджер])</f>
        <v>Дмитрий Волков</v>
      </c>
    </row>
    <row r="2867" spans="1:10" x14ac:dyDescent="0.3">
      <c r="A2867" t="str">
        <f>_xlfn.XLOOKUP(branches[[#This Row],[Филиал]], tbl_Filialy[Филиал], tbl_Filialy[Город])</f>
        <v>Санкт-Петербург</v>
      </c>
      <c r="B2867" s="1" t="s">
        <v>38</v>
      </c>
      <c r="C2867" s="2">
        <v>45790</v>
      </c>
      <c r="D2867" s="2" t="str">
        <f>CHOOSE(MONTH(branches[[#This Row],[Дата]]),"Январь","Февраль","Март","Апрель","Май","Июнь","Июль","Август","Сентябрь","Октябрь","Ноябрь","Декабрь")&amp;" "&amp;YEAR(branches[[#This Row],[Дата]])</f>
        <v>Май 2025</v>
      </c>
      <c r="E2867" t="s">
        <v>22</v>
      </c>
      <c r="F2867" t="s">
        <v>9</v>
      </c>
      <c r="G2867">
        <v>1</v>
      </c>
      <c r="H2867">
        <v>199</v>
      </c>
      <c r="I2867" t="s">
        <v>10</v>
      </c>
      <c r="J2867" t="str">
        <f>_xlfn.XLOOKUP(branches[[#This Row],[Филиал]], tbl_Filialy[Филиал], tbl_Filialy[Менеджер])</f>
        <v>Дмитрий Волков</v>
      </c>
    </row>
    <row r="2868" spans="1:10" x14ac:dyDescent="0.3">
      <c r="A2868" t="str">
        <f>_xlfn.XLOOKUP(branches[[#This Row],[Филиал]], tbl_Filialy[Филиал], tbl_Filialy[Город])</f>
        <v>Санкт-Петербург</v>
      </c>
      <c r="B2868" s="1" t="s">
        <v>38</v>
      </c>
      <c r="C2868" s="2">
        <v>45968</v>
      </c>
      <c r="D2868" s="2" t="str">
        <f>CHOOSE(MONTH(branches[[#This Row],[Дата]]),"Январь","Февраль","Март","Апрель","Май","Июнь","Июль","Август","Сентябрь","Октябрь","Ноябрь","Декабрь")&amp;" "&amp;YEAR(branches[[#This Row],[Дата]])</f>
        <v>Ноябрь 2025</v>
      </c>
      <c r="E2868" t="s">
        <v>22</v>
      </c>
      <c r="F2868" t="s">
        <v>9</v>
      </c>
      <c r="G2868">
        <v>1</v>
      </c>
      <c r="H2868">
        <v>162</v>
      </c>
      <c r="I2868" t="s">
        <v>15</v>
      </c>
      <c r="J2868" t="str">
        <f>_xlfn.XLOOKUP(branches[[#This Row],[Филиал]], tbl_Filialy[Филиал], tbl_Filialy[Менеджер])</f>
        <v>Дмитрий Волков</v>
      </c>
    </row>
    <row r="2869" spans="1:10" x14ac:dyDescent="0.3">
      <c r="A2869" t="str">
        <f>_xlfn.XLOOKUP(branches[[#This Row],[Филиал]], tbl_Filialy[Филиал], tbl_Filialy[Город])</f>
        <v>Санкт-Петербург</v>
      </c>
      <c r="B2869" s="1" t="s">
        <v>38</v>
      </c>
      <c r="C2869" s="2">
        <v>45789</v>
      </c>
      <c r="D2869" s="2" t="str">
        <f>CHOOSE(MONTH(branches[[#This Row],[Дата]]),"Январь","Февраль","Март","Апрель","Май","Июнь","Июль","Август","Сентябрь","Октябрь","Ноябрь","Декабрь")&amp;" "&amp;YEAR(branches[[#This Row],[Дата]])</f>
        <v>Май 2025</v>
      </c>
      <c r="E2869" t="s">
        <v>14</v>
      </c>
      <c r="F2869" t="s">
        <v>12</v>
      </c>
      <c r="G2869">
        <v>3</v>
      </c>
      <c r="H2869">
        <v>705</v>
      </c>
      <c r="I2869" t="s">
        <v>10</v>
      </c>
      <c r="J2869" t="str">
        <f>_xlfn.XLOOKUP(branches[[#This Row],[Филиал]], tbl_Filialy[Филиал], tbl_Filialy[Менеджер])</f>
        <v>Дмитрий Волков</v>
      </c>
    </row>
    <row r="2870" spans="1:10" x14ac:dyDescent="0.3">
      <c r="A2870" t="str">
        <f>_xlfn.XLOOKUP(branches[[#This Row],[Филиал]], tbl_Filialy[Филиал], tbl_Filialy[Город])</f>
        <v>Санкт-Петербург</v>
      </c>
      <c r="B2870" s="1" t="s">
        <v>38</v>
      </c>
      <c r="C2870" s="2">
        <v>46010</v>
      </c>
      <c r="D2870" s="2" t="str">
        <f>CHOOSE(MONTH(branches[[#This Row],[Дата]]),"Январь","Февраль","Март","Апрель","Май","Июнь","Июль","Август","Сентябрь","Октябрь","Ноябрь","Декабрь")&amp;" "&amp;YEAR(branches[[#This Row],[Дата]])</f>
        <v>Декабрь 2025</v>
      </c>
      <c r="E2870" t="s">
        <v>14</v>
      </c>
      <c r="F2870" t="s">
        <v>12</v>
      </c>
      <c r="G2870">
        <v>1</v>
      </c>
      <c r="H2870">
        <v>235</v>
      </c>
      <c r="I2870" t="s">
        <v>15</v>
      </c>
      <c r="J2870" t="str">
        <f>_xlfn.XLOOKUP(branches[[#This Row],[Филиал]], tbl_Filialy[Филиал], tbl_Filialy[Менеджер])</f>
        <v>Дмитрий Волков</v>
      </c>
    </row>
    <row r="2871" spans="1:10" x14ac:dyDescent="0.3">
      <c r="A2871" t="str">
        <f>_xlfn.XLOOKUP(branches[[#This Row],[Филиал]], tbl_Filialy[Филиал], tbl_Filialy[Город])</f>
        <v>Санкт-Петербург</v>
      </c>
      <c r="B2871" s="1" t="s">
        <v>38</v>
      </c>
      <c r="C2871" s="2">
        <v>45885</v>
      </c>
      <c r="D2871" s="2" t="str">
        <f>CHOOSE(MONTH(branches[[#This Row],[Дата]]),"Январь","Февраль","Март","Апрель","Май","Июнь","Июль","Август","Сентябрь","Октябрь","Ноябрь","Декабрь")&amp;" "&amp;YEAR(branches[[#This Row],[Дата]])</f>
        <v>Август 2025</v>
      </c>
      <c r="E2871" t="s">
        <v>11</v>
      </c>
      <c r="F2871" t="s">
        <v>12</v>
      </c>
      <c r="G2871">
        <v>3</v>
      </c>
      <c r="H2871">
        <v>573</v>
      </c>
      <c r="I2871" t="s">
        <v>10</v>
      </c>
      <c r="J2871" t="str">
        <f>_xlfn.XLOOKUP(branches[[#This Row],[Филиал]], tbl_Filialy[Филиал], tbl_Filialy[Менеджер])</f>
        <v>Дмитрий Волков</v>
      </c>
    </row>
    <row r="2872" spans="1:10" x14ac:dyDescent="0.3">
      <c r="A2872" t="str">
        <f>_xlfn.XLOOKUP(branches[[#This Row],[Филиал]], tbl_Filialy[Филиал], tbl_Filialy[Город])</f>
        <v>Санкт-Петербург</v>
      </c>
      <c r="B2872" s="1" t="s">
        <v>38</v>
      </c>
      <c r="C2872" s="2">
        <v>45984</v>
      </c>
      <c r="D2872" s="2" t="str">
        <f>CHOOSE(MONTH(branches[[#This Row],[Дата]]),"Январь","Февраль","Март","Апрель","Май","Июнь","Июль","Август","Сентябрь","Октябрь","Ноябрь","Декабрь")&amp;" "&amp;YEAR(branches[[#This Row],[Дата]])</f>
        <v>Ноябрь 2025</v>
      </c>
      <c r="E2872" t="s">
        <v>22</v>
      </c>
      <c r="F2872" t="s">
        <v>9</v>
      </c>
      <c r="G2872">
        <v>1</v>
      </c>
      <c r="H2872">
        <v>189</v>
      </c>
      <c r="I2872" t="s">
        <v>23</v>
      </c>
      <c r="J2872" t="str">
        <f>_xlfn.XLOOKUP(branches[[#This Row],[Филиал]], tbl_Filialy[Филиал], tbl_Filialy[Менеджер])</f>
        <v>Дмитрий Волков</v>
      </c>
    </row>
    <row r="2873" spans="1:10" x14ac:dyDescent="0.3">
      <c r="A2873" t="str">
        <f>_xlfn.XLOOKUP(branches[[#This Row],[Филиал]], tbl_Filialy[Филиал], tbl_Filialy[Город])</f>
        <v>Санкт-Петербург</v>
      </c>
      <c r="B2873" s="1" t="s">
        <v>38</v>
      </c>
      <c r="C2873" s="2">
        <v>45994</v>
      </c>
      <c r="D2873" s="2" t="str">
        <f>CHOOSE(MONTH(branches[[#This Row],[Дата]]),"Январь","Февраль","Март","Апрель","Май","Июнь","Июль","Август","Сентябрь","Октябрь","Ноябрь","Декабрь")&amp;" "&amp;YEAR(branches[[#This Row],[Дата]])</f>
        <v>Декабрь 2025</v>
      </c>
      <c r="E2873" t="s">
        <v>18</v>
      </c>
      <c r="F2873" t="s">
        <v>12</v>
      </c>
      <c r="G2873">
        <v>1</v>
      </c>
      <c r="H2873">
        <v>151</v>
      </c>
      <c r="I2873" t="s">
        <v>13</v>
      </c>
      <c r="J2873" t="str">
        <f>_xlfn.XLOOKUP(branches[[#This Row],[Филиал]], tbl_Filialy[Филиал], tbl_Filialy[Менеджер])</f>
        <v>Дмитрий Волков</v>
      </c>
    </row>
    <row r="2874" spans="1:10" x14ac:dyDescent="0.3">
      <c r="A2874" t="str">
        <f>_xlfn.XLOOKUP(branches[[#This Row],[Филиал]], tbl_Filialy[Филиал], tbl_Filialy[Город])</f>
        <v>Санкт-Петербург</v>
      </c>
      <c r="B2874" s="1" t="s">
        <v>38</v>
      </c>
      <c r="C2874" s="2">
        <v>45785</v>
      </c>
      <c r="D2874" s="2" t="str">
        <f>CHOOSE(MONTH(branches[[#This Row],[Дата]]),"Январь","Февраль","Март","Апрель","Май","Июнь","Июль","Август","Сентябрь","Октябрь","Ноябрь","Декабрь")&amp;" "&amp;YEAR(branches[[#This Row],[Дата]])</f>
        <v>Май 2025</v>
      </c>
      <c r="E2874" t="s">
        <v>25</v>
      </c>
      <c r="F2874" t="s">
        <v>12</v>
      </c>
      <c r="G2874">
        <v>1</v>
      </c>
      <c r="H2874">
        <v>209</v>
      </c>
      <c r="I2874" t="s">
        <v>13</v>
      </c>
      <c r="J2874" t="str">
        <f>_xlfn.XLOOKUP(branches[[#This Row],[Филиал]], tbl_Filialy[Филиал], tbl_Filialy[Менеджер])</f>
        <v>Дмитрий Волков</v>
      </c>
    </row>
    <row r="2875" spans="1:10" x14ac:dyDescent="0.3">
      <c r="A2875" t="str">
        <f>_xlfn.XLOOKUP(branches[[#This Row],[Филиал]], tbl_Filialy[Филиал], tbl_Filialy[Город])</f>
        <v>Санкт-Петербург</v>
      </c>
      <c r="B2875" s="1" t="s">
        <v>38</v>
      </c>
      <c r="C2875" s="2">
        <v>45740</v>
      </c>
      <c r="D2875" s="2" t="str">
        <f>CHOOSE(MONTH(branches[[#This Row],[Дата]]),"Январь","Февраль","Март","Апрель","Май","Июнь","Июль","Август","Сентябрь","Октябрь","Ноябрь","Декабрь")&amp;" "&amp;YEAR(branches[[#This Row],[Дата]])</f>
        <v>Март 2025</v>
      </c>
      <c r="E2875" t="s">
        <v>18</v>
      </c>
      <c r="F2875" t="s">
        <v>12</v>
      </c>
      <c r="G2875">
        <v>2</v>
      </c>
      <c r="H2875">
        <v>310</v>
      </c>
      <c r="I2875" t="s">
        <v>13</v>
      </c>
      <c r="J2875" t="str">
        <f>_xlfn.XLOOKUP(branches[[#This Row],[Филиал]], tbl_Filialy[Филиал], tbl_Filialy[Менеджер])</f>
        <v>Дмитрий Волков</v>
      </c>
    </row>
    <row r="2876" spans="1:10" x14ac:dyDescent="0.3">
      <c r="A2876" t="str">
        <f>_xlfn.XLOOKUP(branches[[#This Row],[Филиал]], tbl_Filialy[Филиал], tbl_Filialy[Город])</f>
        <v>Санкт-Петербург</v>
      </c>
      <c r="B2876" s="1" t="s">
        <v>38</v>
      </c>
      <c r="C2876" s="2">
        <v>45812</v>
      </c>
      <c r="D2876" s="2" t="str">
        <f>CHOOSE(MONTH(branches[[#This Row],[Дата]]),"Январь","Февраль","Март","Апрель","Май","Июнь","Июль","Август","Сентябрь","Октябрь","Ноябрь","Декабрь")&amp;" "&amp;YEAR(branches[[#This Row],[Дата]])</f>
        <v>Июнь 2025</v>
      </c>
      <c r="E2876" t="s">
        <v>25</v>
      </c>
      <c r="F2876" t="s">
        <v>12</v>
      </c>
      <c r="G2876">
        <v>1</v>
      </c>
      <c r="H2876">
        <v>228</v>
      </c>
      <c r="I2876" t="s">
        <v>23</v>
      </c>
      <c r="J2876" t="str">
        <f>_xlfn.XLOOKUP(branches[[#This Row],[Филиал]], tbl_Filialy[Филиал], tbl_Filialy[Менеджер])</f>
        <v>Дмитрий Волков</v>
      </c>
    </row>
    <row r="2877" spans="1:10" x14ac:dyDescent="0.3">
      <c r="A2877" t="str">
        <f>_xlfn.XLOOKUP(branches[[#This Row],[Филиал]], tbl_Filialy[Филиал], tbl_Filialy[Город])</f>
        <v>Санкт-Петербург</v>
      </c>
      <c r="B2877" s="1" t="s">
        <v>38</v>
      </c>
      <c r="C2877" s="2">
        <v>45760</v>
      </c>
      <c r="D2877" s="2" t="str">
        <f>CHOOSE(MONTH(branches[[#This Row],[Дата]]),"Январь","Февраль","Март","Апрель","Май","Июнь","Июль","Август","Сентябрь","Октябрь","Ноябрь","Декабрь")&amp;" "&amp;YEAR(branches[[#This Row],[Дата]])</f>
        <v>Апрель 2025</v>
      </c>
      <c r="E2877" t="s">
        <v>14</v>
      </c>
      <c r="F2877" t="s">
        <v>12</v>
      </c>
      <c r="G2877">
        <v>2</v>
      </c>
      <c r="H2877">
        <v>510</v>
      </c>
      <c r="I2877" t="s">
        <v>13</v>
      </c>
      <c r="J2877" t="str">
        <f>_xlfn.XLOOKUP(branches[[#This Row],[Филиал]], tbl_Filialy[Филиал], tbl_Filialy[Менеджер])</f>
        <v>Дмитрий Волков</v>
      </c>
    </row>
    <row r="2878" spans="1:10" x14ac:dyDescent="0.3">
      <c r="A2878" t="str">
        <f>_xlfn.XLOOKUP(branches[[#This Row],[Филиал]], tbl_Filialy[Филиал], tbl_Filialy[Город])</f>
        <v>Санкт-Петербург</v>
      </c>
      <c r="B2878" s="1" t="s">
        <v>38</v>
      </c>
      <c r="C2878" s="2">
        <v>46003</v>
      </c>
      <c r="D2878" s="2" t="str">
        <f>CHOOSE(MONTH(branches[[#This Row],[Дата]]),"Январь","Февраль","Март","Апрель","Май","Июнь","Июль","Август","Сентябрь","Октябрь","Ноябрь","Декабрь")&amp;" "&amp;YEAR(branches[[#This Row],[Дата]])</f>
        <v>Декабрь 2025</v>
      </c>
      <c r="E2878" t="s">
        <v>16</v>
      </c>
      <c r="F2878" t="s">
        <v>17</v>
      </c>
      <c r="G2878">
        <v>1</v>
      </c>
      <c r="H2878">
        <v>305</v>
      </c>
      <c r="I2878" t="s">
        <v>23</v>
      </c>
      <c r="J2878" t="str">
        <f>_xlfn.XLOOKUP(branches[[#This Row],[Филиал]], tbl_Filialy[Филиал], tbl_Filialy[Менеджер])</f>
        <v>Дмитрий Волков</v>
      </c>
    </row>
    <row r="2879" spans="1:10" x14ac:dyDescent="0.3">
      <c r="A2879" t="str">
        <f>_xlfn.XLOOKUP(branches[[#This Row],[Филиал]], tbl_Filialy[Филиал], tbl_Filialy[Город])</f>
        <v>Санкт-Петербург</v>
      </c>
      <c r="B2879" s="1" t="s">
        <v>38</v>
      </c>
      <c r="C2879" s="2">
        <v>45700</v>
      </c>
      <c r="D2879" s="2" t="str">
        <f>CHOOSE(MONTH(branches[[#This Row],[Дата]]),"Январь","Февраль","Март","Апрель","Май","Июнь","Июль","Август","Сентябрь","Октябрь","Ноябрь","Декабрь")&amp;" "&amp;YEAR(branches[[#This Row],[Дата]])</f>
        <v>Февраль 2025</v>
      </c>
      <c r="E2879" t="s">
        <v>28</v>
      </c>
      <c r="F2879" t="s">
        <v>12</v>
      </c>
      <c r="G2879">
        <v>2</v>
      </c>
      <c r="H2879">
        <v>510</v>
      </c>
      <c r="I2879" t="s">
        <v>23</v>
      </c>
      <c r="J2879" t="str">
        <f>_xlfn.XLOOKUP(branches[[#This Row],[Филиал]], tbl_Filialy[Филиал], tbl_Filialy[Менеджер])</f>
        <v>Дмитрий Волков</v>
      </c>
    </row>
    <row r="2880" spans="1:10" x14ac:dyDescent="0.3">
      <c r="A2880" t="str">
        <f>_xlfn.XLOOKUP(branches[[#This Row],[Филиал]], tbl_Filialy[Филиал], tbl_Filialy[Город])</f>
        <v>Санкт-Петербург</v>
      </c>
      <c r="B2880" s="1" t="s">
        <v>38</v>
      </c>
      <c r="C2880" s="2">
        <v>45694</v>
      </c>
      <c r="D2880" s="2" t="str">
        <f>CHOOSE(MONTH(branches[[#This Row],[Дата]]),"Январь","Февраль","Март","Апрель","Май","Июнь","Июль","Август","Сентябрь","Октябрь","Ноябрь","Декабрь")&amp;" "&amp;YEAR(branches[[#This Row],[Дата]])</f>
        <v>Февраль 2025</v>
      </c>
      <c r="E2880" t="s">
        <v>25</v>
      </c>
      <c r="F2880" t="s">
        <v>12</v>
      </c>
      <c r="G2880">
        <v>1</v>
      </c>
      <c r="H2880">
        <v>206</v>
      </c>
      <c r="I2880" t="s">
        <v>21</v>
      </c>
      <c r="J2880" t="str">
        <f>_xlfn.XLOOKUP(branches[[#This Row],[Филиал]], tbl_Filialy[Филиал], tbl_Filialy[Менеджер])</f>
        <v>Дмитрий Волков</v>
      </c>
    </row>
    <row r="2881" spans="1:10" x14ac:dyDescent="0.3">
      <c r="A2881" t="str">
        <f>_xlfn.XLOOKUP(branches[[#This Row],[Филиал]], tbl_Filialy[Филиал], tbl_Filialy[Город])</f>
        <v>Санкт-Петербург</v>
      </c>
      <c r="B2881" s="1" t="s">
        <v>38</v>
      </c>
      <c r="C2881" s="2">
        <v>45676</v>
      </c>
      <c r="D2881" s="2" t="str">
        <f>CHOOSE(MONTH(branches[[#This Row],[Дата]]),"Январь","Февраль","Март","Апрель","Май","Июнь","Июль","Август","Сентябрь","Октябрь","Ноябрь","Декабрь")&amp;" "&amp;YEAR(branches[[#This Row],[Дата]])</f>
        <v>Январь 2025</v>
      </c>
      <c r="E2881" t="s">
        <v>22</v>
      </c>
      <c r="F2881" t="s">
        <v>9</v>
      </c>
      <c r="G2881">
        <v>1</v>
      </c>
      <c r="H2881">
        <v>161</v>
      </c>
      <c r="I2881" t="s">
        <v>23</v>
      </c>
      <c r="J2881" t="str">
        <f>_xlfn.XLOOKUP(branches[[#This Row],[Филиал]], tbl_Filialy[Филиал], tbl_Filialy[Менеджер])</f>
        <v>Дмитрий Волков</v>
      </c>
    </row>
    <row r="2882" spans="1:10" x14ac:dyDescent="0.3">
      <c r="A2882" t="str">
        <f>_xlfn.XLOOKUP(branches[[#This Row],[Филиал]], tbl_Filialy[Филиал], tbl_Filialy[Город])</f>
        <v>Санкт-Петербург</v>
      </c>
      <c r="B2882" s="1" t="s">
        <v>38</v>
      </c>
      <c r="C2882" s="2">
        <v>45753</v>
      </c>
      <c r="D2882" s="2" t="str">
        <f>CHOOSE(MONTH(branches[[#This Row],[Дата]]),"Январь","Февраль","Март","Апрель","Май","Июнь","Июль","Август","Сентябрь","Октябрь","Ноябрь","Декабрь")&amp;" "&amp;YEAR(branches[[#This Row],[Дата]])</f>
        <v>Апрель 2025</v>
      </c>
      <c r="E2882" t="s">
        <v>8</v>
      </c>
      <c r="F2882" t="s">
        <v>9</v>
      </c>
      <c r="G2882">
        <v>1</v>
      </c>
      <c r="H2882">
        <v>242</v>
      </c>
      <c r="I2882" t="s">
        <v>10</v>
      </c>
      <c r="J2882" t="str">
        <f>_xlfn.XLOOKUP(branches[[#This Row],[Филиал]], tbl_Filialy[Филиал], tbl_Filialy[Менеджер])</f>
        <v>Дмитрий Волков</v>
      </c>
    </row>
    <row r="2883" spans="1:10" x14ac:dyDescent="0.3">
      <c r="A2883" t="str">
        <f>_xlfn.XLOOKUP(branches[[#This Row],[Филиал]], tbl_Filialy[Филиал], tbl_Filialy[Город])</f>
        <v>Санкт-Петербург</v>
      </c>
      <c r="B2883" s="1" t="s">
        <v>38</v>
      </c>
      <c r="C2883" s="2">
        <v>45948</v>
      </c>
      <c r="D2883" s="2" t="str">
        <f>CHOOSE(MONTH(branches[[#This Row],[Дата]]),"Январь","Февраль","Март","Апрель","Май","Июнь","Июль","Август","Сентябрь","Октябрь","Ноябрь","Декабрь")&amp;" "&amp;YEAR(branches[[#This Row],[Дата]])</f>
        <v>Октябрь 2025</v>
      </c>
      <c r="E2883" t="s">
        <v>24</v>
      </c>
      <c r="F2883" t="s">
        <v>17</v>
      </c>
      <c r="G2883">
        <v>1</v>
      </c>
      <c r="H2883">
        <v>365</v>
      </c>
      <c r="I2883" t="s">
        <v>15</v>
      </c>
      <c r="J2883" t="str">
        <f>_xlfn.XLOOKUP(branches[[#This Row],[Филиал]], tbl_Filialy[Филиал], tbl_Filialy[Менеджер])</f>
        <v>Дмитрий Волков</v>
      </c>
    </row>
    <row r="2884" spans="1:10" x14ac:dyDescent="0.3">
      <c r="A2884" t="str">
        <f>_xlfn.XLOOKUP(branches[[#This Row],[Филиал]], tbl_Filialy[Филиал], tbl_Filialy[Город])</f>
        <v>Санкт-Петербург</v>
      </c>
      <c r="B2884" s="1" t="s">
        <v>38</v>
      </c>
      <c r="C2884" s="2">
        <v>45712</v>
      </c>
      <c r="D2884" s="2" t="str">
        <f>CHOOSE(MONTH(branches[[#This Row],[Дата]]),"Январь","Февраль","Март","Апрель","Май","Июнь","Июль","Август","Сентябрь","Октябрь","Ноябрь","Декабрь")&amp;" "&amp;YEAR(branches[[#This Row],[Дата]])</f>
        <v>Февраль 2025</v>
      </c>
      <c r="E2884" t="s">
        <v>11</v>
      </c>
      <c r="F2884" t="s">
        <v>12</v>
      </c>
      <c r="G2884">
        <v>2</v>
      </c>
      <c r="H2884">
        <v>328</v>
      </c>
      <c r="I2884" t="s">
        <v>13</v>
      </c>
      <c r="J2884" t="str">
        <f>_xlfn.XLOOKUP(branches[[#This Row],[Филиал]], tbl_Filialy[Филиал], tbl_Filialy[Менеджер])</f>
        <v>Дмитрий Волков</v>
      </c>
    </row>
    <row r="2885" spans="1:10" x14ac:dyDescent="0.3">
      <c r="A2885" t="str">
        <f>_xlfn.XLOOKUP(branches[[#This Row],[Филиал]], tbl_Filialy[Филиал], tbl_Filialy[Город])</f>
        <v>Санкт-Петербург</v>
      </c>
      <c r="B2885" s="1" t="s">
        <v>38</v>
      </c>
      <c r="C2885" s="2">
        <v>45682</v>
      </c>
      <c r="D2885" s="2" t="str">
        <f>CHOOSE(MONTH(branches[[#This Row],[Дата]]),"Январь","Февраль","Март","Апрель","Май","Июнь","Июль","Август","Сентябрь","Октябрь","Ноябрь","Декабрь")&amp;" "&amp;YEAR(branches[[#This Row],[Дата]])</f>
        <v>Январь 2025</v>
      </c>
      <c r="E2885" t="s">
        <v>25</v>
      </c>
      <c r="F2885" t="s">
        <v>12</v>
      </c>
      <c r="G2885">
        <v>2</v>
      </c>
      <c r="H2885">
        <v>470</v>
      </c>
      <c r="I2885" t="s">
        <v>13</v>
      </c>
      <c r="J2885" t="str">
        <f>_xlfn.XLOOKUP(branches[[#This Row],[Филиал]], tbl_Filialy[Филиал], tbl_Filialy[Менеджер])</f>
        <v>Дмитрий Волков</v>
      </c>
    </row>
    <row r="2886" spans="1:10" x14ac:dyDescent="0.3">
      <c r="A2886" t="str">
        <f>_xlfn.XLOOKUP(branches[[#This Row],[Филиал]], tbl_Filialy[Филиал], tbl_Filialy[Город])</f>
        <v>Санкт-Петербург</v>
      </c>
      <c r="B2886" s="1" t="s">
        <v>38</v>
      </c>
      <c r="C2886" s="2">
        <v>45988</v>
      </c>
      <c r="D2886" s="2" t="str">
        <f>CHOOSE(MONTH(branches[[#This Row],[Дата]]),"Январь","Февраль","Март","Апрель","Май","Июнь","Июль","Август","Сентябрь","Октябрь","Ноябрь","Декабрь")&amp;" "&amp;YEAR(branches[[#This Row],[Дата]])</f>
        <v>Ноябрь 2025</v>
      </c>
      <c r="E2886" t="s">
        <v>18</v>
      </c>
      <c r="F2886" t="s">
        <v>12</v>
      </c>
      <c r="G2886">
        <v>1</v>
      </c>
      <c r="H2886">
        <v>144</v>
      </c>
      <c r="I2886" t="s">
        <v>15</v>
      </c>
      <c r="J2886" t="str">
        <f>_xlfn.XLOOKUP(branches[[#This Row],[Филиал]], tbl_Filialy[Филиал], tbl_Filialy[Менеджер])</f>
        <v>Дмитрий Волков</v>
      </c>
    </row>
    <row r="2887" spans="1:10" x14ac:dyDescent="0.3">
      <c r="A2887" t="str">
        <f>_xlfn.XLOOKUP(branches[[#This Row],[Филиал]], tbl_Filialy[Филиал], tbl_Filialy[Город])</f>
        <v>Санкт-Петербург</v>
      </c>
      <c r="B2887" s="1" t="s">
        <v>38</v>
      </c>
      <c r="C2887" s="2">
        <v>45668</v>
      </c>
      <c r="D2887" s="2" t="str">
        <f>CHOOSE(MONTH(branches[[#This Row],[Дата]]),"Январь","Февраль","Март","Апрель","Май","Июнь","Июль","Август","Сентябрь","Октябрь","Ноябрь","Декабрь")&amp;" "&amp;YEAR(branches[[#This Row],[Дата]])</f>
        <v>Январь 2025</v>
      </c>
      <c r="E2887" t="s">
        <v>24</v>
      </c>
      <c r="F2887" t="s">
        <v>17</v>
      </c>
      <c r="G2887">
        <v>3</v>
      </c>
      <c r="H2887">
        <v>1128</v>
      </c>
      <c r="I2887" t="s">
        <v>15</v>
      </c>
      <c r="J2887" t="str">
        <f>_xlfn.XLOOKUP(branches[[#This Row],[Филиал]], tbl_Filialy[Филиал], tbl_Filialy[Менеджер])</f>
        <v>Дмитрий Волков</v>
      </c>
    </row>
    <row r="2888" spans="1:10" x14ac:dyDescent="0.3">
      <c r="A2888" t="str">
        <f>_xlfn.XLOOKUP(branches[[#This Row],[Филиал]], tbl_Filialy[Филиал], tbl_Filialy[Город])</f>
        <v>Санкт-Петербург</v>
      </c>
      <c r="B2888" s="1" t="s">
        <v>38</v>
      </c>
      <c r="C2888" s="2">
        <v>45660</v>
      </c>
      <c r="D2888" s="2" t="str">
        <f>CHOOSE(MONTH(branches[[#This Row],[Дата]]),"Январь","Февраль","Март","Апрель","Май","Июнь","Июль","Август","Сентябрь","Октябрь","Ноябрь","Декабрь")&amp;" "&amp;YEAR(branches[[#This Row],[Дата]])</f>
        <v>Январь 2025</v>
      </c>
      <c r="E2888" t="s">
        <v>26</v>
      </c>
      <c r="F2888" t="s">
        <v>9</v>
      </c>
      <c r="G2888">
        <v>1</v>
      </c>
      <c r="H2888">
        <v>202</v>
      </c>
      <c r="I2888" t="s">
        <v>10</v>
      </c>
      <c r="J2888" t="str">
        <f>_xlfn.XLOOKUP(branches[[#This Row],[Филиал]], tbl_Filialy[Филиал], tbl_Filialy[Менеджер])</f>
        <v>Дмитрий Волков</v>
      </c>
    </row>
    <row r="2889" spans="1:10" x14ac:dyDescent="0.3">
      <c r="A2889" t="str">
        <f>_xlfn.XLOOKUP(branches[[#This Row],[Филиал]], tbl_Filialy[Филиал], tbl_Filialy[Город])</f>
        <v>Санкт-Петербург</v>
      </c>
      <c r="B2889" s="1" t="s">
        <v>38</v>
      </c>
      <c r="C2889" s="2">
        <v>45684</v>
      </c>
      <c r="D2889" s="2" t="str">
        <f>CHOOSE(MONTH(branches[[#This Row],[Дата]]),"Январь","Февраль","Март","Апрель","Май","Июнь","Июль","Август","Сентябрь","Октябрь","Ноябрь","Декабрь")&amp;" "&amp;YEAR(branches[[#This Row],[Дата]])</f>
        <v>Январь 2025</v>
      </c>
      <c r="E2889" t="s">
        <v>26</v>
      </c>
      <c r="F2889" t="s">
        <v>9</v>
      </c>
      <c r="G2889">
        <v>1</v>
      </c>
      <c r="H2889">
        <v>198</v>
      </c>
      <c r="I2889" t="s">
        <v>10</v>
      </c>
      <c r="J2889" t="str">
        <f>_xlfn.XLOOKUP(branches[[#This Row],[Филиал]], tbl_Filialy[Филиал], tbl_Filialy[Менеджер])</f>
        <v>Дмитрий Волков</v>
      </c>
    </row>
    <row r="2890" spans="1:10" x14ac:dyDescent="0.3">
      <c r="A2890" t="str">
        <f>_xlfn.XLOOKUP(branches[[#This Row],[Филиал]], tbl_Filialy[Филиал], tbl_Filialy[Город])</f>
        <v>Санкт-Петербург</v>
      </c>
      <c r="B2890" s="1" t="s">
        <v>38</v>
      </c>
      <c r="C2890" s="2">
        <v>45739</v>
      </c>
      <c r="D2890" s="2" t="str">
        <f>CHOOSE(MONTH(branches[[#This Row],[Дата]]),"Январь","Февраль","Март","Апрель","Май","Июнь","Июль","Август","Сентябрь","Октябрь","Ноябрь","Декабрь")&amp;" "&amp;YEAR(branches[[#This Row],[Дата]])</f>
        <v>Март 2025</v>
      </c>
      <c r="E2890" t="s">
        <v>11</v>
      </c>
      <c r="F2890" t="s">
        <v>12</v>
      </c>
      <c r="G2890">
        <v>1</v>
      </c>
      <c r="H2890">
        <v>164</v>
      </c>
      <c r="I2890" t="s">
        <v>19</v>
      </c>
      <c r="J2890" t="str">
        <f>_xlfn.XLOOKUP(branches[[#This Row],[Филиал]], tbl_Filialy[Филиал], tbl_Filialy[Менеджер])</f>
        <v>Дмитрий Волков</v>
      </c>
    </row>
    <row r="2891" spans="1:10" x14ac:dyDescent="0.3">
      <c r="A2891" t="str">
        <f>_xlfn.XLOOKUP(branches[[#This Row],[Филиал]], tbl_Filialy[Филиал], tbl_Filialy[Город])</f>
        <v>Санкт-Петербург</v>
      </c>
      <c r="B2891" s="1" t="s">
        <v>38</v>
      </c>
      <c r="C2891" s="2">
        <v>45694</v>
      </c>
      <c r="D2891" s="2" t="str">
        <f>CHOOSE(MONTH(branches[[#This Row],[Дата]]),"Январь","Февраль","Март","Апрель","Май","Июнь","Июль","Август","Сентябрь","Октябрь","Ноябрь","Декабрь")&amp;" "&amp;YEAR(branches[[#This Row],[Дата]])</f>
        <v>Февраль 2025</v>
      </c>
      <c r="E2891" t="s">
        <v>20</v>
      </c>
      <c r="F2891" t="s">
        <v>12</v>
      </c>
      <c r="G2891">
        <v>2</v>
      </c>
      <c r="H2891">
        <v>558</v>
      </c>
      <c r="I2891" t="s">
        <v>23</v>
      </c>
      <c r="J2891" t="str">
        <f>_xlfn.XLOOKUP(branches[[#This Row],[Филиал]], tbl_Filialy[Филиал], tbl_Filialy[Менеджер])</f>
        <v>Дмитрий Волков</v>
      </c>
    </row>
    <row r="2892" spans="1:10" x14ac:dyDescent="0.3">
      <c r="A2892" t="str">
        <f>_xlfn.XLOOKUP(branches[[#This Row],[Филиал]], tbl_Filialy[Филиал], tbl_Filialy[Город])</f>
        <v>Санкт-Петербург</v>
      </c>
      <c r="B2892" s="1" t="s">
        <v>38</v>
      </c>
      <c r="C2892" s="2">
        <v>45937</v>
      </c>
      <c r="D2892" s="2" t="str">
        <f>CHOOSE(MONTH(branches[[#This Row],[Дата]]),"Январь","Февраль","Март","Апрель","Май","Июнь","Июль","Август","Сентябрь","Октябрь","Ноябрь","Декабрь")&amp;" "&amp;YEAR(branches[[#This Row],[Дата]])</f>
        <v>Октябрь 2025</v>
      </c>
      <c r="E2892" t="s">
        <v>14</v>
      </c>
      <c r="F2892" t="s">
        <v>12</v>
      </c>
      <c r="G2892">
        <v>1</v>
      </c>
      <c r="H2892">
        <v>244</v>
      </c>
      <c r="I2892" t="s">
        <v>21</v>
      </c>
      <c r="J2892" t="str">
        <f>_xlfn.XLOOKUP(branches[[#This Row],[Филиал]], tbl_Filialy[Филиал], tbl_Filialy[Менеджер])</f>
        <v>Дмитрий Волков</v>
      </c>
    </row>
    <row r="2893" spans="1:10" x14ac:dyDescent="0.3">
      <c r="A2893" t="str">
        <f>_xlfn.XLOOKUP(branches[[#This Row],[Филиал]], tbl_Filialy[Филиал], tbl_Filialy[Город])</f>
        <v>Санкт-Петербург</v>
      </c>
      <c r="B2893" s="1" t="s">
        <v>38</v>
      </c>
      <c r="C2893" s="2">
        <v>45707</v>
      </c>
      <c r="D2893" s="2" t="str">
        <f>CHOOSE(MONTH(branches[[#This Row],[Дата]]),"Январь","Февраль","Март","Апрель","Май","Июнь","Июль","Август","Сентябрь","Октябрь","Ноябрь","Декабрь")&amp;" "&amp;YEAR(branches[[#This Row],[Дата]])</f>
        <v>Февраль 2025</v>
      </c>
      <c r="E2893" t="s">
        <v>27</v>
      </c>
      <c r="F2893" t="s">
        <v>12</v>
      </c>
      <c r="G2893">
        <v>1</v>
      </c>
      <c r="H2893">
        <v>239</v>
      </c>
      <c r="I2893" t="s">
        <v>15</v>
      </c>
      <c r="J2893" t="str">
        <f>_xlfn.XLOOKUP(branches[[#This Row],[Филиал]], tbl_Filialy[Филиал], tbl_Filialy[Менеджер])</f>
        <v>Дмитрий Волков</v>
      </c>
    </row>
    <row r="2894" spans="1:10" x14ac:dyDescent="0.3">
      <c r="A2894" t="str">
        <f>_xlfn.XLOOKUP(branches[[#This Row],[Филиал]], tbl_Filialy[Филиал], tbl_Filialy[Город])</f>
        <v>Санкт-Петербург</v>
      </c>
      <c r="B2894" s="1" t="s">
        <v>38</v>
      </c>
      <c r="C2894" s="2">
        <v>45985</v>
      </c>
      <c r="D2894" s="2" t="str">
        <f>CHOOSE(MONTH(branches[[#This Row],[Дата]]),"Январь","Февраль","Март","Апрель","Май","Июнь","Июль","Август","Сентябрь","Октябрь","Ноябрь","Декабрь")&amp;" "&amp;YEAR(branches[[#This Row],[Дата]])</f>
        <v>Ноябрь 2025</v>
      </c>
      <c r="E2894" t="s">
        <v>14</v>
      </c>
      <c r="F2894" t="s">
        <v>12</v>
      </c>
      <c r="G2894">
        <v>1</v>
      </c>
      <c r="H2894">
        <v>245</v>
      </c>
      <c r="I2894" t="s">
        <v>10</v>
      </c>
      <c r="J2894" t="str">
        <f>_xlfn.XLOOKUP(branches[[#This Row],[Филиал]], tbl_Filialy[Филиал], tbl_Filialy[Менеджер])</f>
        <v>Дмитрий Волков</v>
      </c>
    </row>
    <row r="2895" spans="1:10" x14ac:dyDescent="0.3">
      <c r="A2895" t="str">
        <f>_xlfn.XLOOKUP(branches[[#This Row],[Филиал]], tbl_Filialy[Филиал], tbl_Filialy[Город])</f>
        <v>Санкт-Петербург</v>
      </c>
      <c r="B2895" s="1" t="s">
        <v>38</v>
      </c>
      <c r="C2895" s="2">
        <v>45767</v>
      </c>
      <c r="D2895" s="2" t="str">
        <f>CHOOSE(MONTH(branches[[#This Row],[Дата]]),"Январь","Февраль","Март","Апрель","Май","Июнь","Июль","Август","Сентябрь","Октябрь","Ноябрь","Декабрь")&amp;" "&amp;YEAR(branches[[#This Row],[Дата]])</f>
        <v>Апрель 2025</v>
      </c>
      <c r="E2895" t="s">
        <v>22</v>
      </c>
      <c r="F2895" t="s">
        <v>9</v>
      </c>
      <c r="G2895">
        <v>1</v>
      </c>
      <c r="H2895">
        <v>171</v>
      </c>
      <c r="I2895" t="s">
        <v>23</v>
      </c>
      <c r="J2895" t="str">
        <f>_xlfn.XLOOKUP(branches[[#This Row],[Филиал]], tbl_Filialy[Филиал], tbl_Filialy[Менеджер])</f>
        <v>Дмитрий Волков</v>
      </c>
    </row>
    <row r="2896" spans="1:10" x14ac:dyDescent="0.3">
      <c r="A2896" t="str">
        <f>_xlfn.XLOOKUP(branches[[#This Row],[Филиал]], tbl_Filialy[Филиал], tbl_Filialy[Город])</f>
        <v>Санкт-Петербург</v>
      </c>
      <c r="B2896" s="1" t="s">
        <v>38</v>
      </c>
      <c r="C2896" s="2">
        <v>45922</v>
      </c>
      <c r="D2896" s="2" t="str">
        <f>CHOOSE(MONTH(branches[[#This Row],[Дата]]),"Январь","Февраль","Март","Апрель","Май","Июнь","Июль","Август","Сентябрь","Октябрь","Ноябрь","Декабрь")&amp;" "&amp;YEAR(branches[[#This Row],[Дата]])</f>
        <v>Сентябрь 2025</v>
      </c>
      <c r="E2896" t="s">
        <v>20</v>
      </c>
      <c r="F2896" t="s">
        <v>12</v>
      </c>
      <c r="G2896">
        <v>2</v>
      </c>
      <c r="H2896">
        <v>560</v>
      </c>
      <c r="I2896" t="s">
        <v>15</v>
      </c>
      <c r="J2896" t="str">
        <f>_xlfn.XLOOKUP(branches[[#This Row],[Филиал]], tbl_Filialy[Филиал], tbl_Filialy[Менеджер])</f>
        <v>Дмитрий Волков</v>
      </c>
    </row>
    <row r="2897" spans="1:10" x14ac:dyDescent="0.3">
      <c r="A2897" t="str">
        <f>_xlfn.XLOOKUP(branches[[#This Row],[Филиал]], tbl_Filialy[Филиал], tbl_Filialy[Город])</f>
        <v>Санкт-Петербург</v>
      </c>
      <c r="B2897" s="1" t="s">
        <v>38</v>
      </c>
      <c r="C2897" s="2">
        <v>45853</v>
      </c>
      <c r="D2897" s="2" t="str">
        <f>CHOOSE(MONTH(branches[[#This Row],[Дата]]),"Январь","Февраль","Март","Апрель","Май","Июнь","Июль","Август","Сентябрь","Октябрь","Ноябрь","Декабрь")&amp;" "&amp;YEAR(branches[[#This Row],[Дата]])</f>
        <v>Июль 2025</v>
      </c>
      <c r="E2897" t="s">
        <v>28</v>
      </c>
      <c r="F2897" t="s">
        <v>12</v>
      </c>
      <c r="G2897">
        <v>1</v>
      </c>
      <c r="H2897">
        <v>248</v>
      </c>
      <c r="I2897" t="s">
        <v>15</v>
      </c>
      <c r="J2897" t="str">
        <f>_xlfn.XLOOKUP(branches[[#This Row],[Филиал]], tbl_Filialy[Филиал], tbl_Filialy[Менеджер])</f>
        <v>Дмитрий Волков</v>
      </c>
    </row>
    <row r="2898" spans="1:10" x14ac:dyDescent="0.3">
      <c r="A2898" t="str">
        <f>_xlfn.XLOOKUP(branches[[#This Row],[Филиал]], tbl_Filialy[Филиал], tbl_Filialy[Город])</f>
        <v>Санкт-Петербург</v>
      </c>
      <c r="B2898" s="1" t="s">
        <v>38</v>
      </c>
      <c r="C2898" s="2">
        <v>45909</v>
      </c>
      <c r="D2898" s="2" t="str">
        <f>CHOOSE(MONTH(branches[[#This Row],[Дата]]),"Январь","Февраль","Март","Апрель","Май","Июнь","Июль","Август","Сентябрь","Октябрь","Ноябрь","Декабрь")&amp;" "&amp;YEAR(branches[[#This Row],[Дата]])</f>
        <v>Сентябрь 2025</v>
      </c>
      <c r="E2898" t="s">
        <v>20</v>
      </c>
      <c r="F2898" t="s">
        <v>12</v>
      </c>
      <c r="G2898">
        <v>2</v>
      </c>
      <c r="H2898">
        <v>612</v>
      </c>
      <c r="I2898" t="s">
        <v>10</v>
      </c>
      <c r="J2898" t="str">
        <f>_xlfn.XLOOKUP(branches[[#This Row],[Филиал]], tbl_Filialy[Филиал], tbl_Filialy[Менеджер])</f>
        <v>Дмитрий Волков</v>
      </c>
    </row>
    <row r="2899" spans="1:10" x14ac:dyDescent="0.3">
      <c r="A2899" t="str">
        <f>_xlfn.XLOOKUP(branches[[#This Row],[Филиал]], tbl_Filialy[Филиал], tbl_Filialy[Город])</f>
        <v>Санкт-Петербург</v>
      </c>
      <c r="B2899" s="1" t="s">
        <v>38</v>
      </c>
      <c r="C2899" s="2">
        <v>45828</v>
      </c>
      <c r="D2899" s="2" t="str">
        <f>CHOOSE(MONTH(branches[[#This Row],[Дата]]),"Январь","Февраль","Март","Апрель","Май","Июнь","Июль","Август","Сентябрь","Октябрь","Ноябрь","Декабрь")&amp;" "&amp;YEAR(branches[[#This Row],[Дата]])</f>
        <v>Июнь 2025</v>
      </c>
      <c r="E2899" t="s">
        <v>27</v>
      </c>
      <c r="F2899" t="s">
        <v>12</v>
      </c>
      <c r="G2899">
        <v>1</v>
      </c>
      <c r="H2899">
        <v>230</v>
      </c>
      <c r="I2899" t="s">
        <v>19</v>
      </c>
      <c r="J2899" t="str">
        <f>_xlfn.XLOOKUP(branches[[#This Row],[Филиал]], tbl_Filialy[Филиал], tbl_Filialy[Менеджер])</f>
        <v>Дмитрий Волков</v>
      </c>
    </row>
    <row r="2900" spans="1:10" x14ac:dyDescent="0.3">
      <c r="A2900" t="str">
        <f>_xlfn.XLOOKUP(branches[[#This Row],[Филиал]], tbl_Filialy[Филиал], tbl_Filialy[Город])</f>
        <v>Санкт-Петербург</v>
      </c>
      <c r="B2900" s="1" t="s">
        <v>38</v>
      </c>
      <c r="C2900" s="2">
        <v>45733</v>
      </c>
      <c r="D2900" s="2" t="str">
        <f>CHOOSE(MONTH(branches[[#This Row],[Дата]]),"Январь","Февраль","Март","Апрель","Май","Июнь","Июль","Август","Сентябрь","Октябрь","Ноябрь","Декабрь")&amp;" "&amp;YEAR(branches[[#This Row],[Дата]])</f>
        <v>Март 2025</v>
      </c>
      <c r="E2900" t="s">
        <v>27</v>
      </c>
      <c r="F2900" t="s">
        <v>12</v>
      </c>
      <c r="G2900">
        <v>2</v>
      </c>
      <c r="H2900">
        <v>432</v>
      </c>
      <c r="I2900" t="s">
        <v>19</v>
      </c>
      <c r="J2900" t="str">
        <f>_xlfn.XLOOKUP(branches[[#This Row],[Филиал]], tbl_Filialy[Филиал], tbl_Filialy[Менеджер])</f>
        <v>Дмитрий Волков</v>
      </c>
    </row>
    <row r="2901" spans="1:10" x14ac:dyDescent="0.3">
      <c r="A2901" t="str">
        <f>_xlfn.XLOOKUP(branches[[#This Row],[Филиал]], tbl_Filialy[Филиал], tbl_Filialy[Город])</f>
        <v>Санкт-Петербург</v>
      </c>
      <c r="B2901" s="1" t="s">
        <v>38</v>
      </c>
      <c r="C2901" s="2">
        <v>45810</v>
      </c>
      <c r="D2901" s="2" t="str">
        <f>CHOOSE(MONTH(branches[[#This Row],[Дата]]),"Январь","Февраль","Март","Апрель","Май","Июнь","Июль","Август","Сентябрь","Октябрь","Ноябрь","Декабрь")&amp;" "&amp;YEAR(branches[[#This Row],[Дата]])</f>
        <v>Июнь 2025</v>
      </c>
      <c r="E2901" t="s">
        <v>11</v>
      </c>
      <c r="F2901" t="s">
        <v>12</v>
      </c>
      <c r="G2901">
        <v>1</v>
      </c>
      <c r="H2901">
        <v>187</v>
      </c>
      <c r="I2901" t="s">
        <v>21</v>
      </c>
      <c r="J2901" t="str">
        <f>_xlfn.XLOOKUP(branches[[#This Row],[Филиал]], tbl_Filialy[Филиал], tbl_Filialy[Менеджер])</f>
        <v>Дмитрий Волков</v>
      </c>
    </row>
    <row r="2902" spans="1:10" x14ac:dyDescent="0.3">
      <c r="A2902" t="str">
        <f>_xlfn.XLOOKUP(branches[[#This Row],[Филиал]], tbl_Filialy[Филиал], tbl_Filialy[Город])</f>
        <v>Санкт-Петербург</v>
      </c>
      <c r="B2902" s="1" t="s">
        <v>38</v>
      </c>
      <c r="C2902" s="2">
        <v>45998</v>
      </c>
      <c r="D2902" s="2" t="str">
        <f>CHOOSE(MONTH(branches[[#This Row],[Дата]]),"Январь","Февраль","Март","Апрель","Май","Июнь","Июль","Август","Сентябрь","Октябрь","Ноябрь","Декабрь")&amp;" "&amp;YEAR(branches[[#This Row],[Дата]])</f>
        <v>Декабрь 2025</v>
      </c>
      <c r="E2902" t="s">
        <v>16</v>
      </c>
      <c r="F2902" t="s">
        <v>17</v>
      </c>
      <c r="G2902">
        <v>2</v>
      </c>
      <c r="H2902">
        <v>658</v>
      </c>
      <c r="I2902" t="s">
        <v>19</v>
      </c>
      <c r="J2902" t="str">
        <f>_xlfn.XLOOKUP(branches[[#This Row],[Филиал]], tbl_Filialy[Филиал], tbl_Filialy[Менеджер])</f>
        <v>Дмитрий Волков</v>
      </c>
    </row>
    <row r="2903" spans="1:10" x14ac:dyDescent="0.3">
      <c r="A2903" t="str">
        <f>_xlfn.XLOOKUP(branches[[#This Row],[Филиал]], tbl_Filialy[Филиал], tbl_Filialy[Город])</f>
        <v>Санкт-Петербург</v>
      </c>
      <c r="B2903" s="1" t="s">
        <v>38</v>
      </c>
      <c r="C2903" s="2">
        <v>45919</v>
      </c>
      <c r="D2903" s="2" t="str">
        <f>CHOOSE(MONTH(branches[[#This Row],[Дата]]),"Январь","Февраль","Март","Апрель","Май","Июнь","Июль","Август","Сентябрь","Октябрь","Ноябрь","Декабрь")&amp;" "&amp;YEAR(branches[[#This Row],[Дата]])</f>
        <v>Сентябрь 2025</v>
      </c>
      <c r="E2903" t="s">
        <v>26</v>
      </c>
      <c r="F2903" t="s">
        <v>9</v>
      </c>
      <c r="G2903">
        <v>1</v>
      </c>
      <c r="H2903">
        <v>235</v>
      </c>
      <c r="I2903" t="s">
        <v>21</v>
      </c>
      <c r="J2903" t="str">
        <f>_xlfn.XLOOKUP(branches[[#This Row],[Филиал]], tbl_Filialy[Филиал], tbl_Filialy[Менеджер])</f>
        <v>Дмитрий Волков</v>
      </c>
    </row>
    <row r="2904" spans="1:10" x14ac:dyDescent="0.3">
      <c r="A2904" t="str">
        <f>_xlfn.XLOOKUP(branches[[#This Row],[Филиал]], tbl_Filialy[Филиал], tbl_Filialy[Город])</f>
        <v>Санкт-Петербург</v>
      </c>
      <c r="B2904" s="1" t="s">
        <v>38</v>
      </c>
      <c r="C2904" s="2">
        <v>45894</v>
      </c>
      <c r="D2904" s="2" t="str">
        <f>CHOOSE(MONTH(branches[[#This Row],[Дата]]),"Январь","Февраль","Март","Апрель","Май","Июнь","Июль","Август","Сентябрь","Октябрь","Ноябрь","Декабрь")&amp;" "&amp;YEAR(branches[[#This Row],[Дата]])</f>
        <v>Август 2025</v>
      </c>
      <c r="E2904" t="s">
        <v>18</v>
      </c>
      <c r="F2904" t="s">
        <v>12</v>
      </c>
      <c r="G2904">
        <v>2</v>
      </c>
      <c r="H2904">
        <v>260</v>
      </c>
      <c r="I2904" t="s">
        <v>19</v>
      </c>
      <c r="J2904" t="str">
        <f>_xlfn.XLOOKUP(branches[[#This Row],[Филиал]], tbl_Filialy[Филиал], tbl_Filialy[Менеджер])</f>
        <v>Дмитрий Волков</v>
      </c>
    </row>
    <row r="2905" spans="1:10" x14ac:dyDescent="0.3">
      <c r="A2905" t="str">
        <f>_xlfn.XLOOKUP(branches[[#This Row],[Филиал]], tbl_Filialy[Филиал], tbl_Filialy[Город])</f>
        <v>Санкт-Петербург</v>
      </c>
      <c r="B2905" s="1" t="s">
        <v>38</v>
      </c>
      <c r="C2905" s="2">
        <v>45862</v>
      </c>
      <c r="D2905" s="2" t="str">
        <f>CHOOSE(MONTH(branches[[#This Row],[Дата]]),"Январь","Февраль","Март","Апрель","Май","Июнь","Июль","Август","Сентябрь","Октябрь","Ноябрь","Декабрь")&amp;" "&amp;YEAR(branches[[#This Row],[Дата]])</f>
        <v>Июль 2025</v>
      </c>
      <c r="E2905" t="s">
        <v>28</v>
      </c>
      <c r="F2905" t="s">
        <v>12</v>
      </c>
      <c r="G2905">
        <v>1</v>
      </c>
      <c r="H2905">
        <v>211</v>
      </c>
      <c r="I2905" t="s">
        <v>19</v>
      </c>
      <c r="J2905" t="str">
        <f>_xlfn.XLOOKUP(branches[[#This Row],[Филиал]], tbl_Filialy[Филиал], tbl_Filialy[Менеджер])</f>
        <v>Дмитрий Волков</v>
      </c>
    </row>
    <row r="2906" spans="1:10" x14ac:dyDescent="0.3">
      <c r="A2906" t="str">
        <f>_xlfn.XLOOKUP(branches[[#This Row],[Филиал]], tbl_Filialy[Филиал], tbl_Filialy[Город])</f>
        <v>Санкт-Петербург</v>
      </c>
      <c r="B2906" s="1" t="s">
        <v>38</v>
      </c>
      <c r="C2906" s="2">
        <v>45681</v>
      </c>
      <c r="D2906" s="2" t="str">
        <f>CHOOSE(MONTH(branches[[#This Row],[Дата]]),"Январь","Февраль","Март","Апрель","Май","Июнь","Июль","Август","Сентябрь","Октябрь","Ноябрь","Декабрь")&amp;" "&amp;YEAR(branches[[#This Row],[Дата]])</f>
        <v>Январь 2025</v>
      </c>
      <c r="E2906" t="s">
        <v>8</v>
      </c>
      <c r="F2906" t="s">
        <v>9</v>
      </c>
      <c r="G2906">
        <v>2</v>
      </c>
      <c r="H2906">
        <v>516</v>
      </c>
      <c r="I2906" t="s">
        <v>19</v>
      </c>
      <c r="J2906" t="str">
        <f>_xlfn.XLOOKUP(branches[[#This Row],[Филиал]], tbl_Filialy[Филиал], tbl_Filialy[Менеджер])</f>
        <v>Дмитрий Волков</v>
      </c>
    </row>
    <row r="2907" spans="1:10" x14ac:dyDescent="0.3">
      <c r="A2907" t="str">
        <f>_xlfn.XLOOKUP(branches[[#This Row],[Филиал]], tbl_Filialy[Филиал], tbl_Filialy[Город])</f>
        <v>Санкт-Петербург</v>
      </c>
      <c r="B2907" s="1" t="s">
        <v>38</v>
      </c>
      <c r="C2907" s="2">
        <v>45997</v>
      </c>
      <c r="D2907" s="2" t="str">
        <f>CHOOSE(MONTH(branches[[#This Row],[Дата]]),"Январь","Февраль","Март","Апрель","Май","Июнь","Июль","Август","Сентябрь","Октябрь","Ноябрь","Декабрь")&amp;" "&amp;YEAR(branches[[#This Row],[Дата]])</f>
        <v>Декабрь 2025</v>
      </c>
      <c r="E2907" t="s">
        <v>22</v>
      </c>
      <c r="F2907" t="s">
        <v>9</v>
      </c>
      <c r="G2907">
        <v>1</v>
      </c>
      <c r="H2907">
        <v>196</v>
      </c>
      <c r="I2907" t="s">
        <v>19</v>
      </c>
      <c r="J2907" t="str">
        <f>_xlfn.XLOOKUP(branches[[#This Row],[Филиал]], tbl_Filialy[Филиал], tbl_Filialy[Менеджер])</f>
        <v>Дмитрий Волков</v>
      </c>
    </row>
    <row r="2908" spans="1:10" x14ac:dyDescent="0.3">
      <c r="A2908" t="str">
        <f>_xlfn.XLOOKUP(branches[[#This Row],[Филиал]], tbl_Filialy[Филиал], tbl_Filialy[Город])</f>
        <v>Санкт-Петербург</v>
      </c>
      <c r="B2908" s="1" t="s">
        <v>38</v>
      </c>
      <c r="C2908" s="2">
        <v>45762</v>
      </c>
      <c r="D2908" s="2" t="str">
        <f>CHOOSE(MONTH(branches[[#This Row],[Дата]]),"Январь","Февраль","Март","Апрель","Май","Июнь","Июль","Август","Сентябрь","Октябрь","Ноябрь","Декабрь")&amp;" "&amp;YEAR(branches[[#This Row],[Дата]])</f>
        <v>Апрель 2025</v>
      </c>
      <c r="E2908" t="s">
        <v>14</v>
      </c>
      <c r="F2908" t="s">
        <v>12</v>
      </c>
      <c r="G2908">
        <v>2</v>
      </c>
      <c r="H2908">
        <v>496</v>
      </c>
      <c r="I2908" t="s">
        <v>23</v>
      </c>
      <c r="J2908" t="str">
        <f>_xlfn.XLOOKUP(branches[[#This Row],[Филиал]], tbl_Filialy[Филиал], tbl_Filialy[Менеджер])</f>
        <v>Дмитрий Волков</v>
      </c>
    </row>
    <row r="2909" spans="1:10" x14ac:dyDescent="0.3">
      <c r="A2909" t="str">
        <f>_xlfn.XLOOKUP(branches[[#This Row],[Филиал]], tbl_Filialy[Филиал], tbl_Filialy[Город])</f>
        <v>Санкт-Петербург</v>
      </c>
      <c r="B2909" s="1" t="s">
        <v>38</v>
      </c>
      <c r="C2909" s="2">
        <v>45744</v>
      </c>
      <c r="D2909" s="2" t="str">
        <f>CHOOSE(MONTH(branches[[#This Row],[Дата]]),"Январь","Февраль","Март","Апрель","Май","Июнь","Июль","Август","Сентябрь","Октябрь","Ноябрь","Декабрь")&amp;" "&amp;YEAR(branches[[#This Row],[Дата]])</f>
        <v>Март 2025</v>
      </c>
      <c r="E2909" t="s">
        <v>8</v>
      </c>
      <c r="F2909" t="s">
        <v>9</v>
      </c>
      <c r="G2909">
        <v>2</v>
      </c>
      <c r="H2909">
        <v>556</v>
      </c>
      <c r="I2909" t="s">
        <v>23</v>
      </c>
      <c r="J2909" t="str">
        <f>_xlfn.XLOOKUP(branches[[#This Row],[Филиал]], tbl_Filialy[Филиал], tbl_Filialy[Менеджер])</f>
        <v>Дмитрий Волков</v>
      </c>
    </row>
    <row r="2910" spans="1:10" x14ac:dyDescent="0.3">
      <c r="A2910" t="str">
        <f>_xlfn.XLOOKUP(branches[[#This Row],[Филиал]], tbl_Filialy[Филиал], tbl_Filialy[Город])</f>
        <v>Санкт-Петербург</v>
      </c>
      <c r="B2910" s="1" t="s">
        <v>38</v>
      </c>
      <c r="C2910" s="2">
        <v>45738</v>
      </c>
      <c r="D2910" s="2" t="str">
        <f>CHOOSE(MONTH(branches[[#This Row],[Дата]]),"Январь","Февраль","Март","Апрель","Май","Июнь","Июль","Август","Сентябрь","Октябрь","Ноябрь","Декабрь")&amp;" "&amp;YEAR(branches[[#This Row],[Дата]])</f>
        <v>Март 2025</v>
      </c>
      <c r="E2910" t="s">
        <v>16</v>
      </c>
      <c r="F2910" t="s">
        <v>17</v>
      </c>
      <c r="G2910">
        <v>1</v>
      </c>
      <c r="H2910">
        <v>290</v>
      </c>
      <c r="I2910" t="s">
        <v>10</v>
      </c>
      <c r="J2910" t="str">
        <f>_xlfn.XLOOKUP(branches[[#This Row],[Филиал]], tbl_Filialy[Филиал], tbl_Filialy[Менеджер])</f>
        <v>Дмитрий Волков</v>
      </c>
    </row>
    <row r="2911" spans="1:10" x14ac:dyDescent="0.3">
      <c r="A2911" t="str">
        <f>_xlfn.XLOOKUP(branches[[#This Row],[Филиал]], tbl_Filialy[Филиал], tbl_Filialy[Город])</f>
        <v>Санкт-Петербург</v>
      </c>
      <c r="B2911" s="1" t="s">
        <v>38</v>
      </c>
      <c r="C2911" s="2">
        <v>45681</v>
      </c>
      <c r="D2911" s="2" t="str">
        <f>CHOOSE(MONTH(branches[[#This Row],[Дата]]),"Январь","Февраль","Март","Апрель","Май","Июнь","Июль","Август","Сентябрь","Октябрь","Ноябрь","Декабрь")&amp;" "&amp;YEAR(branches[[#This Row],[Дата]])</f>
        <v>Январь 2025</v>
      </c>
      <c r="E2911" t="s">
        <v>26</v>
      </c>
      <c r="F2911" t="s">
        <v>9</v>
      </c>
      <c r="G2911">
        <v>2</v>
      </c>
      <c r="H2911">
        <v>394</v>
      </c>
      <c r="I2911" t="s">
        <v>15</v>
      </c>
      <c r="J2911" t="str">
        <f>_xlfn.XLOOKUP(branches[[#This Row],[Филиал]], tbl_Filialy[Филиал], tbl_Filialy[Менеджер])</f>
        <v>Дмитрий Волков</v>
      </c>
    </row>
    <row r="2912" spans="1:10" x14ac:dyDescent="0.3">
      <c r="A2912" t="str">
        <f>_xlfn.XLOOKUP(branches[[#This Row],[Филиал]], tbl_Filialy[Филиал], tbl_Filialy[Город])</f>
        <v>Санкт-Петербург</v>
      </c>
      <c r="B2912" s="1" t="s">
        <v>38</v>
      </c>
      <c r="C2912" s="2">
        <v>45779</v>
      </c>
      <c r="D2912" s="2" t="str">
        <f>CHOOSE(MONTH(branches[[#This Row],[Дата]]),"Январь","Февраль","Март","Апрель","Май","Июнь","Июль","Август","Сентябрь","Октябрь","Ноябрь","Декабрь")&amp;" "&amp;YEAR(branches[[#This Row],[Дата]])</f>
        <v>Май 2025</v>
      </c>
      <c r="E2912" t="s">
        <v>18</v>
      </c>
      <c r="F2912" t="s">
        <v>12</v>
      </c>
      <c r="G2912">
        <v>1</v>
      </c>
      <c r="H2912">
        <v>137</v>
      </c>
      <c r="I2912" t="s">
        <v>19</v>
      </c>
      <c r="J2912" t="str">
        <f>_xlfn.XLOOKUP(branches[[#This Row],[Филиал]], tbl_Filialy[Филиал], tbl_Filialy[Менеджер])</f>
        <v>Дмитрий Волков</v>
      </c>
    </row>
    <row r="2913" spans="1:10" x14ac:dyDescent="0.3">
      <c r="A2913" t="str">
        <f>_xlfn.XLOOKUP(branches[[#This Row],[Филиал]], tbl_Filialy[Филиал], tbl_Filialy[Город])</f>
        <v>Санкт-Петербург</v>
      </c>
      <c r="B2913" s="1" t="s">
        <v>38</v>
      </c>
      <c r="C2913" s="2">
        <v>45925</v>
      </c>
      <c r="D2913" s="2" t="str">
        <f>CHOOSE(MONTH(branches[[#This Row],[Дата]]),"Январь","Февраль","Март","Апрель","Май","Июнь","Июль","Август","Сентябрь","Октябрь","Ноябрь","Декабрь")&amp;" "&amp;YEAR(branches[[#This Row],[Дата]])</f>
        <v>Сентябрь 2025</v>
      </c>
      <c r="E2913" t="s">
        <v>24</v>
      </c>
      <c r="F2913" t="s">
        <v>17</v>
      </c>
      <c r="G2913">
        <v>2</v>
      </c>
      <c r="H2913">
        <v>684</v>
      </c>
      <c r="I2913" t="s">
        <v>21</v>
      </c>
      <c r="J2913" t="str">
        <f>_xlfn.XLOOKUP(branches[[#This Row],[Филиал]], tbl_Filialy[Филиал], tbl_Filialy[Менеджер])</f>
        <v>Дмитрий Волков</v>
      </c>
    </row>
    <row r="2914" spans="1:10" x14ac:dyDescent="0.3">
      <c r="A2914" t="str">
        <f>_xlfn.XLOOKUP(branches[[#This Row],[Филиал]], tbl_Filialy[Филиал], tbl_Filialy[Город])</f>
        <v>Санкт-Петербург</v>
      </c>
      <c r="B2914" s="1" t="s">
        <v>38</v>
      </c>
      <c r="C2914" s="2">
        <v>45678</v>
      </c>
      <c r="D2914" s="2" t="str">
        <f>CHOOSE(MONTH(branches[[#This Row],[Дата]]),"Январь","Февраль","Март","Апрель","Май","Июнь","Июль","Август","Сентябрь","Октябрь","Ноябрь","Декабрь")&amp;" "&amp;YEAR(branches[[#This Row],[Дата]])</f>
        <v>Январь 2025</v>
      </c>
      <c r="E2914" t="s">
        <v>11</v>
      </c>
      <c r="F2914" t="s">
        <v>12</v>
      </c>
      <c r="G2914">
        <v>1</v>
      </c>
      <c r="H2914">
        <v>162</v>
      </c>
      <c r="I2914" t="s">
        <v>23</v>
      </c>
      <c r="J2914" t="str">
        <f>_xlfn.XLOOKUP(branches[[#This Row],[Филиал]], tbl_Filialy[Филиал], tbl_Filialy[Менеджер])</f>
        <v>Дмитрий Волков</v>
      </c>
    </row>
    <row r="2915" spans="1:10" x14ac:dyDescent="0.3">
      <c r="A2915" t="str">
        <f>_xlfn.XLOOKUP(branches[[#This Row],[Филиал]], tbl_Filialy[Филиал], tbl_Filialy[Город])</f>
        <v>Санкт-Петербург</v>
      </c>
      <c r="B2915" s="1" t="s">
        <v>38</v>
      </c>
      <c r="C2915" s="2">
        <v>45831</v>
      </c>
      <c r="D2915" s="2" t="str">
        <f>CHOOSE(MONTH(branches[[#This Row],[Дата]]),"Январь","Февраль","Март","Апрель","Май","Июнь","Июль","Август","Сентябрь","Октябрь","Ноябрь","Декабрь")&amp;" "&amp;YEAR(branches[[#This Row],[Дата]])</f>
        <v>Июнь 2025</v>
      </c>
      <c r="E2915" t="s">
        <v>24</v>
      </c>
      <c r="F2915" t="s">
        <v>17</v>
      </c>
      <c r="G2915">
        <v>3</v>
      </c>
      <c r="H2915">
        <v>1128</v>
      </c>
      <c r="I2915" t="s">
        <v>23</v>
      </c>
      <c r="J2915" t="str">
        <f>_xlfn.XLOOKUP(branches[[#This Row],[Филиал]], tbl_Filialy[Филиал], tbl_Filialy[Менеджер])</f>
        <v>Дмитрий Волков</v>
      </c>
    </row>
    <row r="2916" spans="1:10" x14ac:dyDescent="0.3">
      <c r="A2916" t="str">
        <f>_xlfn.XLOOKUP(branches[[#This Row],[Филиал]], tbl_Filialy[Филиал], tbl_Filialy[Город])</f>
        <v>Санкт-Петербург</v>
      </c>
      <c r="B2916" s="1" t="s">
        <v>38</v>
      </c>
      <c r="C2916" s="2">
        <v>45841</v>
      </c>
      <c r="D2916" s="2" t="str">
        <f>CHOOSE(MONTH(branches[[#This Row],[Дата]]),"Январь","Февраль","Март","Апрель","Май","Июнь","Июль","Август","Сентябрь","Октябрь","Ноябрь","Декабрь")&amp;" "&amp;YEAR(branches[[#This Row],[Дата]])</f>
        <v>Июль 2025</v>
      </c>
      <c r="E2916" t="s">
        <v>16</v>
      </c>
      <c r="F2916" t="s">
        <v>17</v>
      </c>
      <c r="G2916">
        <v>3</v>
      </c>
      <c r="H2916">
        <v>1077</v>
      </c>
      <c r="I2916" t="s">
        <v>13</v>
      </c>
      <c r="J2916" t="str">
        <f>_xlfn.XLOOKUP(branches[[#This Row],[Филиал]], tbl_Filialy[Филиал], tbl_Filialy[Менеджер])</f>
        <v>Дмитрий Волков</v>
      </c>
    </row>
    <row r="2917" spans="1:10" x14ac:dyDescent="0.3">
      <c r="A2917" t="str">
        <f>_xlfn.XLOOKUP(branches[[#This Row],[Филиал]], tbl_Filialy[Филиал], tbl_Filialy[Город])</f>
        <v>Санкт-Петербург</v>
      </c>
      <c r="B2917" s="1" t="s">
        <v>38</v>
      </c>
      <c r="C2917" s="2">
        <v>45968</v>
      </c>
      <c r="D2917" s="2" t="str">
        <f>CHOOSE(MONTH(branches[[#This Row],[Дата]]),"Январь","Февраль","Март","Апрель","Май","Июнь","Июль","Август","Сентябрь","Октябрь","Ноябрь","Декабрь")&amp;" "&amp;YEAR(branches[[#This Row],[Дата]])</f>
        <v>Ноябрь 2025</v>
      </c>
      <c r="E2917" t="s">
        <v>28</v>
      </c>
      <c r="F2917" t="s">
        <v>12</v>
      </c>
      <c r="G2917">
        <v>2</v>
      </c>
      <c r="H2917">
        <v>484</v>
      </c>
      <c r="I2917" t="s">
        <v>15</v>
      </c>
      <c r="J2917" t="str">
        <f>_xlfn.XLOOKUP(branches[[#This Row],[Филиал]], tbl_Filialy[Филиал], tbl_Filialy[Менеджер])</f>
        <v>Дмитрий Волков</v>
      </c>
    </row>
    <row r="2918" spans="1:10" x14ac:dyDescent="0.3">
      <c r="A2918" t="str">
        <f>_xlfn.XLOOKUP(branches[[#This Row],[Филиал]], tbl_Filialy[Филиал], tbl_Filialy[Город])</f>
        <v>Санкт-Петербург</v>
      </c>
      <c r="B2918" s="1" t="s">
        <v>38</v>
      </c>
      <c r="C2918" s="2">
        <v>45920</v>
      </c>
      <c r="D2918" s="2" t="str">
        <f>CHOOSE(MONTH(branches[[#This Row],[Дата]]),"Январь","Февраль","Март","Апрель","Май","Июнь","Июль","Август","Сентябрь","Октябрь","Ноябрь","Декабрь")&amp;" "&amp;YEAR(branches[[#This Row],[Дата]])</f>
        <v>Сентябрь 2025</v>
      </c>
      <c r="E2918" t="s">
        <v>8</v>
      </c>
      <c r="F2918" t="s">
        <v>9</v>
      </c>
      <c r="G2918">
        <v>3</v>
      </c>
      <c r="H2918">
        <v>702</v>
      </c>
      <c r="I2918" t="s">
        <v>21</v>
      </c>
      <c r="J2918" t="str">
        <f>_xlfn.XLOOKUP(branches[[#This Row],[Филиал]], tbl_Filialy[Филиал], tbl_Filialy[Менеджер])</f>
        <v>Дмитрий Волков</v>
      </c>
    </row>
    <row r="2919" spans="1:10" x14ac:dyDescent="0.3">
      <c r="A2919" t="str">
        <f>_xlfn.XLOOKUP(branches[[#This Row],[Филиал]], tbl_Filialy[Филиал], tbl_Filialy[Город])</f>
        <v>Санкт-Петербург</v>
      </c>
      <c r="B2919" s="1" t="s">
        <v>38</v>
      </c>
      <c r="C2919" s="2">
        <v>45997</v>
      </c>
      <c r="D2919" s="2" t="str">
        <f>CHOOSE(MONTH(branches[[#This Row],[Дата]]),"Январь","Февраль","Март","Апрель","Май","Июнь","Июль","Август","Сентябрь","Октябрь","Ноябрь","Декабрь")&amp;" "&amp;YEAR(branches[[#This Row],[Дата]])</f>
        <v>Декабрь 2025</v>
      </c>
      <c r="E2919" t="s">
        <v>8</v>
      </c>
      <c r="F2919" t="s">
        <v>9</v>
      </c>
      <c r="G2919">
        <v>2</v>
      </c>
      <c r="H2919">
        <v>532</v>
      </c>
      <c r="I2919" t="s">
        <v>23</v>
      </c>
      <c r="J2919" t="str">
        <f>_xlfn.XLOOKUP(branches[[#This Row],[Филиал]], tbl_Filialy[Филиал], tbl_Filialy[Менеджер])</f>
        <v>Дмитрий Волков</v>
      </c>
    </row>
    <row r="2920" spans="1:10" x14ac:dyDescent="0.3">
      <c r="A2920" t="str">
        <f>_xlfn.XLOOKUP(branches[[#This Row],[Филиал]], tbl_Filialy[Филиал], tbl_Filialy[Город])</f>
        <v>Санкт-Петербург</v>
      </c>
      <c r="B2920" s="1" t="s">
        <v>38</v>
      </c>
      <c r="C2920" s="2">
        <v>45713</v>
      </c>
      <c r="D2920" s="2" t="str">
        <f>CHOOSE(MONTH(branches[[#This Row],[Дата]]),"Январь","Февраль","Март","Апрель","Май","Июнь","Июль","Август","Сентябрь","Октябрь","Ноябрь","Декабрь")&amp;" "&amp;YEAR(branches[[#This Row],[Дата]])</f>
        <v>Февраль 2025</v>
      </c>
      <c r="E2920" t="s">
        <v>22</v>
      </c>
      <c r="F2920" t="s">
        <v>9</v>
      </c>
      <c r="G2920">
        <v>2</v>
      </c>
      <c r="H2920">
        <v>364</v>
      </c>
      <c r="I2920" t="s">
        <v>19</v>
      </c>
      <c r="J2920" t="str">
        <f>_xlfn.XLOOKUP(branches[[#This Row],[Филиал]], tbl_Filialy[Филиал], tbl_Filialy[Менеджер])</f>
        <v>Дмитрий Волков</v>
      </c>
    </row>
    <row r="2921" spans="1:10" x14ac:dyDescent="0.3">
      <c r="A2921" t="str">
        <f>_xlfn.XLOOKUP(branches[[#This Row],[Филиал]], tbl_Filialy[Филиал], tbl_Filialy[Город])</f>
        <v>Санкт-Петербург</v>
      </c>
      <c r="B2921" s="1" t="s">
        <v>38</v>
      </c>
      <c r="C2921" s="2">
        <v>45729</v>
      </c>
      <c r="D2921" s="2" t="str">
        <f>CHOOSE(MONTH(branches[[#This Row],[Дата]]),"Январь","Февраль","Март","Апрель","Май","Июнь","Июль","Август","Сентябрь","Октябрь","Ноябрь","Декабрь")&amp;" "&amp;YEAR(branches[[#This Row],[Дата]])</f>
        <v>Март 2025</v>
      </c>
      <c r="E2921" t="s">
        <v>25</v>
      </c>
      <c r="F2921" t="s">
        <v>12</v>
      </c>
      <c r="G2921">
        <v>1</v>
      </c>
      <c r="H2921">
        <v>218</v>
      </c>
      <c r="I2921" t="s">
        <v>10</v>
      </c>
      <c r="J2921" t="str">
        <f>_xlfn.XLOOKUP(branches[[#This Row],[Филиал]], tbl_Filialy[Филиал], tbl_Filialy[Менеджер])</f>
        <v>Дмитрий Волков</v>
      </c>
    </row>
    <row r="2922" spans="1:10" x14ac:dyDescent="0.3">
      <c r="A2922" t="str">
        <f>_xlfn.XLOOKUP(branches[[#This Row],[Филиал]], tbl_Filialy[Филиал], tbl_Filialy[Город])</f>
        <v>Санкт-Петербург</v>
      </c>
      <c r="B2922" s="1" t="s">
        <v>38</v>
      </c>
      <c r="C2922" s="2">
        <v>45698</v>
      </c>
      <c r="D2922" s="2" t="str">
        <f>CHOOSE(MONTH(branches[[#This Row],[Дата]]),"Январь","Февраль","Март","Апрель","Май","Июнь","Июль","Август","Сентябрь","Октябрь","Ноябрь","Декабрь")&amp;" "&amp;YEAR(branches[[#This Row],[Дата]])</f>
        <v>Февраль 2025</v>
      </c>
      <c r="E2922" t="s">
        <v>18</v>
      </c>
      <c r="F2922" t="s">
        <v>12</v>
      </c>
      <c r="G2922">
        <v>2</v>
      </c>
      <c r="H2922">
        <v>308</v>
      </c>
      <c r="I2922" t="s">
        <v>21</v>
      </c>
      <c r="J2922" t="str">
        <f>_xlfn.XLOOKUP(branches[[#This Row],[Филиал]], tbl_Filialy[Филиал], tbl_Filialy[Менеджер])</f>
        <v>Дмитрий Волков</v>
      </c>
    </row>
    <row r="2923" spans="1:10" x14ac:dyDescent="0.3">
      <c r="A2923" t="str">
        <f>_xlfn.XLOOKUP(branches[[#This Row],[Филиал]], tbl_Filialy[Филиал], tbl_Filialy[Город])</f>
        <v>Санкт-Петербург</v>
      </c>
      <c r="B2923" s="1" t="s">
        <v>38</v>
      </c>
      <c r="C2923" s="2">
        <v>45926</v>
      </c>
      <c r="D2923" s="2" t="str">
        <f>CHOOSE(MONTH(branches[[#This Row],[Дата]]),"Январь","Февраль","Март","Апрель","Май","Июнь","Июль","Август","Сентябрь","Октябрь","Ноябрь","Декабрь")&amp;" "&amp;YEAR(branches[[#This Row],[Дата]])</f>
        <v>Сентябрь 2025</v>
      </c>
      <c r="E2923" t="s">
        <v>14</v>
      </c>
      <c r="F2923" t="s">
        <v>12</v>
      </c>
      <c r="G2923">
        <v>1</v>
      </c>
      <c r="H2923">
        <v>232</v>
      </c>
      <c r="I2923" t="s">
        <v>19</v>
      </c>
      <c r="J2923" t="str">
        <f>_xlfn.XLOOKUP(branches[[#This Row],[Филиал]], tbl_Filialy[Филиал], tbl_Filialy[Менеджер])</f>
        <v>Дмитрий Волков</v>
      </c>
    </row>
    <row r="2924" spans="1:10" x14ac:dyDescent="0.3">
      <c r="A2924" t="str">
        <f>_xlfn.XLOOKUP(branches[[#This Row],[Филиал]], tbl_Filialy[Филиал], tbl_Filialy[Город])</f>
        <v>Санкт-Петербург</v>
      </c>
      <c r="B2924" s="1" t="s">
        <v>38</v>
      </c>
      <c r="C2924" s="2">
        <v>46018</v>
      </c>
      <c r="D2924" s="2" t="str">
        <f>CHOOSE(MONTH(branches[[#This Row],[Дата]]),"Январь","Февраль","Март","Апрель","Май","Июнь","Июль","Август","Сентябрь","Октябрь","Ноябрь","Декабрь")&amp;" "&amp;YEAR(branches[[#This Row],[Дата]])</f>
        <v>Декабрь 2025</v>
      </c>
      <c r="E2924" t="s">
        <v>27</v>
      </c>
      <c r="F2924" t="s">
        <v>12</v>
      </c>
      <c r="G2924">
        <v>2</v>
      </c>
      <c r="H2924">
        <v>442</v>
      </c>
      <c r="I2924" t="s">
        <v>15</v>
      </c>
      <c r="J2924" t="str">
        <f>_xlfn.XLOOKUP(branches[[#This Row],[Филиал]], tbl_Filialy[Филиал], tbl_Filialy[Менеджер])</f>
        <v>Дмитрий Волков</v>
      </c>
    </row>
    <row r="2925" spans="1:10" x14ac:dyDescent="0.3">
      <c r="A2925" t="str">
        <f>_xlfn.XLOOKUP(branches[[#This Row],[Филиал]], tbl_Filialy[Филиал], tbl_Filialy[Город])</f>
        <v>Санкт-Петербург</v>
      </c>
      <c r="B2925" s="1" t="s">
        <v>38</v>
      </c>
      <c r="C2925" s="2">
        <v>45897</v>
      </c>
      <c r="D2925" s="2" t="str">
        <f>CHOOSE(MONTH(branches[[#This Row],[Дата]]),"Январь","Февраль","Март","Апрель","Май","Июнь","Июль","Август","Сентябрь","Октябрь","Ноябрь","Декабрь")&amp;" "&amp;YEAR(branches[[#This Row],[Дата]])</f>
        <v>Август 2025</v>
      </c>
      <c r="E2925" t="s">
        <v>24</v>
      </c>
      <c r="F2925" t="s">
        <v>17</v>
      </c>
      <c r="G2925">
        <v>1</v>
      </c>
      <c r="H2925">
        <v>337</v>
      </c>
      <c r="I2925" t="s">
        <v>19</v>
      </c>
      <c r="J2925" t="str">
        <f>_xlfn.XLOOKUP(branches[[#This Row],[Филиал]], tbl_Filialy[Филиал], tbl_Filialy[Менеджер])</f>
        <v>Дмитрий Волков</v>
      </c>
    </row>
    <row r="2926" spans="1:10" x14ac:dyDescent="0.3">
      <c r="A2926" t="str">
        <f>_xlfn.XLOOKUP(branches[[#This Row],[Филиал]], tbl_Filialy[Филиал], tbl_Filialy[Город])</f>
        <v>Санкт-Петербург</v>
      </c>
      <c r="B2926" s="1" t="s">
        <v>38</v>
      </c>
      <c r="C2926" s="2">
        <v>45799</v>
      </c>
      <c r="D2926" s="2" t="str">
        <f>CHOOSE(MONTH(branches[[#This Row],[Дата]]),"Январь","Февраль","Март","Апрель","Май","Июнь","Июль","Август","Сентябрь","Октябрь","Ноябрь","Декабрь")&amp;" "&amp;YEAR(branches[[#This Row],[Дата]])</f>
        <v>Май 2025</v>
      </c>
      <c r="E2926" t="s">
        <v>26</v>
      </c>
      <c r="F2926" t="s">
        <v>9</v>
      </c>
      <c r="G2926">
        <v>1</v>
      </c>
      <c r="H2926">
        <v>212</v>
      </c>
      <c r="I2926" t="s">
        <v>13</v>
      </c>
      <c r="J2926" t="str">
        <f>_xlfn.XLOOKUP(branches[[#This Row],[Филиал]], tbl_Filialy[Филиал], tbl_Filialy[Менеджер])</f>
        <v>Дмитрий Волков</v>
      </c>
    </row>
    <row r="2927" spans="1:10" x14ac:dyDescent="0.3">
      <c r="A2927" t="str">
        <f>_xlfn.XLOOKUP(branches[[#This Row],[Филиал]], tbl_Filialy[Филиал], tbl_Filialy[Город])</f>
        <v>Санкт-Петербург</v>
      </c>
      <c r="B2927" s="1" t="s">
        <v>38</v>
      </c>
      <c r="C2927" s="2">
        <v>45945</v>
      </c>
      <c r="D2927" s="2" t="str">
        <f>CHOOSE(MONTH(branches[[#This Row],[Дата]]),"Январь","Февраль","Март","Апрель","Май","Июнь","Июль","Август","Сентябрь","Октябрь","Ноябрь","Декабрь")&amp;" "&amp;YEAR(branches[[#This Row],[Дата]])</f>
        <v>Октябрь 2025</v>
      </c>
      <c r="E2927" t="s">
        <v>20</v>
      </c>
      <c r="F2927" t="s">
        <v>12</v>
      </c>
      <c r="G2927">
        <v>2</v>
      </c>
      <c r="H2927">
        <v>534</v>
      </c>
      <c r="I2927" t="s">
        <v>23</v>
      </c>
      <c r="J2927" t="str">
        <f>_xlfn.XLOOKUP(branches[[#This Row],[Филиал]], tbl_Filialy[Филиал], tbl_Filialy[Менеджер])</f>
        <v>Дмитрий Волков</v>
      </c>
    </row>
    <row r="2928" spans="1:10" x14ac:dyDescent="0.3">
      <c r="A2928" t="str">
        <f>_xlfn.XLOOKUP(branches[[#This Row],[Филиал]], tbl_Filialy[Филиал], tbl_Filialy[Город])</f>
        <v>Санкт-Петербург</v>
      </c>
      <c r="B2928" s="1" t="s">
        <v>38</v>
      </c>
      <c r="C2928" s="2">
        <v>45682</v>
      </c>
      <c r="D2928" s="2" t="str">
        <f>CHOOSE(MONTH(branches[[#This Row],[Дата]]),"Январь","Февраль","Март","Апрель","Май","Июнь","Июль","Август","Сентябрь","Октябрь","Ноябрь","Декабрь")&amp;" "&amp;YEAR(branches[[#This Row],[Дата]])</f>
        <v>Январь 2025</v>
      </c>
      <c r="E2928" t="s">
        <v>18</v>
      </c>
      <c r="F2928" t="s">
        <v>12</v>
      </c>
      <c r="G2928">
        <v>3</v>
      </c>
      <c r="H2928">
        <v>462</v>
      </c>
      <c r="I2928" t="s">
        <v>21</v>
      </c>
      <c r="J2928" t="str">
        <f>_xlfn.XLOOKUP(branches[[#This Row],[Филиал]], tbl_Filialy[Филиал], tbl_Filialy[Менеджер])</f>
        <v>Дмитрий Волков</v>
      </c>
    </row>
    <row r="2929" spans="1:10" x14ac:dyDescent="0.3">
      <c r="A2929" t="str">
        <f>_xlfn.XLOOKUP(branches[[#This Row],[Филиал]], tbl_Filialy[Филиал], tbl_Filialy[Город])</f>
        <v>Санкт-Петербург</v>
      </c>
      <c r="B2929" s="1" t="s">
        <v>38</v>
      </c>
      <c r="C2929" s="2">
        <v>45801</v>
      </c>
      <c r="D2929" s="2" t="str">
        <f>CHOOSE(MONTH(branches[[#This Row],[Дата]]),"Январь","Февраль","Март","Апрель","Май","Июнь","Июль","Август","Сентябрь","Октябрь","Ноябрь","Декабрь")&amp;" "&amp;YEAR(branches[[#This Row],[Дата]])</f>
        <v>Май 2025</v>
      </c>
      <c r="E2929" t="s">
        <v>16</v>
      </c>
      <c r="F2929" t="s">
        <v>17</v>
      </c>
      <c r="G2929">
        <v>2</v>
      </c>
      <c r="H2929">
        <v>706</v>
      </c>
      <c r="I2929" t="s">
        <v>19</v>
      </c>
      <c r="J2929" t="str">
        <f>_xlfn.XLOOKUP(branches[[#This Row],[Филиал]], tbl_Filialy[Филиал], tbl_Filialy[Менеджер])</f>
        <v>Дмитрий Волков</v>
      </c>
    </row>
    <row r="2930" spans="1:10" x14ac:dyDescent="0.3">
      <c r="A2930" t="str">
        <f>_xlfn.XLOOKUP(branches[[#This Row],[Филиал]], tbl_Filialy[Филиал], tbl_Filialy[Город])</f>
        <v>Санкт-Петербург</v>
      </c>
      <c r="B2930" s="1" t="s">
        <v>38</v>
      </c>
      <c r="C2930" s="2">
        <v>45665</v>
      </c>
      <c r="D2930" s="2" t="str">
        <f>CHOOSE(MONTH(branches[[#This Row],[Дата]]),"Январь","Февраль","Март","Апрель","Май","Июнь","Июль","Август","Сентябрь","Октябрь","Ноябрь","Декабрь")&amp;" "&amp;YEAR(branches[[#This Row],[Дата]])</f>
        <v>Январь 2025</v>
      </c>
      <c r="E2930" t="s">
        <v>27</v>
      </c>
      <c r="F2930" t="s">
        <v>12</v>
      </c>
      <c r="G2930">
        <v>2</v>
      </c>
      <c r="H2930">
        <v>362</v>
      </c>
      <c r="I2930" t="s">
        <v>19</v>
      </c>
      <c r="J2930" t="str">
        <f>_xlfn.XLOOKUP(branches[[#This Row],[Филиал]], tbl_Filialy[Филиал], tbl_Filialy[Менеджер])</f>
        <v>Дмитрий Волков</v>
      </c>
    </row>
    <row r="2931" spans="1:10" x14ac:dyDescent="0.3">
      <c r="A2931" t="str">
        <f>_xlfn.XLOOKUP(branches[[#This Row],[Филиал]], tbl_Filialy[Филиал], tbl_Filialy[Город])</f>
        <v>Санкт-Петербург</v>
      </c>
      <c r="B2931" s="1" t="s">
        <v>38</v>
      </c>
      <c r="C2931" s="2">
        <v>45920</v>
      </c>
      <c r="D2931" s="2" t="str">
        <f>CHOOSE(MONTH(branches[[#This Row],[Дата]]),"Январь","Февраль","Март","Апрель","Май","Июнь","Июль","Август","Сентябрь","Октябрь","Ноябрь","Декабрь")&amp;" "&amp;YEAR(branches[[#This Row],[Дата]])</f>
        <v>Сентябрь 2025</v>
      </c>
      <c r="E2931" t="s">
        <v>18</v>
      </c>
      <c r="F2931" t="s">
        <v>12</v>
      </c>
      <c r="G2931">
        <v>1</v>
      </c>
      <c r="H2931">
        <v>125</v>
      </c>
      <c r="I2931" t="s">
        <v>23</v>
      </c>
      <c r="J2931" t="str">
        <f>_xlfn.XLOOKUP(branches[[#This Row],[Филиал]], tbl_Filialy[Филиал], tbl_Filialy[Менеджер])</f>
        <v>Дмитрий Волков</v>
      </c>
    </row>
    <row r="2932" spans="1:10" x14ac:dyDescent="0.3">
      <c r="A2932" t="str">
        <f>_xlfn.XLOOKUP(branches[[#This Row],[Филиал]], tbl_Filialy[Филиал], tbl_Filialy[Город])</f>
        <v>Санкт-Петербург</v>
      </c>
      <c r="B2932" s="1" t="s">
        <v>38</v>
      </c>
      <c r="C2932" s="2">
        <v>45718</v>
      </c>
      <c r="D2932" s="2" t="str">
        <f>CHOOSE(MONTH(branches[[#This Row],[Дата]]),"Январь","Февраль","Март","Апрель","Май","Июнь","Июль","Август","Сентябрь","Октябрь","Ноябрь","Декабрь")&amp;" "&amp;YEAR(branches[[#This Row],[Дата]])</f>
        <v>Март 2025</v>
      </c>
      <c r="E2932" t="s">
        <v>18</v>
      </c>
      <c r="F2932" t="s">
        <v>12</v>
      </c>
      <c r="G2932">
        <v>1</v>
      </c>
      <c r="H2932">
        <v>135</v>
      </c>
      <c r="I2932" t="s">
        <v>15</v>
      </c>
      <c r="J2932" t="str">
        <f>_xlfn.XLOOKUP(branches[[#This Row],[Филиал]], tbl_Filialy[Филиал], tbl_Filialy[Менеджер])</f>
        <v>Дмитрий Волков</v>
      </c>
    </row>
    <row r="2933" spans="1:10" x14ac:dyDescent="0.3">
      <c r="A2933" t="str">
        <f>_xlfn.XLOOKUP(branches[[#This Row],[Филиал]], tbl_Filialy[Филиал], tbl_Filialy[Город])</f>
        <v>Санкт-Петербург</v>
      </c>
      <c r="B2933" s="1" t="s">
        <v>38</v>
      </c>
      <c r="C2933" s="2">
        <v>45833</v>
      </c>
      <c r="D2933" s="2" t="str">
        <f>CHOOSE(MONTH(branches[[#This Row],[Дата]]),"Январь","Февраль","Март","Апрель","Май","Июнь","Июль","Август","Сентябрь","Октябрь","Ноябрь","Декабрь")&amp;" "&amp;YEAR(branches[[#This Row],[Дата]])</f>
        <v>Июнь 2025</v>
      </c>
      <c r="E2933" t="s">
        <v>24</v>
      </c>
      <c r="F2933" t="s">
        <v>17</v>
      </c>
      <c r="G2933">
        <v>1</v>
      </c>
      <c r="H2933">
        <v>361</v>
      </c>
      <c r="I2933" t="s">
        <v>19</v>
      </c>
      <c r="J2933" t="str">
        <f>_xlfn.XLOOKUP(branches[[#This Row],[Филиал]], tbl_Filialy[Филиал], tbl_Filialy[Менеджер])</f>
        <v>Дмитрий Волков</v>
      </c>
    </row>
    <row r="2934" spans="1:10" x14ac:dyDescent="0.3">
      <c r="A2934" t="str">
        <f>_xlfn.XLOOKUP(branches[[#This Row],[Филиал]], tbl_Filialy[Филиал], tbl_Filialy[Город])</f>
        <v>Санкт-Петербург</v>
      </c>
      <c r="B2934" s="1" t="s">
        <v>38</v>
      </c>
      <c r="C2934" s="2">
        <v>45672</v>
      </c>
      <c r="D2934" s="2" t="str">
        <f>CHOOSE(MONTH(branches[[#This Row],[Дата]]),"Январь","Февраль","Март","Апрель","Май","Июнь","Июль","Август","Сентябрь","Октябрь","Ноябрь","Декабрь")&amp;" "&amp;YEAR(branches[[#This Row],[Дата]])</f>
        <v>Январь 2025</v>
      </c>
      <c r="E2934" t="s">
        <v>25</v>
      </c>
      <c r="F2934" t="s">
        <v>12</v>
      </c>
      <c r="G2934">
        <v>3</v>
      </c>
      <c r="H2934">
        <v>654</v>
      </c>
      <c r="I2934" t="s">
        <v>13</v>
      </c>
      <c r="J2934" t="str">
        <f>_xlfn.XLOOKUP(branches[[#This Row],[Филиал]], tbl_Filialy[Филиал], tbl_Filialy[Менеджер])</f>
        <v>Дмитрий Волков</v>
      </c>
    </row>
    <row r="2935" spans="1:10" x14ac:dyDescent="0.3">
      <c r="A2935" t="str">
        <f>_xlfn.XLOOKUP(branches[[#This Row],[Филиал]], tbl_Filialy[Филиал], tbl_Filialy[Город])</f>
        <v>Санкт-Петербург</v>
      </c>
      <c r="B2935" s="1" t="s">
        <v>38</v>
      </c>
      <c r="C2935" s="2">
        <v>45800</v>
      </c>
      <c r="D2935" s="2" t="str">
        <f>CHOOSE(MONTH(branches[[#This Row],[Дата]]),"Январь","Февраль","Март","Апрель","Май","Июнь","Июль","Август","Сентябрь","Октябрь","Ноябрь","Декабрь")&amp;" "&amp;YEAR(branches[[#This Row],[Дата]])</f>
        <v>Май 2025</v>
      </c>
      <c r="E2935" t="s">
        <v>8</v>
      </c>
      <c r="F2935" t="s">
        <v>9</v>
      </c>
      <c r="G2935">
        <v>1</v>
      </c>
      <c r="H2935">
        <v>250</v>
      </c>
      <c r="I2935" t="s">
        <v>21</v>
      </c>
      <c r="J2935" t="str">
        <f>_xlfn.XLOOKUP(branches[[#This Row],[Филиал]], tbl_Filialy[Филиал], tbl_Filialy[Менеджер])</f>
        <v>Дмитрий Волков</v>
      </c>
    </row>
    <row r="2936" spans="1:10" x14ac:dyDescent="0.3">
      <c r="A2936" t="str">
        <f>_xlfn.XLOOKUP(branches[[#This Row],[Филиал]], tbl_Filialy[Филиал], tbl_Filialy[Город])</f>
        <v>Санкт-Петербург</v>
      </c>
      <c r="B2936" s="1" t="s">
        <v>38</v>
      </c>
      <c r="C2936" s="2">
        <v>45983</v>
      </c>
      <c r="D2936" s="2" t="str">
        <f>CHOOSE(MONTH(branches[[#This Row],[Дата]]),"Январь","Февраль","Март","Апрель","Май","Июнь","Июль","Август","Сентябрь","Октябрь","Ноябрь","Декабрь")&amp;" "&amp;YEAR(branches[[#This Row],[Дата]])</f>
        <v>Ноябрь 2025</v>
      </c>
      <c r="E2936" t="s">
        <v>14</v>
      </c>
      <c r="F2936" t="s">
        <v>12</v>
      </c>
      <c r="G2936">
        <v>1</v>
      </c>
      <c r="H2936">
        <v>250</v>
      </c>
      <c r="I2936" t="s">
        <v>19</v>
      </c>
      <c r="J2936" t="str">
        <f>_xlfn.XLOOKUP(branches[[#This Row],[Филиал]], tbl_Filialy[Филиал], tbl_Filialy[Менеджер])</f>
        <v>Дмитрий Волков</v>
      </c>
    </row>
    <row r="2937" spans="1:10" x14ac:dyDescent="0.3">
      <c r="A2937" t="str">
        <f>_xlfn.XLOOKUP(branches[[#This Row],[Филиал]], tbl_Filialy[Филиал], tbl_Filialy[Город])</f>
        <v>Санкт-Петербург</v>
      </c>
      <c r="B2937" s="1" t="s">
        <v>38</v>
      </c>
      <c r="C2937" s="2">
        <v>45846</v>
      </c>
      <c r="D2937" s="2" t="str">
        <f>CHOOSE(MONTH(branches[[#This Row],[Дата]]),"Январь","Февраль","Март","Апрель","Май","Июнь","Июль","Август","Сентябрь","Октябрь","Ноябрь","Декабрь")&amp;" "&amp;YEAR(branches[[#This Row],[Дата]])</f>
        <v>Июль 2025</v>
      </c>
      <c r="E2937" t="s">
        <v>16</v>
      </c>
      <c r="F2937" t="s">
        <v>17</v>
      </c>
      <c r="G2937">
        <v>2</v>
      </c>
      <c r="H2937">
        <v>718</v>
      </c>
      <c r="I2937" t="s">
        <v>23</v>
      </c>
      <c r="J2937" t="str">
        <f>_xlfn.XLOOKUP(branches[[#This Row],[Филиал]], tbl_Filialy[Филиал], tbl_Filialy[Менеджер])</f>
        <v>Дмитрий Волков</v>
      </c>
    </row>
    <row r="2938" spans="1:10" x14ac:dyDescent="0.3">
      <c r="A2938" t="str">
        <f>_xlfn.XLOOKUP(branches[[#This Row],[Филиал]], tbl_Filialy[Филиал], tbl_Filialy[Город])</f>
        <v>Санкт-Петербург</v>
      </c>
      <c r="B2938" s="1" t="s">
        <v>38</v>
      </c>
      <c r="C2938" s="2">
        <v>46012</v>
      </c>
      <c r="D2938" s="2" t="str">
        <f>CHOOSE(MONTH(branches[[#This Row],[Дата]]),"Январь","Февраль","Март","Апрель","Май","Июнь","Июль","Август","Сентябрь","Октябрь","Ноябрь","Декабрь")&amp;" "&amp;YEAR(branches[[#This Row],[Дата]])</f>
        <v>Декабрь 2025</v>
      </c>
      <c r="E2938" t="s">
        <v>16</v>
      </c>
      <c r="F2938" t="s">
        <v>17</v>
      </c>
      <c r="G2938">
        <v>2</v>
      </c>
      <c r="H2938">
        <v>562</v>
      </c>
      <c r="I2938" t="s">
        <v>13</v>
      </c>
      <c r="J2938" t="str">
        <f>_xlfn.XLOOKUP(branches[[#This Row],[Филиал]], tbl_Filialy[Филиал], tbl_Filialy[Менеджер])</f>
        <v>Дмитрий Волков</v>
      </c>
    </row>
    <row r="2939" spans="1:10" x14ac:dyDescent="0.3">
      <c r="A2939" t="str">
        <f>_xlfn.XLOOKUP(branches[[#This Row],[Филиал]], tbl_Filialy[Филиал], tbl_Filialy[Город])</f>
        <v>Санкт-Петербург</v>
      </c>
      <c r="B2939" s="1" t="s">
        <v>38</v>
      </c>
      <c r="C2939" s="2">
        <v>45956</v>
      </c>
      <c r="D2939" s="2" t="str">
        <f>CHOOSE(MONTH(branches[[#This Row],[Дата]]),"Январь","Февраль","Март","Апрель","Май","Июнь","Июль","Август","Сентябрь","Октябрь","Ноябрь","Декабрь")&amp;" "&amp;YEAR(branches[[#This Row],[Дата]])</f>
        <v>Октябрь 2025</v>
      </c>
      <c r="E2939" t="s">
        <v>16</v>
      </c>
      <c r="F2939" t="s">
        <v>17</v>
      </c>
      <c r="G2939">
        <v>3</v>
      </c>
      <c r="H2939">
        <v>927</v>
      </c>
      <c r="I2939" t="s">
        <v>10</v>
      </c>
      <c r="J2939" t="str">
        <f>_xlfn.XLOOKUP(branches[[#This Row],[Филиал]], tbl_Filialy[Филиал], tbl_Filialy[Менеджер])</f>
        <v>Дмитрий Волков</v>
      </c>
    </row>
    <row r="2940" spans="1:10" x14ac:dyDescent="0.3">
      <c r="A2940" t="str">
        <f>_xlfn.XLOOKUP(branches[[#This Row],[Филиал]], tbl_Filialy[Филиал], tbl_Filialy[Город])</f>
        <v>Санкт-Петербург</v>
      </c>
      <c r="B2940" s="1" t="s">
        <v>38</v>
      </c>
      <c r="C2940" s="2">
        <v>45896</v>
      </c>
      <c r="D2940" s="2" t="str">
        <f>CHOOSE(MONTH(branches[[#This Row],[Дата]]),"Январь","Февраль","Март","Апрель","Май","Июнь","Июль","Август","Сентябрь","Октябрь","Ноябрь","Декабрь")&amp;" "&amp;YEAR(branches[[#This Row],[Дата]])</f>
        <v>Август 2025</v>
      </c>
      <c r="E2940" t="s">
        <v>16</v>
      </c>
      <c r="F2940" t="s">
        <v>17</v>
      </c>
      <c r="G2940">
        <v>2</v>
      </c>
      <c r="H2940">
        <v>580</v>
      </c>
      <c r="I2940" t="s">
        <v>10</v>
      </c>
      <c r="J2940" t="str">
        <f>_xlfn.XLOOKUP(branches[[#This Row],[Филиал]], tbl_Filialy[Филиал], tbl_Filialy[Менеджер])</f>
        <v>Дмитрий Волков</v>
      </c>
    </row>
    <row r="2941" spans="1:10" x14ac:dyDescent="0.3">
      <c r="A2941" t="str">
        <f>_xlfn.XLOOKUP(branches[[#This Row],[Филиал]], tbl_Filialy[Филиал], tbl_Filialy[Город])</f>
        <v>Санкт-Петербург</v>
      </c>
      <c r="B2941" s="1" t="s">
        <v>38</v>
      </c>
      <c r="C2941" s="2">
        <v>45985</v>
      </c>
      <c r="D2941" s="2" t="str">
        <f>CHOOSE(MONTH(branches[[#This Row],[Дата]]),"Январь","Февраль","Март","Апрель","Май","Июнь","Июль","Август","Сентябрь","Октябрь","Ноябрь","Декабрь")&amp;" "&amp;YEAR(branches[[#This Row],[Дата]])</f>
        <v>Ноябрь 2025</v>
      </c>
      <c r="E2941" t="s">
        <v>16</v>
      </c>
      <c r="F2941" t="s">
        <v>17</v>
      </c>
      <c r="G2941">
        <v>1</v>
      </c>
      <c r="H2941">
        <v>337</v>
      </c>
      <c r="I2941" t="s">
        <v>10</v>
      </c>
      <c r="J2941" t="str">
        <f>_xlfn.XLOOKUP(branches[[#This Row],[Филиал]], tbl_Filialy[Филиал], tbl_Filialy[Менеджер])</f>
        <v>Дмитрий Волков</v>
      </c>
    </row>
    <row r="2942" spans="1:10" x14ac:dyDescent="0.3">
      <c r="A2942" t="str">
        <f>_xlfn.XLOOKUP(branches[[#This Row],[Филиал]], tbl_Filialy[Филиал], tbl_Filialy[Город])</f>
        <v>Санкт-Петербург</v>
      </c>
      <c r="B2942" s="1" t="s">
        <v>38</v>
      </c>
      <c r="C2942" s="2">
        <v>45995</v>
      </c>
      <c r="D2942" s="2" t="str">
        <f>CHOOSE(MONTH(branches[[#This Row],[Дата]]),"Январь","Февраль","Март","Апрель","Май","Июнь","Июль","Август","Сентябрь","Октябрь","Ноябрь","Декабрь")&amp;" "&amp;YEAR(branches[[#This Row],[Дата]])</f>
        <v>Декабрь 2025</v>
      </c>
      <c r="E2942" t="s">
        <v>24</v>
      </c>
      <c r="F2942" t="s">
        <v>17</v>
      </c>
      <c r="G2942">
        <v>2</v>
      </c>
      <c r="H2942">
        <v>802</v>
      </c>
      <c r="I2942" t="s">
        <v>10</v>
      </c>
      <c r="J2942" t="str">
        <f>_xlfn.XLOOKUP(branches[[#This Row],[Филиал]], tbl_Filialy[Филиал], tbl_Filialy[Менеджер])</f>
        <v>Дмитрий Волков</v>
      </c>
    </row>
    <row r="2943" spans="1:10" x14ac:dyDescent="0.3">
      <c r="A2943" t="str">
        <f>_xlfn.XLOOKUP(branches[[#This Row],[Филиал]], tbl_Filialy[Филиал], tbl_Filialy[Город])</f>
        <v>Санкт-Петербург</v>
      </c>
      <c r="B2943" s="1" t="s">
        <v>38</v>
      </c>
      <c r="C2943" s="2">
        <v>45840</v>
      </c>
      <c r="D2943" s="2" t="str">
        <f>CHOOSE(MONTH(branches[[#This Row],[Дата]]),"Январь","Февраль","Март","Апрель","Май","Июнь","Июль","Август","Сентябрь","Октябрь","Ноябрь","Декабрь")&amp;" "&amp;YEAR(branches[[#This Row],[Дата]])</f>
        <v>Июль 2025</v>
      </c>
      <c r="E2943" t="s">
        <v>20</v>
      </c>
      <c r="F2943" t="s">
        <v>12</v>
      </c>
      <c r="G2943">
        <v>2</v>
      </c>
      <c r="H2943">
        <v>528</v>
      </c>
      <c r="I2943" t="s">
        <v>21</v>
      </c>
      <c r="J2943" t="str">
        <f>_xlfn.XLOOKUP(branches[[#This Row],[Филиал]], tbl_Filialy[Филиал], tbl_Filialy[Менеджер])</f>
        <v>Дмитрий Волков</v>
      </c>
    </row>
    <row r="2944" spans="1:10" x14ac:dyDescent="0.3">
      <c r="A2944" t="str">
        <f>_xlfn.XLOOKUP(branches[[#This Row],[Филиал]], tbl_Filialy[Филиал], tbl_Filialy[Город])</f>
        <v>Санкт-Петербург</v>
      </c>
      <c r="B2944" s="1" t="s">
        <v>38</v>
      </c>
      <c r="C2944" s="2">
        <v>45757</v>
      </c>
      <c r="D2944" s="2" t="str">
        <f>CHOOSE(MONTH(branches[[#This Row],[Дата]]),"Январь","Февраль","Март","Апрель","Май","Июнь","Июль","Август","Сентябрь","Октябрь","Ноябрь","Декабрь")&amp;" "&amp;YEAR(branches[[#This Row],[Дата]])</f>
        <v>Апрель 2025</v>
      </c>
      <c r="E2944" t="s">
        <v>25</v>
      </c>
      <c r="F2944" t="s">
        <v>12</v>
      </c>
      <c r="G2944">
        <v>2</v>
      </c>
      <c r="H2944">
        <v>464</v>
      </c>
      <c r="I2944" t="s">
        <v>21</v>
      </c>
      <c r="J2944" t="str">
        <f>_xlfn.XLOOKUP(branches[[#This Row],[Филиал]], tbl_Filialy[Филиал], tbl_Filialy[Менеджер])</f>
        <v>Дмитрий Волков</v>
      </c>
    </row>
    <row r="2945" spans="1:10" x14ac:dyDescent="0.3">
      <c r="A2945" t="str">
        <f>_xlfn.XLOOKUP(branches[[#This Row],[Филиал]], tbl_Filialy[Филиал], tbl_Filialy[Город])</f>
        <v>Санкт-Петербург</v>
      </c>
      <c r="B2945" s="1" t="s">
        <v>38</v>
      </c>
      <c r="C2945" s="2">
        <v>45883</v>
      </c>
      <c r="D2945" s="2" t="str">
        <f>CHOOSE(MONTH(branches[[#This Row],[Дата]]),"Январь","Февраль","Март","Апрель","Май","Июнь","Июль","Август","Сентябрь","Октябрь","Ноябрь","Декабрь")&amp;" "&amp;YEAR(branches[[#This Row],[Дата]])</f>
        <v>Август 2025</v>
      </c>
      <c r="E2945" t="s">
        <v>24</v>
      </c>
      <c r="F2945" t="s">
        <v>17</v>
      </c>
      <c r="G2945">
        <v>1</v>
      </c>
      <c r="H2945">
        <v>362</v>
      </c>
      <c r="I2945" t="s">
        <v>13</v>
      </c>
      <c r="J2945" t="str">
        <f>_xlfn.XLOOKUP(branches[[#This Row],[Филиал]], tbl_Filialy[Филиал], tbl_Filialy[Менеджер])</f>
        <v>Дмитрий Волков</v>
      </c>
    </row>
    <row r="2946" spans="1:10" x14ac:dyDescent="0.3">
      <c r="A2946" t="str">
        <f>_xlfn.XLOOKUP(branches[[#This Row],[Филиал]], tbl_Filialy[Филиал], tbl_Filialy[Город])</f>
        <v>Санкт-Петербург</v>
      </c>
      <c r="B2946" s="1" t="s">
        <v>38</v>
      </c>
      <c r="C2946" s="2">
        <v>45950</v>
      </c>
      <c r="D2946" s="2" t="str">
        <f>CHOOSE(MONTH(branches[[#This Row],[Дата]]),"Январь","Февраль","Март","Апрель","Май","Июнь","Июль","Август","Сентябрь","Октябрь","Ноябрь","Декабрь")&amp;" "&amp;YEAR(branches[[#This Row],[Дата]])</f>
        <v>Октябрь 2025</v>
      </c>
      <c r="E2946" t="s">
        <v>18</v>
      </c>
      <c r="F2946" t="s">
        <v>12</v>
      </c>
      <c r="G2946">
        <v>1</v>
      </c>
      <c r="H2946">
        <v>150</v>
      </c>
      <c r="I2946" t="s">
        <v>10</v>
      </c>
      <c r="J2946" t="str">
        <f>_xlfn.XLOOKUP(branches[[#This Row],[Филиал]], tbl_Filialy[Филиал], tbl_Filialy[Менеджер])</f>
        <v>Дмитрий Волков</v>
      </c>
    </row>
    <row r="2947" spans="1:10" x14ac:dyDescent="0.3">
      <c r="A2947" t="str">
        <f>_xlfn.XLOOKUP(branches[[#This Row],[Филиал]], tbl_Filialy[Филиал], tbl_Filialy[Город])</f>
        <v>Санкт-Петербург</v>
      </c>
      <c r="B2947" s="1" t="s">
        <v>38</v>
      </c>
      <c r="C2947" s="2">
        <v>45718</v>
      </c>
      <c r="D2947" s="2" t="str">
        <f>CHOOSE(MONTH(branches[[#This Row],[Дата]]),"Январь","Февраль","Март","Апрель","Май","Июнь","Июль","Август","Сентябрь","Октябрь","Ноябрь","Декабрь")&amp;" "&amp;YEAR(branches[[#This Row],[Дата]])</f>
        <v>Март 2025</v>
      </c>
      <c r="E2947" t="s">
        <v>16</v>
      </c>
      <c r="F2947" t="s">
        <v>17</v>
      </c>
      <c r="G2947">
        <v>3</v>
      </c>
      <c r="H2947">
        <v>993</v>
      </c>
      <c r="I2947" t="s">
        <v>15</v>
      </c>
      <c r="J2947" t="str">
        <f>_xlfn.XLOOKUP(branches[[#This Row],[Филиал]], tbl_Filialy[Филиал], tbl_Filialy[Менеджер])</f>
        <v>Дмитрий Волков</v>
      </c>
    </row>
    <row r="2948" spans="1:10" x14ac:dyDescent="0.3">
      <c r="A2948" t="str">
        <f>_xlfn.XLOOKUP(branches[[#This Row],[Филиал]], tbl_Filialy[Филиал], tbl_Filialy[Город])</f>
        <v>Санкт-Петербург</v>
      </c>
      <c r="B2948" s="1" t="s">
        <v>38</v>
      </c>
      <c r="C2948" s="2">
        <v>45855</v>
      </c>
      <c r="D2948" s="2" t="str">
        <f>CHOOSE(MONTH(branches[[#This Row],[Дата]]),"Январь","Февраль","Март","Апрель","Май","Июнь","Июль","Август","Сентябрь","Октябрь","Ноябрь","Декабрь")&amp;" "&amp;YEAR(branches[[#This Row],[Дата]])</f>
        <v>Июль 2025</v>
      </c>
      <c r="E2948" t="s">
        <v>28</v>
      </c>
      <c r="F2948" t="s">
        <v>12</v>
      </c>
      <c r="G2948">
        <v>3</v>
      </c>
      <c r="H2948">
        <v>660</v>
      </c>
      <c r="I2948" t="s">
        <v>21</v>
      </c>
      <c r="J2948" t="str">
        <f>_xlfn.XLOOKUP(branches[[#This Row],[Филиал]], tbl_Filialy[Филиал], tbl_Filialy[Менеджер])</f>
        <v>Дмитрий Волков</v>
      </c>
    </row>
    <row r="2949" spans="1:10" x14ac:dyDescent="0.3">
      <c r="A2949" t="str">
        <f>_xlfn.XLOOKUP(branches[[#This Row],[Филиал]], tbl_Filialy[Филиал], tbl_Filialy[Город])</f>
        <v>Санкт-Петербург</v>
      </c>
      <c r="B2949" s="1" t="s">
        <v>38</v>
      </c>
      <c r="C2949" s="2">
        <v>45707</v>
      </c>
      <c r="D2949" s="2" t="str">
        <f>CHOOSE(MONTH(branches[[#This Row],[Дата]]),"Январь","Февраль","Март","Апрель","Май","Июнь","Июль","Август","Сентябрь","Октябрь","Ноябрь","Декабрь")&amp;" "&amp;YEAR(branches[[#This Row],[Дата]])</f>
        <v>Февраль 2025</v>
      </c>
      <c r="E2949" t="s">
        <v>26</v>
      </c>
      <c r="F2949" t="s">
        <v>9</v>
      </c>
      <c r="G2949">
        <v>1</v>
      </c>
      <c r="H2949">
        <v>225</v>
      </c>
      <c r="I2949" t="s">
        <v>23</v>
      </c>
      <c r="J2949" t="str">
        <f>_xlfn.XLOOKUP(branches[[#This Row],[Филиал]], tbl_Filialy[Филиал], tbl_Filialy[Менеджер])</f>
        <v>Дмитрий Волков</v>
      </c>
    </row>
    <row r="2950" spans="1:10" x14ac:dyDescent="0.3">
      <c r="A2950" t="str">
        <f>_xlfn.XLOOKUP(branches[[#This Row],[Филиал]], tbl_Filialy[Филиал], tbl_Filialy[Город])</f>
        <v>Санкт-Петербург</v>
      </c>
      <c r="B2950" s="1" t="s">
        <v>38</v>
      </c>
      <c r="C2950" s="2">
        <v>45948</v>
      </c>
      <c r="D2950" s="2" t="str">
        <f>CHOOSE(MONTH(branches[[#This Row],[Дата]]),"Январь","Февраль","Март","Апрель","Май","Июнь","Июль","Август","Сентябрь","Октябрь","Ноябрь","Декабрь")&amp;" "&amp;YEAR(branches[[#This Row],[Дата]])</f>
        <v>Октябрь 2025</v>
      </c>
      <c r="E2950" t="s">
        <v>25</v>
      </c>
      <c r="F2950" t="s">
        <v>12</v>
      </c>
      <c r="G2950">
        <v>2</v>
      </c>
      <c r="H2950">
        <v>402</v>
      </c>
      <c r="I2950" t="s">
        <v>23</v>
      </c>
      <c r="J2950" t="str">
        <f>_xlfn.XLOOKUP(branches[[#This Row],[Филиал]], tbl_Filialy[Филиал], tbl_Filialy[Менеджер])</f>
        <v>Дмитрий Волков</v>
      </c>
    </row>
    <row r="2951" spans="1:10" x14ac:dyDescent="0.3">
      <c r="A2951" t="str">
        <f>_xlfn.XLOOKUP(branches[[#This Row],[Филиал]], tbl_Filialy[Филиал], tbl_Filialy[Город])</f>
        <v>Санкт-Петербург</v>
      </c>
      <c r="B2951" s="1" t="s">
        <v>38</v>
      </c>
      <c r="C2951" s="2">
        <v>46014</v>
      </c>
      <c r="D2951" s="2" t="str">
        <f>CHOOSE(MONTH(branches[[#This Row],[Дата]]),"Январь","Февраль","Март","Апрель","Май","Июнь","Июль","Август","Сентябрь","Октябрь","Ноябрь","Декабрь")&amp;" "&amp;YEAR(branches[[#This Row],[Дата]])</f>
        <v>Декабрь 2025</v>
      </c>
      <c r="E2951" t="s">
        <v>11</v>
      </c>
      <c r="F2951" t="s">
        <v>12</v>
      </c>
      <c r="G2951">
        <v>2</v>
      </c>
      <c r="H2951">
        <v>378</v>
      </c>
      <c r="I2951" t="s">
        <v>19</v>
      </c>
      <c r="J2951" t="str">
        <f>_xlfn.XLOOKUP(branches[[#This Row],[Филиал]], tbl_Filialy[Филиал], tbl_Filialy[Менеджер])</f>
        <v>Дмитрий Волков</v>
      </c>
    </row>
    <row r="2952" spans="1:10" x14ac:dyDescent="0.3">
      <c r="A2952" t="str">
        <f>_xlfn.XLOOKUP(branches[[#This Row],[Филиал]], tbl_Filialy[Филиал], tbl_Filialy[Город])</f>
        <v>Санкт-Петербург</v>
      </c>
      <c r="B2952" s="1" t="s">
        <v>38</v>
      </c>
      <c r="C2952" s="2">
        <v>45995</v>
      </c>
      <c r="D2952" s="2" t="str">
        <f>CHOOSE(MONTH(branches[[#This Row],[Дата]]),"Январь","Февраль","Март","Апрель","Май","Июнь","Июль","Август","Сентябрь","Октябрь","Ноябрь","Декабрь")&amp;" "&amp;YEAR(branches[[#This Row],[Дата]])</f>
        <v>Декабрь 2025</v>
      </c>
      <c r="E2952" t="s">
        <v>18</v>
      </c>
      <c r="F2952" t="s">
        <v>12</v>
      </c>
      <c r="G2952">
        <v>2</v>
      </c>
      <c r="H2952">
        <v>252</v>
      </c>
      <c r="I2952" t="s">
        <v>13</v>
      </c>
      <c r="J2952" t="str">
        <f>_xlfn.XLOOKUP(branches[[#This Row],[Филиал]], tbl_Filialy[Филиал], tbl_Filialy[Менеджер])</f>
        <v>Дмитрий Волков</v>
      </c>
    </row>
    <row r="2953" spans="1:10" x14ac:dyDescent="0.3">
      <c r="A2953" t="str">
        <f>_xlfn.XLOOKUP(branches[[#This Row],[Филиал]], tbl_Filialy[Филиал], tbl_Filialy[Город])</f>
        <v>Санкт-Петербург</v>
      </c>
      <c r="B2953" s="1" t="s">
        <v>38</v>
      </c>
      <c r="C2953" s="2">
        <v>45680</v>
      </c>
      <c r="D2953" s="2" t="str">
        <f>CHOOSE(MONTH(branches[[#This Row],[Дата]]),"Январь","Февраль","Март","Апрель","Май","Июнь","Июль","Август","Сентябрь","Октябрь","Ноябрь","Декабрь")&amp;" "&amp;YEAR(branches[[#This Row],[Дата]])</f>
        <v>Январь 2025</v>
      </c>
      <c r="E2953" t="s">
        <v>27</v>
      </c>
      <c r="F2953" t="s">
        <v>12</v>
      </c>
      <c r="G2953">
        <v>2</v>
      </c>
      <c r="H2953">
        <v>462</v>
      </c>
      <c r="I2953" t="s">
        <v>13</v>
      </c>
      <c r="J2953" t="str">
        <f>_xlfn.XLOOKUP(branches[[#This Row],[Филиал]], tbl_Filialy[Филиал], tbl_Filialy[Менеджер])</f>
        <v>Дмитрий Волков</v>
      </c>
    </row>
    <row r="2954" spans="1:10" x14ac:dyDescent="0.3">
      <c r="A2954" t="str">
        <f>_xlfn.XLOOKUP(branches[[#This Row],[Филиал]], tbl_Filialy[Филиал], tbl_Filialy[Город])</f>
        <v>Санкт-Петербург</v>
      </c>
      <c r="B2954" s="1" t="s">
        <v>38</v>
      </c>
      <c r="C2954" s="2">
        <v>45831</v>
      </c>
      <c r="D2954" s="2" t="str">
        <f>CHOOSE(MONTH(branches[[#This Row],[Дата]]),"Январь","Февраль","Март","Апрель","Май","Июнь","Июль","Август","Сентябрь","Октябрь","Ноябрь","Декабрь")&amp;" "&amp;YEAR(branches[[#This Row],[Дата]])</f>
        <v>Июнь 2025</v>
      </c>
      <c r="E2954" t="s">
        <v>22</v>
      </c>
      <c r="F2954" t="s">
        <v>9</v>
      </c>
      <c r="G2954">
        <v>2</v>
      </c>
      <c r="H2954">
        <v>342</v>
      </c>
      <c r="I2954" t="s">
        <v>19</v>
      </c>
      <c r="J2954" t="str">
        <f>_xlfn.XLOOKUP(branches[[#This Row],[Филиал]], tbl_Filialy[Филиал], tbl_Filialy[Менеджер])</f>
        <v>Дмитрий Волков</v>
      </c>
    </row>
    <row r="2955" spans="1:10" x14ac:dyDescent="0.3">
      <c r="A2955" t="str">
        <f>_xlfn.XLOOKUP(branches[[#This Row],[Филиал]], tbl_Filialy[Филиал], tbl_Filialy[Город])</f>
        <v>Санкт-Петербург</v>
      </c>
      <c r="B2955" s="1" t="s">
        <v>38</v>
      </c>
      <c r="C2955" s="2">
        <v>45968</v>
      </c>
      <c r="D2955" s="2" t="str">
        <f>CHOOSE(MONTH(branches[[#This Row],[Дата]]),"Январь","Февраль","Март","Апрель","Май","Июнь","Июль","Август","Сентябрь","Октябрь","Ноябрь","Декабрь")&amp;" "&amp;YEAR(branches[[#This Row],[Дата]])</f>
        <v>Ноябрь 2025</v>
      </c>
      <c r="E2955" t="s">
        <v>8</v>
      </c>
      <c r="F2955" t="s">
        <v>9</v>
      </c>
      <c r="G2955">
        <v>2</v>
      </c>
      <c r="H2955">
        <v>462</v>
      </c>
      <c r="I2955" t="s">
        <v>10</v>
      </c>
      <c r="J2955" t="str">
        <f>_xlfn.XLOOKUP(branches[[#This Row],[Филиал]], tbl_Filialy[Филиал], tbl_Filialy[Менеджер])</f>
        <v>Дмитрий Волков</v>
      </c>
    </row>
    <row r="2956" spans="1:10" x14ac:dyDescent="0.3">
      <c r="A2956" t="str">
        <f>_xlfn.XLOOKUP(branches[[#This Row],[Филиал]], tbl_Filialy[Филиал], tbl_Filialy[Город])</f>
        <v>Санкт-Петербург</v>
      </c>
      <c r="B2956" s="1" t="s">
        <v>38</v>
      </c>
      <c r="C2956" s="2">
        <v>45757</v>
      </c>
      <c r="D2956" s="2" t="str">
        <f>CHOOSE(MONTH(branches[[#This Row],[Дата]]),"Январь","Февраль","Март","Апрель","Май","Июнь","Июль","Август","Сентябрь","Октябрь","Ноябрь","Декабрь")&amp;" "&amp;YEAR(branches[[#This Row],[Дата]])</f>
        <v>Апрель 2025</v>
      </c>
      <c r="E2956" t="s">
        <v>27</v>
      </c>
      <c r="F2956" t="s">
        <v>12</v>
      </c>
      <c r="G2956">
        <v>1</v>
      </c>
      <c r="H2956">
        <v>240</v>
      </c>
      <c r="I2956" t="s">
        <v>15</v>
      </c>
      <c r="J2956" t="str">
        <f>_xlfn.XLOOKUP(branches[[#This Row],[Филиал]], tbl_Filialy[Филиал], tbl_Filialy[Менеджер])</f>
        <v>Дмитрий Волков</v>
      </c>
    </row>
    <row r="2957" spans="1:10" x14ac:dyDescent="0.3">
      <c r="A2957" t="str">
        <f>_xlfn.XLOOKUP(branches[[#This Row],[Филиал]], tbl_Filialy[Филиал], tbl_Filialy[Город])</f>
        <v>Санкт-Петербург</v>
      </c>
      <c r="B2957" s="1" t="s">
        <v>38</v>
      </c>
      <c r="C2957" s="2">
        <v>45938</v>
      </c>
      <c r="D2957" s="2" t="str">
        <f>CHOOSE(MONTH(branches[[#This Row],[Дата]]),"Январь","Февраль","Март","Апрель","Май","Июнь","Июль","Август","Сентябрь","Октябрь","Ноябрь","Декабрь")&amp;" "&amp;YEAR(branches[[#This Row],[Дата]])</f>
        <v>Октябрь 2025</v>
      </c>
      <c r="E2957" t="s">
        <v>20</v>
      </c>
      <c r="F2957" t="s">
        <v>12</v>
      </c>
      <c r="G2957">
        <v>1</v>
      </c>
      <c r="H2957">
        <v>280</v>
      </c>
      <c r="I2957" t="s">
        <v>19</v>
      </c>
      <c r="J2957" t="str">
        <f>_xlfn.XLOOKUP(branches[[#This Row],[Филиал]], tbl_Filialy[Филиал], tbl_Filialy[Менеджер])</f>
        <v>Дмитрий Волков</v>
      </c>
    </row>
    <row r="2958" spans="1:10" x14ac:dyDescent="0.3">
      <c r="A2958" t="str">
        <f>_xlfn.XLOOKUP(branches[[#This Row],[Филиал]], tbl_Filialy[Филиал], tbl_Filialy[Город])</f>
        <v>Санкт-Петербург</v>
      </c>
      <c r="B2958" s="1" t="s">
        <v>38</v>
      </c>
      <c r="C2958" s="2">
        <v>45673</v>
      </c>
      <c r="D2958" s="2" t="str">
        <f>CHOOSE(MONTH(branches[[#This Row],[Дата]]),"Январь","Февраль","Март","Апрель","Май","Июнь","Июль","Август","Сентябрь","Октябрь","Ноябрь","Декабрь")&amp;" "&amp;YEAR(branches[[#This Row],[Дата]])</f>
        <v>Январь 2025</v>
      </c>
      <c r="E2958" t="s">
        <v>8</v>
      </c>
      <c r="F2958" t="s">
        <v>9</v>
      </c>
      <c r="G2958">
        <v>1</v>
      </c>
      <c r="H2958">
        <v>246</v>
      </c>
      <c r="I2958" t="s">
        <v>23</v>
      </c>
      <c r="J2958" t="str">
        <f>_xlfn.XLOOKUP(branches[[#This Row],[Филиал]], tbl_Filialy[Филиал], tbl_Filialy[Менеджер])</f>
        <v>Дмитрий Волков</v>
      </c>
    </row>
    <row r="2959" spans="1:10" x14ac:dyDescent="0.3">
      <c r="A2959" t="str">
        <f>_xlfn.XLOOKUP(branches[[#This Row],[Филиал]], tbl_Filialy[Филиал], tbl_Filialy[Город])</f>
        <v>Санкт-Петербург</v>
      </c>
      <c r="B2959" s="1" t="s">
        <v>38</v>
      </c>
      <c r="C2959" s="2">
        <v>45851</v>
      </c>
      <c r="D2959" s="2" t="str">
        <f>CHOOSE(MONTH(branches[[#This Row],[Дата]]),"Январь","Февраль","Март","Апрель","Май","Июнь","Июль","Август","Сентябрь","Октябрь","Ноябрь","Декабрь")&amp;" "&amp;YEAR(branches[[#This Row],[Дата]])</f>
        <v>Июль 2025</v>
      </c>
      <c r="E2959" t="s">
        <v>20</v>
      </c>
      <c r="F2959" t="s">
        <v>12</v>
      </c>
      <c r="G2959">
        <v>2</v>
      </c>
      <c r="H2959">
        <v>518</v>
      </c>
      <c r="I2959" t="s">
        <v>10</v>
      </c>
      <c r="J2959" t="str">
        <f>_xlfn.XLOOKUP(branches[[#This Row],[Филиал]], tbl_Filialy[Филиал], tbl_Filialy[Менеджер])</f>
        <v>Дмитрий Волков</v>
      </c>
    </row>
    <row r="2960" spans="1:10" x14ac:dyDescent="0.3">
      <c r="A2960" t="str">
        <f>_xlfn.XLOOKUP(branches[[#This Row],[Филиал]], tbl_Filialy[Филиал], tbl_Filialy[Город])</f>
        <v>Санкт-Петербург</v>
      </c>
      <c r="B2960" s="1" t="s">
        <v>38</v>
      </c>
      <c r="C2960" s="2">
        <v>45918</v>
      </c>
      <c r="D2960" s="2" t="str">
        <f>CHOOSE(MONTH(branches[[#This Row],[Дата]]),"Январь","Февраль","Март","Апрель","Май","Июнь","Июль","Август","Сентябрь","Октябрь","Ноябрь","Декабрь")&amp;" "&amp;YEAR(branches[[#This Row],[Дата]])</f>
        <v>Сентябрь 2025</v>
      </c>
      <c r="E2960" t="s">
        <v>25</v>
      </c>
      <c r="F2960" t="s">
        <v>12</v>
      </c>
      <c r="G2960">
        <v>2</v>
      </c>
      <c r="H2960">
        <v>490</v>
      </c>
      <c r="I2960" t="s">
        <v>15</v>
      </c>
      <c r="J2960" t="str">
        <f>_xlfn.XLOOKUP(branches[[#This Row],[Филиал]], tbl_Filialy[Филиал], tbl_Filialy[Менеджер])</f>
        <v>Дмитрий Волков</v>
      </c>
    </row>
    <row r="2961" spans="1:10" x14ac:dyDescent="0.3">
      <c r="A2961" t="str">
        <f>_xlfn.XLOOKUP(branches[[#This Row],[Филиал]], tbl_Filialy[Филиал], tbl_Filialy[Город])</f>
        <v>Санкт-Петербург</v>
      </c>
      <c r="B2961" s="1" t="s">
        <v>38</v>
      </c>
      <c r="C2961" s="2">
        <v>45864</v>
      </c>
      <c r="D2961" s="2" t="str">
        <f>CHOOSE(MONTH(branches[[#This Row],[Дата]]),"Январь","Февраль","Март","Апрель","Май","Июнь","Июль","Август","Сентябрь","Октябрь","Ноябрь","Декабрь")&amp;" "&amp;YEAR(branches[[#This Row],[Дата]])</f>
        <v>Июль 2025</v>
      </c>
      <c r="E2961" t="s">
        <v>28</v>
      </c>
      <c r="F2961" t="s">
        <v>12</v>
      </c>
      <c r="G2961">
        <v>1</v>
      </c>
      <c r="H2961">
        <v>211</v>
      </c>
      <c r="I2961" t="s">
        <v>10</v>
      </c>
      <c r="J2961" t="str">
        <f>_xlfn.XLOOKUP(branches[[#This Row],[Филиал]], tbl_Filialy[Филиал], tbl_Filialy[Менеджер])</f>
        <v>Дмитрий Волков</v>
      </c>
    </row>
    <row r="2962" spans="1:10" x14ac:dyDescent="0.3">
      <c r="A2962" t="str">
        <f>_xlfn.XLOOKUP(branches[[#This Row],[Филиал]], tbl_Filialy[Филиал], tbl_Filialy[Город])</f>
        <v>Санкт-Петербург</v>
      </c>
      <c r="B2962" s="1" t="s">
        <v>38</v>
      </c>
      <c r="C2962" s="2">
        <v>45952</v>
      </c>
      <c r="D2962" s="2" t="str">
        <f>CHOOSE(MONTH(branches[[#This Row],[Дата]]),"Январь","Февраль","Март","Апрель","Май","Июнь","Июль","Август","Сентябрь","Октябрь","Ноябрь","Декабрь")&amp;" "&amp;YEAR(branches[[#This Row],[Дата]])</f>
        <v>Октябрь 2025</v>
      </c>
      <c r="E2962" t="s">
        <v>26</v>
      </c>
      <c r="F2962" t="s">
        <v>9</v>
      </c>
      <c r="G2962">
        <v>1</v>
      </c>
      <c r="H2962">
        <v>221</v>
      </c>
      <c r="I2962" t="s">
        <v>21</v>
      </c>
      <c r="J2962" t="str">
        <f>_xlfn.XLOOKUP(branches[[#This Row],[Филиал]], tbl_Filialy[Филиал], tbl_Filialy[Менеджер])</f>
        <v>Дмитрий Волков</v>
      </c>
    </row>
    <row r="2963" spans="1:10" x14ac:dyDescent="0.3">
      <c r="A2963" t="str">
        <f>_xlfn.XLOOKUP(branches[[#This Row],[Филиал]], tbl_Filialy[Филиал], tbl_Filialy[Город])</f>
        <v>Санкт-Петербург</v>
      </c>
      <c r="B2963" s="1" t="s">
        <v>38</v>
      </c>
      <c r="C2963" s="2">
        <v>46000</v>
      </c>
      <c r="D2963" s="2" t="str">
        <f>CHOOSE(MONTH(branches[[#This Row],[Дата]]),"Январь","Февраль","Март","Апрель","Май","Июнь","Июль","Август","Сентябрь","Октябрь","Ноябрь","Декабрь")&amp;" "&amp;YEAR(branches[[#This Row],[Дата]])</f>
        <v>Декабрь 2025</v>
      </c>
      <c r="E2963" t="s">
        <v>20</v>
      </c>
      <c r="F2963" t="s">
        <v>12</v>
      </c>
      <c r="G2963">
        <v>3</v>
      </c>
      <c r="H2963">
        <v>912</v>
      </c>
      <c r="I2963" t="s">
        <v>19</v>
      </c>
      <c r="J2963" t="str">
        <f>_xlfn.XLOOKUP(branches[[#This Row],[Филиал]], tbl_Filialy[Филиал], tbl_Filialy[Менеджер])</f>
        <v>Дмитрий Волков</v>
      </c>
    </row>
    <row r="2964" spans="1:10" x14ac:dyDescent="0.3">
      <c r="A2964" t="str">
        <f>_xlfn.XLOOKUP(branches[[#This Row],[Филиал]], tbl_Filialy[Филиал], tbl_Filialy[Город])</f>
        <v>Санкт-Петербург</v>
      </c>
      <c r="B2964" s="1" t="s">
        <v>38</v>
      </c>
      <c r="C2964" s="2">
        <v>45694</v>
      </c>
      <c r="D2964" s="2" t="str">
        <f>CHOOSE(MONTH(branches[[#This Row],[Дата]]),"Январь","Февраль","Март","Апрель","Май","Июнь","Июль","Август","Сентябрь","Октябрь","Ноябрь","Декабрь")&amp;" "&amp;YEAR(branches[[#This Row],[Дата]])</f>
        <v>Февраль 2025</v>
      </c>
      <c r="E2964" t="s">
        <v>11</v>
      </c>
      <c r="F2964" t="s">
        <v>12</v>
      </c>
      <c r="G2964">
        <v>1</v>
      </c>
      <c r="H2964">
        <v>158</v>
      </c>
      <c r="I2964" t="s">
        <v>10</v>
      </c>
      <c r="J2964" t="str">
        <f>_xlfn.XLOOKUP(branches[[#This Row],[Филиал]], tbl_Filialy[Филиал], tbl_Filialy[Менеджер])</f>
        <v>Дмитрий Волков</v>
      </c>
    </row>
    <row r="2965" spans="1:10" x14ac:dyDescent="0.3">
      <c r="A2965" t="str">
        <f>_xlfn.XLOOKUP(branches[[#This Row],[Филиал]], tbl_Filialy[Филиал], tbl_Filialy[Город])</f>
        <v>Санкт-Петербург</v>
      </c>
      <c r="B2965" s="1" t="s">
        <v>38</v>
      </c>
      <c r="C2965" s="2">
        <v>45814</v>
      </c>
      <c r="D2965" s="2" t="str">
        <f>CHOOSE(MONTH(branches[[#This Row],[Дата]]),"Январь","Февраль","Март","Апрель","Май","Июнь","Июль","Август","Сентябрь","Октябрь","Ноябрь","Декабрь")&amp;" "&amp;YEAR(branches[[#This Row],[Дата]])</f>
        <v>Июнь 2025</v>
      </c>
      <c r="E2965" t="s">
        <v>11</v>
      </c>
      <c r="F2965" t="s">
        <v>12</v>
      </c>
      <c r="G2965">
        <v>3</v>
      </c>
      <c r="H2965">
        <v>558</v>
      </c>
      <c r="I2965" t="s">
        <v>19</v>
      </c>
      <c r="J2965" t="str">
        <f>_xlfn.XLOOKUP(branches[[#This Row],[Филиал]], tbl_Filialy[Филиал], tbl_Filialy[Менеджер])</f>
        <v>Дмитрий Волков</v>
      </c>
    </row>
    <row r="2966" spans="1:10" x14ac:dyDescent="0.3">
      <c r="A2966" t="str">
        <f>_xlfn.XLOOKUP(branches[[#This Row],[Филиал]], tbl_Filialy[Филиал], tbl_Filialy[Город])</f>
        <v>Санкт-Петербург</v>
      </c>
      <c r="B2966" s="1" t="s">
        <v>38</v>
      </c>
      <c r="C2966" s="2">
        <v>45828</v>
      </c>
      <c r="D2966" s="2" t="str">
        <f>CHOOSE(MONTH(branches[[#This Row],[Дата]]),"Январь","Февраль","Март","Апрель","Май","Июнь","Июль","Август","Сентябрь","Октябрь","Ноябрь","Декабрь")&amp;" "&amp;YEAR(branches[[#This Row],[Дата]])</f>
        <v>Июнь 2025</v>
      </c>
      <c r="E2966" t="s">
        <v>20</v>
      </c>
      <c r="F2966" t="s">
        <v>12</v>
      </c>
      <c r="G2966">
        <v>2</v>
      </c>
      <c r="H2966">
        <v>516</v>
      </c>
      <c r="I2966" t="s">
        <v>13</v>
      </c>
      <c r="J2966" t="str">
        <f>_xlfn.XLOOKUP(branches[[#This Row],[Филиал]], tbl_Filialy[Филиал], tbl_Filialy[Менеджер])</f>
        <v>Дмитрий Волков</v>
      </c>
    </row>
    <row r="2967" spans="1:10" x14ac:dyDescent="0.3">
      <c r="A2967" t="str">
        <f>_xlfn.XLOOKUP(branches[[#This Row],[Филиал]], tbl_Filialy[Филиал], tbl_Filialy[Город])</f>
        <v>Санкт-Петербург</v>
      </c>
      <c r="B2967" s="1" t="s">
        <v>38</v>
      </c>
      <c r="C2967" s="2">
        <v>45996</v>
      </c>
      <c r="D2967" s="2" t="str">
        <f>CHOOSE(MONTH(branches[[#This Row],[Дата]]),"Январь","Февраль","Март","Апрель","Май","Июнь","Июль","Август","Сентябрь","Октябрь","Ноябрь","Декабрь")&amp;" "&amp;YEAR(branches[[#This Row],[Дата]])</f>
        <v>Декабрь 2025</v>
      </c>
      <c r="E2967" t="s">
        <v>11</v>
      </c>
      <c r="F2967" t="s">
        <v>12</v>
      </c>
      <c r="G2967">
        <v>1</v>
      </c>
      <c r="H2967">
        <v>178</v>
      </c>
      <c r="I2967" t="s">
        <v>15</v>
      </c>
      <c r="J2967" t="str">
        <f>_xlfn.XLOOKUP(branches[[#This Row],[Филиал]], tbl_Filialy[Филиал], tbl_Filialy[Менеджер])</f>
        <v>Дмитрий Волков</v>
      </c>
    </row>
    <row r="2968" spans="1:10" x14ac:dyDescent="0.3">
      <c r="A2968" t="str">
        <f>_xlfn.XLOOKUP(branches[[#This Row],[Филиал]], tbl_Filialy[Филиал], tbl_Filialy[Город])</f>
        <v>Санкт-Петербург</v>
      </c>
      <c r="B2968" s="1" t="s">
        <v>38</v>
      </c>
      <c r="C2968" s="2">
        <v>45685</v>
      </c>
      <c r="D2968" s="2" t="str">
        <f>CHOOSE(MONTH(branches[[#This Row],[Дата]]),"Январь","Февраль","Март","Апрель","Май","Июнь","Июль","Август","Сентябрь","Октябрь","Ноябрь","Декабрь")&amp;" "&amp;YEAR(branches[[#This Row],[Дата]])</f>
        <v>Январь 2025</v>
      </c>
      <c r="E2968" t="s">
        <v>14</v>
      </c>
      <c r="F2968" t="s">
        <v>12</v>
      </c>
      <c r="G2968">
        <v>2</v>
      </c>
      <c r="H2968">
        <v>492</v>
      </c>
      <c r="I2968" t="s">
        <v>23</v>
      </c>
      <c r="J2968" t="str">
        <f>_xlfn.XLOOKUP(branches[[#This Row],[Филиал]], tbl_Filialy[Филиал], tbl_Filialy[Менеджер])</f>
        <v>Дмитрий Волков</v>
      </c>
    </row>
    <row r="2969" spans="1:10" x14ac:dyDescent="0.3">
      <c r="A2969" t="str">
        <f>_xlfn.XLOOKUP(branches[[#This Row],[Филиал]], tbl_Filialy[Филиал], tbl_Filialy[Город])</f>
        <v>Санкт-Петербург</v>
      </c>
      <c r="B2969" s="1" t="s">
        <v>38</v>
      </c>
      <c r="C2969" s="2">
        <v>45849</v>
      </c>
      <c r="D2969" s="2" t="str">
        <f>CHOOSE(MONTH(branches[[#This Row],[Дата]]),"Январь","Февраль","Март","Апрель","Май","Июнь","Июль","Август","Сентябрь","Октябрь","Ноябрь","Декабрь")&amp;" "&amp;YEAR(branches[[#This Row],[Дата]])</f>
        <v>Июль 2025</v>
      </c>
      <c r="E2969" t="s">
        <v>27</v>
      </c>
      <c r="F2969" t="s">
        <v>12</v>
      </c>
      <c r="G2969">
        <v>2</v>
      </c>
      <c r="H2969">
        <v>450</v>
      </c>
      <c r="I2969" t="s">
        <v>23</v>
      </c>
      <c r="J2969" t="str">
        <f>_xlfn.XLOOKUP(branches[[#This Row],[Филиал]], tbl_Filialy[Филиал], tbl_Filialy[Менеджер])</f>
        <v>Дмитрий Волков</v>
      </c>
    </row>
    <row r="2970" spans="1:10" x14ac:dyDescent="0.3">
      <c r="A2970" t="str">
        <f>_xlfn.XLOOKUP(branches[[#This Row],[Филиал]], tbl_Filialy[Филиал], tbl_Filialy[Город])</f>
        <v>Санкт-Петербург</v>
      </c>
      <c r="B2970" s="1" t="s">
        <v>38</v>
      </c>
      <c r="C2970" s="2">
        <v>45749</v>
      </c>
      <c r="D2970" s="2" t="str">
        <f>CHOOSE(MONTH(branches[[#This Row],[Дата]]),"Январь","Февраль","Март","Апрель","Май","Июнь","Июль","Август","Сентябрь","Октябрь","Ноябрь","Декабрь")&amp;" "&amp;YEAR(branches[[#This Row],[Дата]])</f>
        <v>Апрель 2025</v>
      </c>
      <c r="E2970" t="s">
        <v>22</v>
      </c>
      <c r="F2970" t="s">
        <v>9</v>
      </c>
      <c r="G2970">
        <v>2</v>
      </c>
      <c r="H2970">
        <v>320</v>
      </c>
      <c r="I2970" t="s">
        <v>19</v>
      </c>
      <c r="J2970" t="str">
        <f>_xlfn.XLOOKUP(branches[[#This Row],[Филиал]], tbl_Filialy[Филиал], tbl_Filialy[Менеджер])</f>
        <v>Дмитрий Волков</v>
      </c>
    </row>
    <row r="2971" spans="1:10" x14ac:dyDescent="0.3">
      <c r="A2971" t="str">
        <f>_xlfn.XLOOKUP(branches[[#This Row],[Филиал]], tbl_Filialy[Филиал], tbl_Filialy[Город])</f>
        <v>Санкт-Петербург</v>
      </c>
      <c r="B2971" s="1" t="s">
        <v>38</v>
      </c>
      <c r="C2971" s="2">
        <v>46003</v>
      </c>
      <c r="D2971" s="2" t="str">
        <f>CHOOSE(MONTH(branches[[#This Row],[Дата]]),"Январь","Февраль","Март","Апрель","Май","Июнь","Июль","Август","Сентябрь","Октябрь","Ноябрь","Декабрь")&amp;" "&amp;YEAR(branches[[#This Row],[Дата]])</f>
        <v>Декабрь 2025</v>
      </c>
      <c r="E2971" t="s">
        <v>28</v>
      </c>
      <c r="F2971" t="s">
        <v>12</v>
      </c>
      <c r="G2971">
        <v>1</v>
      </c>
      <c r="H2971">
        <v>229</v>
      </c>
      <c r="I2971" t="s">
        <v>21</v>
      </c>
      <c r="J2971" t="str">
        <f>_xlfn.XLOOKUP(branches[[#This Row],[Филиал]], tbl_Filialy[Филиал], tbl_Filialy[Менеджер])</f>
        <v>Дмитрий Волков</v>
      </c>
    </row>
    <row r="2972" spans="1:10" x14ac:dyDescent="0.3">
      <c r="A2972" t="str">
        <f>_xlfn.XLOOKUP(branches[[#This Row],[Филиал]], tbl_Filialy[Филиал], tbl_Filialy[Город])</f>
        <v>Санкт-Петербург</v>
      </c>
      <c r="B2972" s="1" t="s">
        <v>38</v>
      </c>
      <c r="C2972" s="2">
        <v>45756</v>
      </c>
      <c r="D2972" s="2" t="str">
        <f>CHOOSE(MONTH(branches[[#This Row],[Дата]]),"Январь","Февраль","Март","Апрель","Май","Июнь","Июль","Август","Сентябрь","Октябрь","Ноябрь","Декабрь")&amp;" "&amp;YEAR(branches[[#This Row],[Дата]])</f>
        <v>Апрель 2025</v>
      </c>
      <c r="E2972" t="s">
        <v>18</v>
      </c>
      <c r="F2972" t="s">
        <v>12</v>
      </c>
      <c r="G2972">
        <v>3</v>
      </c>
      <c r="H2972">
        <v>399</v>
      </c>
      <c r="I2972" t="s">
        <v>13</v>
      </c>
      <c r="J2972" t="str">
        <f>_xlfn.XLOOKUP(branches[[#This Row],[Филиал]], tbl_Filialy[Филиал], tbl_Filialy[Менеджер])</f>
        <v>Дмитрий Волков</v>
      </c>
    </row>
    <row r="2973" spans="1:10" x14ac:dyDescent="0.3">
      <c r="A2973" t="str">
        <f>_xlfn.XLOOKUP(branches[[#This Row],[Филиал]], tbl_Filialy[Филиал], tbl_Filialy[Город])</f>
        <v>Санкт-Петербург</v>
      </c>
      <c r="B2973" s="1" t="s">
        <v>38</v>
      </c>
      <c r="C2973" s="2">
        <v>45954</v>
      </c>
      <c r="D2973" s="2" t="str">
        <f>CHOOSE(MONTH(branches[[#This Row],[Дата]]),"Январь","Февраль","Март","Апрель","Май","Июнь","Июль","Август","Сентябрь","Октябрь","Ноябрь","Декабрь")&amp;" "&amp;YEAR(branches[[#This Row],[Дата]])</f>
        <v>Октябрь 2025</v>
      </c>
      <c r="E2973" t="s">
        <v>18</v>
      </c>
      <c r="F2973" t="s">
        <v>12</v>
      </c>
      <c r="G2973">
        <v>2</v>
      </c>
      <c r="H2973">
        <v>240</v>
      </c>
      <c r="I2973" t="s">
        <v>13</v>
      </c>
      <c r="J2973" t="str">
        <f>_xlfn.XLOOKUP(branches[[#This Row],[Филиал]], tbl_Filialy[Филиал], tbl_Filialy[Менеджер])</f>
        <v>Дмитрий Волков</v>
      </c>
    </row>
    <row r="2974" spans="1:10" x14ac:dyDescent="0.3">
      <c r="A2974" t="str">
        <f>_xlfn.XLOOKUP(branches[[#This Row],[Филиал]], tbl_Filialy[Филиал], tbl_Filialy[Город])</f>
        <v>Санкт-Петербург</v>
      </c>
      <c r="B2974" s="1" t="s">
        <v>38</v>
      </c>
      <c r="C2974" s="2">
        <v>45975</v>
      </c>
      <c r="D2974" s="2" t="str">
        <f>CHOOSE(MONTH(branches[[#This Row],[Дата]]),"Январь","Февраль","Март","Апрель","Май","Июнь","Июль","Август","Сентябрь","Октябрь","Ноябрь","Декабрь")&amp;" "&amp;YEAR(branches[[#This Row],[Дата]])</f>
        <v>Ноябрь 2025</v>
      </c>
      <c r="E2974" t="s">
        <v>26</v>
      </c>
      <c r="F2974" t="s">
        <v>9</v>
      </c>
      <c r="G2974">
        <v>2</v>
      </c>
      <c r="H2974">
        <v>426</v>
      </c>
      <c r="I2974" t="s">
        <v>21</v>
      </c>
      <c r="J2974" t="str">
        <f>_xlfn.XLOOKUP(branches[[#This Row],[Филиал]], tbl_Filialy[Филиал], tbl_Filialy[Менеджер])</f>
        <v>Дмитрий Волков</v>
      </c>
    </row>
    <row r="2975" spans="1:10" x14ac:dyDescent="0.3">
      <c r="A2975" t="str">
        <f>_xlfn.XLOOKUP(branches[[#This Row],[Филиал]], tbl_Filialy[Филиал], tbl_Filialy[Город])</f>
        <v>Санкт-Петербург</v>
      </c>
      <c r="B2975" s="1" t="s">
        <v>38</v>
      </c>
      <c r="C2975" s="2">
        <v>45668</v>
      </c>
      <c r="D2975" s="2" t="str">
        <f>CHOOSE(MONTH(branches[[#This Row],[Дата]]),"Январь","Февраль","Март","Апрель","Май","Июнь","Июль","Август","Сентябрь","Октябрь","Ноябрь","Декабрь")&amp;" "&amp;YEAR(branches[[#This Row],[Дата]])</f>
        <v>Январь 2025</v>
      </c>
      <c r="E2975" t="s">
        <v>27</v>
      </c>
      <c r="F2975" t="s">
        <v>12</v>
      </c>
      <c r="G2975">
        <v>1</v>
      </c>
      <c r="H2975">
        <v>239</v>
      </c>
      <c r="I2975" t="s">
        <v>21</v>
      </c>
      <c r="J2975" t="str">
        <f>_xlfn.XLOOKUP(branches[[#This Row],[Филиал]], tbl_Filialy[Филиал], tbl_Filialy[Менеджер])</f>
        <v>Дмитрий Волков</v>
      </c>
    </row>
    <row r="2976" spans="1:10" x14ac:dyDescent="0.3">
      <c r="A2976" t="str">
        <f>_xlfn.XLOOKUP(branches[[#This Row],[Филиал]], tbl_Filialy[Филиал], tbl_Filialy[Город])</f>
        <v>Санкт-Петербург</v>
      </c>
      <c r="B2976" s="1" t="s">
        <v>38</v>
      </c>
      <c r="C2976" s="2">
        <v>45882</v>
      </c>
      <c r="D2976" s="2" t="str">
        <f>CHOOSE(MONTH(branches[[#This Row],[Дата]]),"Январь","Февраль","Март","Апрель","Май","Июнь","Июль","Август","Сентябрь","Октябрь","Ноябрь","Декабрь")&amp;" "&amp;YEAR(branches[[#This Row],[Дата]])</f>
        <v>Август 2025</v>
      </c>
      <c r="E2976" t="s">
        <v>16</v>
      </c>
      <c r="F2976" t="s">
        <v>17</v>
      </c>
      <c r="G2976">
        <v>1</v>
      </c>
      <c r="H2976">
        <v>326</v>
      </c>
      <c r="I2976" t="s">
        <v>21</v>
      </c>
      <c r="J2976" t="str">
        <f>_xlfn.XLOOKUP(branches[[#This Row],[Филиал]], tbl_Filialy[Филиал], tbl_Filialy[Менеджер])</f>
        <v>Дмитрий Волков</v>
      </c>
    </row>
    <row r="2977" spans="1:10" x14ac:dyDescent="0.3">
      <c r="A2977" t="str">
        <f>_xlfn.XLOOKUP(branches[[#This Row],[Филиал]], tbl_Filialy[Филиал], tbl_Filialy[Город])</f>
        <v>Санкт-Петербург</v>
      </c>
      <c r="B2977" s="1" t="s">
        <v>38</v>
      </c>
      <c r="C2977" s="2">
        <v>45711</v>
      </c>
      <c r="D2977" s="2" t="str">
        <f>CHOOSE(MONTH(branches[[#This Row],[Дата]]),"Январь","Февраль","Март","Апрель","Май","Июнь","Июль","Август","Сентябрь","Октябрь","Ноябрь","Декабрь")&amp;" "&amp;YEAR(branches[[#This Row],[Дата]])</f>
        <v>Февраль 2025</v>
      </c>
      <c r="E2977" t="s">
        <v>18</v>
      </c>
      <c r="F2977" t="s">
        <v>12</v>
      </c>
      <c r="G2977">
        <v>1</v>
      </c>
      <c r="H2977">
        <v>141</v>
      </c>
      <c r="I2977" t="s">
        <v>21</v>
      </c>
      <c r="J2977" t="str">
        <f>_xlfn.XLOOKUP(branches[[#This Row],[Филиал]], tbl_Filialy[Филиал], tbl_Filialy[Менеджер])</f>
        <v>Дмитрий Волков</v>
      </c>
    </row>
    <row r="2978" spans="1:10" x14ac:dyDescent="0.3">
      <c r="A2978" t="str">
        <f>_xlfn.XLOOKUP(branches[[#This Row],[Филиал]], tbl_Filialy[Филиал], tbl_Filialy[Город])</f>
        <v>Санкт-Петербург</v>
      </c>
      <c r="B2978" s="1" t="s">
        <v>38</v>
      </c>
      <c r="C2978" s="2">
        <v>45913</v>
      </c>
      <c r="D2978" s="2" t="str">
        <f>CHOOSE(MONTH(branches[[#This Row],[Дата]]),"Январь","Февраль","Март","Апрель","Май","Июнь","Июль","Август","Сентябрь","Октябрь","Ноябрь","Декабрь")&amp;" "&amp;YEAR(branches[[#This Row],[Дата]])</f>
        <v>Сентябрь 2025</v>
      </c>
      <c r="E2978" t="s">
        <v>28</v>
      </c>
      <c r="F2978" t="s">
        <v>12</v>
      </c>
      <c r="G2978">
        <v>1</v>
      </c>
      <c r="H2978">
        <v>232</v>
      </c>
      <c r="I2978" t="s">
        <v>10</v>
      </c>
      <c r="J2978" t="str">
        <f>_xlfn.XLOOKUP(branches[[#This Row],[Филиал]], tbl_Filialy[Филиал], tbl_Filialy[Менеджер])</f>
        <v>Дмитрий Волков</v>
      </c>
    </row>
    <row r="2979" spans="1:10" x14ac:dyDescent="0.3">
      <c r="A2979" t="str">
        <f>_xlfn.XLOOKUP(branches[[#This Row],[Филиал]], tbl_Filialy[Филиал], tbl_Filialy[Город])</f>
        <v>Санкт-Петербург</v>
      </c>
      <c r="B2979" s="1" t="s">
        <v>38</v>
      </c>
      <c r="C2979" s="2">
        <v>45731</v>
      </c>
      <c r="D2979" s="2" t="str">
        <f>CHOOSE(MONTH(branches[[#This Row],[Дата]]),"Январь","Февраль","Март","Апрель","Май","Июнь","Июль","Август","Сентябрь","Октябрь","Ноябрь","Декабрь")&amp;" "&amp;YEAR(branches[[#This Row],[Дата]])</f>
        <v>Март 2025</v>
      </c>
      <c r="E2979" t="s">
        <v>16</v>
      </c>
      <c r="F2979" t="s">
        <v>17</v>
      </c>
      <c r="G2979">
        <v>1</v>
      </c>
      <c r="H2979">
        <v>300</v>
      </c>
      <c r="I2979" t="s">
        <v>23</v>
      </c>
      <c r="J2979" t="str">
        <f>_xlfn.XLOOKUP(branches[[#This Row],[Филиал]], tbl_Filialy[Филиал], tbl_Filialy[Менеджер])</f>
        <v>Дмитрий Волков</v>
      </c>
    </row>
    <row r="2980" spans="1:10" x14ac:dyDescent="0.3">
      <c r="A2980" t="str">
        <f>_xlfn.XLOOKUP(branches[[#This Row],[Филиал]], tbl_Filialy[Филиал], tbl_Filialy[Город])</f>
        <v>Санкт-Петербург</v>
      </c>
      <c r="B2980" s="1" t="s">
        <v>38</v>
      </c>
      <c r="C2980" s="2">
        <v>45904</v>
      </c>
      <c r="D2980" s="2" t="str">
        <f>CHOOSE(MONTH(branches[[#This Row],[Дата]]),"Январь","Февраль","Март","Апрель","Май","Июнь","Июль","Август","Сентябрь","Октябрь","Ноябрь","Декабрь")&amp;" "&amp;YEAR(branches[[#This Row],[Дата]])</f>
        <v>Сентябрь 2025</v>
      </c>
      <c r="E2980" t="s">
        <v>27</v>
      </c>
      <c r="F2980" t="s">
        <v>12</v>
      </c>
      <c r="G2980">
        <v>2</v>
      </c>
      <c r="H2980">
        <v>426</v>
      </c>
      <c r="I2980" t="s">
        <v>19</v>
      </c>
      <c r="J2980" t="str">
        <f>_xlfn.XLOOKUP(branches[[#This Row],[Филиал]], tbl_Filialy[Филиал], tbl_Filialy[Менеджер])</f>
        <v>Дмитрий Волков</v>
      </c>
    </row>
    <row r="2981" spans="1:10" x14ac:dyDescent="0.3">
      <c r="A2981" t="str">
        <f>_xlfn.XLOOKUP(branches[[#This Row],[Филиал]], tbl_Filialy[Филиал], tbl_Filialy[Город])</f>
        <v>Санкт-Петербург</v>
      </c>
      <c r="B2981" s="1" t="s">
        <v>38</v>
      </c>
      <c r="C2981" s="2">
        <v>45736</v>
      </c>
      <c r="D2981" s="2" t="str">
        <f>CHOOSE(MONTH(branches[[#This Row],[Дата]]),"Январь","Февраль","Март","Апрель","Май","Июнь","Июль","Август","Сентябрь","Октябрь","Ноябрь","Декабрь")&amp;" "&amp;YEAR(branches[[#This Row],[Дата]])</f>
        <v>Март 2025</v>
      </c>
      <c r="E2981" t="s">
        <v>14</v>
      </c>
      <c r="F2981" t="s">
        <v>12</v>
      </c>
      <c r="G2981">
        <v>3</v>
      </c>
      <c r="H2981">
        <v>768</v>
      </c>
      <c r="I2981" t="s">
        <v>13</v>
      </c>
      <c r="J2981" t="str">
        <f>_xlfn.XLOOKUP(branches[[#This Row],[Филиал]], tbl_Filialy[Филиал], tbl_Filialy[Менеджер])</f>
        <v>Дмитрий Волков</v>
      </c>
    </row>
    <row r="2982" spans="1:10" x14ac:dyDescent="0.3">
      <c r="A2982" t="str">
        <f>_xlfn.XLOOKUP(branches[[#This Row],[Филиал]], tbl_Filialy[Филиал], tbl_Filialy[Город])</f>
        <v>Санкт-Петербург</v>
      </c>
      <c r="B2982" s="1" t="s">
        <v>38</v>
      </c>
      <c r="C2982" s="2">
        <v>45758</v>
      </c>
      <c r="D2982" s="2" t="str">
        <f>CHOOSE(MONTH(branches[[#This Row],[Дата]]),"Январь","Февраль","Март","Апрель","Май","Июнь","Июль","Август","Сентябрь","Октябрь","Ноябрь","Декабрь")&amp;" "&amp;YEAR(branches[[#This Row],[Дата]])</f>
        <v>Апрель 2025</v>
      </c>
      <c r="E2982" t="s">
        <v>20</v>
      </c>
      <c r="F2982" t="s">
        <v>12</v>
      </c>
      <c r="G2982">
        <v>3</v>
      </c>
      <c r="H2982">
        <v>801</v>
      </c>
      <c r="I2982" t="s">
        <v>13</v>
      </c>
      <c r="J2982" t="str">
        <f>_xlfn.XLOOKUP(branches[[#This Row],[Филиал]], tbl_Filialy[Филиал], tbl_Filialy[Менеджер])</f>
        <v>Дмитрий Волков</v>
      </c>
    </row>
    <row r="2983" spans="1:10" x14ac:dyDescent="0.3">
      <c r="A2983" t="str">
        <f>_xlfn.XLOOKUP(branches[[#This Row],[Филиал]], tbl_Filialy[Филиал], tbl_Filialy[Город])</f>
        <v>Санкт-Петербург</v>
      </c>
      <c r="B2983" s="1" t="s">
        <v>38</v>
      </c>
      <c r="C2983" s="2">
        <v>45790</v>
      </c>
      <c r="D2983" s="2" t="str">
        <f>CHOOSE(MONTH(branches[[#This Row],[Дата]]),"Январь","Февраль","Март","Апрель","Май","Июнь","Июль","Август","Сентябрь","Октябрь","Ноябрь","Декабрь")&amp;" "&amp;YEAR(branches[[#This Row],[Дата]])</f>
        <v>Май 2025</v>
      </c>
      <c r="E2983" t="s">
        <v>8</v>
      </c>
      <c r="F2983" t="s">
        <v>9</v>
      </c>
      <c r="G2983">
        <v>3</v>
      </c>
      <c r="H2983">
        <v>732</v>
      </c>
      <c r="I2983" t="s">
        <v>21</v>
      </c>
      <c r="J2983" t="str">
        <f>_xlfn.XLOOKUP(branches[[#This Row],[Филиал]], tbl_Filialy[Филиал], tbl_Filialy[Менеджер])</f>
        <v>Дмитрий Волков</v>
      </c>
    </row>
    <row r="2984" spans="1:10" x14ac:dyDescent="0.3">
      <c r="A2984" t="str">
        <f>_xlfn.XLOOKUP(branches[[#This Row],[Филиал]], tbl_Filialy[Филиал], tbl_Filialy[Город])</f>
        <v>Санкт-Петербург</v>
      </c>
      <c r="B2984" s="1" t="s">
        <v>38</v>
      </c>
      <c r="C2984" s="2">
        <v>45874</v>
      </c>
      <c r="D2984" s="2" t="str">
        <f>CHOOSE(MONTH(branches[[#This Row],[Дата]]),"Январь","Февраль","Март","Апрель","Май","Июнь","Июль","Август","Сентябрь","Октябрь","Ноябрь","Декабрь")&amp;" "&amp;YEAR(branches[[#This Row],[Дата]])</f>
        <v>Август 2025</v>
      </c>
      <c r="E2984" t="s">
        <v>16</v>
      </c>
      <c r="F2984" t="s">
        <v>17</v>
      </c>
      <c r="G2984">
        <v>1</v>
      </c>
      <c r="H2984">
        <v>354</v>
      </c>
      <c r="I2984" t="s">
        <v>19</v>
      </c>
      <c r="J2984" t="str">
        <f>_xlfn.XLOOKUP(branches[[#This Row],[Филиал]], tbl_Filialy[Филиал], tbl_Filialy[Менеджер])</f>
        <v>Дмитрий Волков</v>
      </c>
    </row>
    <row r="2985" spans="1:10" x14ac:dyDescent="0.3">
      <c r="A2985" t="str">
        <f>_xlfn.XLOOKUP(branches[[#This Row],[Филиал]], tbl_Filialy[Филиал], tbl_Filialy[Город])</f>
        <v>Санкт-Петербург</v>
      </c>
      <c r="B2985" s="1" t="s">
        <v>38</v>
      </c>
      <c r="C2985" s="2">
        <v>45993</v>
      </c>
      <c r="D2985" s="2" t="str">
        <f>CHOOSE(MONTH(branches[[#This Row],[Дата]]),"Январь","Февраль","Март","Апрель","Май","Июнь","Июль","Август","Сентябрь","Октябрь","Ноябрь","Декабрь")&amp;" "&amp;YEAR(branches[[#This Row],[Дата]])</f>
        <v>Декабрь 2025</v>
      </c>
      <c r="E2985" t="s">
        <v>25</v>
      </c>
      <c r="F2985" t="s">
        <v>12</v>
      </c>
      <c r="G2985">
        <v>1</v>
      </c>
      <c r="H2985">
        <v>241</v>
      </c>
      <c r="I2985" t="s">
        <v>10</v>
      </c>
      <c r="J2985" t="str">
        <f>_xlfn.XLOOKUP(branches[[#This Row],[Филиал]], tbl_Filialy[Филиал], tbl_Filialy[Менеджер])</f>
        <v>Дмитрий Волков</v>
      </c>
    </row>
    <row r="2986" spans="1:10" x14ac:dyDescent="0.3">
      <c r="A2986" t="str">
        <f>_xlfn.XLOOKUP(branches[[#This Row],[Филиал]], tbl_Filialy[Филиал], tbl_Filialy[Город])</f>
        <v>Санкт-Петербург</v>
      </c>
      <c r="B2986" s="1" t="s">
        <v>38</v>
      </c>
      <c r="C2986" s="2">
        <v>45804</v>
      </c>
      <c r="D2986" s="2" t="str">
        <f>CHOOSE(MONTH(branches[[#This Row],[Дата]]),"Январь","Февраль","Март","Апрель","Май","Июнь","Июль","Август","Сентябрь","Октябрь","Ноябрь","Декабрь")&amp;" "&amp;YEAR(branches[[#This Row],[Дата]])</f>
        <v>Май 2025</v>
      </c>
      <c r="E2986" t="s">
        <v>24</v>
      </c>
      <c r="F2986" t="s">
        <v>17</v>
      </c>
      <c r="G2986">
        <v>1</v>
      </c>
      <c r="H2986">
        <v>388</v>
      </c>
      <c r="I2986" t="s">
        <v>23</v>
      </c>
      <c r="J2986" t="str">
        <f>_xlfn.XLOOKUP(branches[[#This Row],[Филиал]], tbl_Filialy[Филиал], tbl_Filialy[Менеджер])</f>
        <v>Дмитрий Волков</v>
      </c>
    </row>
    <row r="2987" spans="1:10" x14ac:dyDescent="0.3">
      <c r="A2987" t="str">
        <f>_xlfn.XLOOKUP(branches[[#This Row],[Филиал]], tbl_Filialy[Филиал], tbl_Filialy[Город])</f>
        <v>Санкт-Петербург</v>
      </c>
      <c r="B2987" s="1" t="s">
        <v>38</v>
      </c>
      <c r="C2987" s="2">
        <v>45666</v>
      </c>
      <c r="D2987" s="2" t="str">
        <f>CHOOSE(MONTH(branches[[#This Row],[Дата]]),"Январь","Февраль","Март","Апрель","Май","Июнь","Июль","Август","Сентябрь","Октябрь","Ноябрь","Декабрь")&amp;" "&amp;YEAR(branches[[#This Row],[Дата]])</f>
        <v>Январь 2025</v>
      </c>
      <c r="E2987" t="s">
        <v>11</v>
      </c>
      <c r="F2987" t="s">
        <v>12</v>
      </c>
      <c r="G2987">
        <v>1</v>
      </c>
      <c r="H2987">
        <v>163</v>
      </c>
      <c r="I2987" t="s">
        <v>10</v>
      </c>
      <c r="J2987" t="str">
        <f>_xlfn.XLOOKUP(branches[[#This Row],[Филиал]], tbl_Filialy[Филиал], tbl_Filialy[Менеджер])</f>
        <v>Дмитрий Волков</v>
      </c>
    </row>
    <row r="2988" spans="1:10" x14ac:dyDescent="0.3">
      <c r="A2988" t="str">
        <f>_xlfn.XLOOKUP(branches[[#This Row],[Филиал]], tbl_Filialy[Филиал], tbl_Filialy[Город])</f>
        <v>Санкт-Петербург</v>
      </c>
      <c r="B2988" s="1" t="s">
        <v>38</v>
      </c>
      <c r="C2988" s="2">
        <v>45670</v>
      </c>
      <c r="D2988" s="2" t="str">
        <f>CHOOSE(MONTH(branches[[#This Row],[Дата]]),"Январь","Февраль","Март","Апрель","Май","Июнь","Июль","Август","Сентябрь","Октябрь","Ноябрь","Декабрь")&amp;" "&amp;YEAR(branches[[#This Row],[Дата]])</f>
        <v>Январь 2025</v>
      </c>
      <c r="E2988" t="s">
        <v>27</v>
      </c>
      <c r="F2988" t="s">
        <v>12</v>
      </c>
      <c r="G2988">
        <v>2</v>
      </c>
      <c r="H2988">
        <v>406</v>
      </c>
      <c r="I2988" t="s">
        <v>21</v>
      </c>
      <c r="J2988" t="str">
        <f>_xlfn.XLOOKUP(branches[[#This Row],[Филиал]], tbl_Filialy[Филиал], tbl_Filialy[Менеджер])</f>
        <v>Дмитрий Волков</v>
      </c>
    </row>
    <row r="2989" spans="1:10" x14ac:dyDescent="0.3">
      <c r="A2989" t="str">
        <f>_xlfn.XLOOKUP(branches[[#This Row],[Филиал]], tbl_Filialy[Филиал], tbl_Filialy[Город])</f>
        <v>Санкт-Петербург</v>
      </c>
      <c r="B2989" s="1" t="s">
        <v>38</v>
      </c>
      <c r="C2989" s="2">
        <v>45742</v>
      </c>
      <c r="D2989" s="2" t="str">
        <f>CHOOSE(MONTH(branches[[#This Row],[Дата]]),"Январь","Февраль","Март","Апрель","Май","Июнь","Июль","Август","Сентябрь","Октябрь","Ноябрь","Декабрь")&amp;" "&amp;YEAR(branches[[#This Row],[Дата]])</f>
        <v>Март 2025</v>
      </c>
      <c r="E2989" t="s">
        <v>26</v>
      </c>
      <c r="F2989" t="s">
        <v>9</v>
      </c>
      <c r="G2989">
        <v>2</v>
      </c>
      <c r="H2989">
        <v>436</v>
      </c>
      <c r="I2989" t="s">
        <v>15</v>
      </c>
      <c r="J2989" t="str">
        <f>_xlfn.XLOOKUP(branches[[#This Row],[Филиал]], tbl_Filialy[Филиал], tbl_Filialy[Менеджер])</f>
        <v>Дмитрий Волков</v>
      </c>
    </row>
    <row r="2990" spans="1:10" x14ac:dyDescent="0.3">
      <c r="A2990" t="str">
        <f>_xlfn.XLOOKUP(branches[[#This Row],[Филиал]], tbl_Filialy[Филиал], tbl_Filialy[Город])</f>
        <v>Санкт-Петербург</v>
      </c>
      <c r="B2990" s="1" t="s">
        <v>38</v>
      </c>
      <c r="C2990" s="2">
        <v>45971</v>
      </c>
      <c r="D2990" s="2" t="str">
        <f>CHOOSE(MONTH(branches[[#This Row],[Дата]]),"Январь","Февраль","Март","Апрель","Май","Июнь","Июль","Август","Сентябрь","Октябрь","Ноябрь","Декабрь")&amp;" "&amp;YEAR(branches[[#This Row],[Дата]])</f>
        <v>Ноябрь 2025</v>
      </c>
      <c r="E2990" t="s">
        <v>24</v>
      </c>
      <c r="F2990" t="s">
        <v>17</v>
      </c>
      <c r="G2990">
        <v>2</v>
      </c>
      <c r="H2990">
        <v>792</v>
      </c>
      <c r="I2990" t="s">
        <v>23</v>
      </c>
      <c r="J2990" t="str">
        <f>_xlfn.XLOOKUP(branches[[#This Row],[Филиал]], tbl_Filialy[Филиал], tbl_Filialy[Менеджер])</f>
        <v>Дмитрий Волков</v>
      </c>
    </row>
    <row r="2991" spans="1:10" x14ac:dyDescent="0.3">
      <c r="A2991" t="str">
        <f>_xlfn.XLOOKUP(branches[[#This Row],[Филиал]], tbl_Filialy[Филиал], tbl_Filialy[Город])</f>
        <v>Санкт-Петербург</v>
      </c>
      <c r="B2991" s="1" t="s">
        <v>38</v>
      </c>
      <c r="C2991" s="2">
        <v>45680</v>
      </c>
      <c r="D2991" s="2" t="str">
        <f>CHOOSE(MONTH(branches[[#This Row],[Дата]]),"Январь","Февраль","Март","Апрель","Май","Июнь","Июль","Август","Сентябрь","Октябрь","Ноябрь","Декабрь")&amp;" "&amp;YEAR(branches[[#This Row],[Дата]])</f>
        <v>Январь 2025</v>
      </c>
      <c r="E2991" t="s">
        <v>8</v>
      </c>
      <c r="F2991" t="s">
        <v>9</v>
      </c>
      <c r="G2991">
        <v>1</v>
      </c>
      <c r="H2991">
        <v>236</v>
      </c>
      <c r="I2991" t="s">
        <v>19</v>
      </c>
      <c r="J2991" t="str">
        <f>_xlfn.XLOOKUP(branches[[#This Row],[Филиал]], tbl_Filialy[Филиал], tbl_Filialy[Менеджер])</f>
        <v>Дмитрий Волков</v>
      </c>
    </row>
    <row r="2992" spans="1:10" x14ac:dyDescent="0.3">
      <c r="A2992" t="str">
        <f>_xlfn.XLOOKUP(branches[[#This Row],[Филиал]], tbl_Filialy[Филиал], tbl_Filialy[Город])</f>
        <v>Санкт-Петербург</v>
      </c>
      <c r="B2992" s="1" t="s">
        <v>38</v>
      </c>
      <c r="C2992" s="2">
        <v>45841</v>
      </c>
      <c r="D2992" s="2" t="str">
        <f>CHOOSE(MONTH(branches[[#This Row],[Дата]]),"Январь","Февраль","Март","Апрель","Май","Июнь","Июль","Август","Сентябрь","Октябрь","Ноябрь","Декабрь")&amp;" "&amp;YEAR(branches[[#This Row],[Дата]])</f>
        <v>Июль 2025</v>
      </c>
      <c r="E2992" t="s">
        <v>8</v>
      </c>
      <c r="F2992" t="s">
        <v>9</v>
      </c>
      <c r="G2992">
        <v>2</v>
      </c>
      <c r="H2992">
        <v>490</v>
      </c>
      <c r="I2992" t="s">
        <v>10</v>
      </c>
      <c r="J2992" t="str">
        <f>_xlfn.XLOOKUP(branches[[#This Row],[Филиал]], tbl_Filialy[Филиал], tbl_Filialy[Менеджер])</f>
        <v>Дмитрий Волков</v>
      </c>
    </row>
    <row r="2993" spans="1:10" x14ac:dyDescent="0.3">
      <c r="A2993" t="str">
        <f>_xlfn.XLOOKUP(branches[[#This Row],[Филиал]], tbl_Filialy[Филиал], tbl_Filialy[Город])</f>
        <v>Санкт-Петербург</v>
      </c>
      <c r="B2993" s="1" t="s">
        <v>38</v>
      </c>
      <c r="C2993" s="2">
        <v>45809</v>
      </c>
      <c r="D2993" s="2" t="str">
        <f>CHOOSE(MONTH(branches[[#This Row],[Дата]]),"Январь","Февраль","Март","Апрель","Май","Июнь","Июль","Август","Сентябрь","Октябрь","Ноябрь","Декабрь")&amp;" "&amp;YEAR(branches[[#This Row],[Дата]])</f>
        <v>Июнь 2025</v>
      </c>
      <c r="E2993" t="s">
        <v>28</v>
      </c>
      <c r="F2993" t="s">
        <v>12</v>
      </c>
      <c r="G2993">
        <v>3</v>
      </c>
      <c r="H2993">
        <v>642</v>
      </c>
      <c r="I2993" t="s">
        <v>10</v>
      </c>
      <c r="J2993" t="str">
        <f>_xlfn.XLOOKUP(branches[[#This Row],[Филиал]], tbl_Filialy[Филиал], tbl_Filialy[Менеджер])</f>
        <v>Дмитрий Волков</v>
      </c>
    </row>
    <row r="2994" spans="1:10" x14ac:dyDescent="0.3">
      <c r="A2994" t="str">
        <f>_xlfn.XLOOKUP(branches[[#This Row],[Филиал]], tbl_Filialy[Филиал], tbl_Filialy[Город])</f>
        <v>Санкт-Петербург</v>
      </c>
      <c r="B2994" s="1" t="s">
        <v>38</v>
      </c>
      <c r="C2994" s="2">
        <v>46000</v>
      </c>
      <c r="D2994" s="2" t="str">
        <f>CHOOSE(MONTH(branches[[#This Row],[Дата]]),"Январь","Февраль","Март","Апрель","Май","Июнь","Июль","Август","Сентябрь","Октябрь","Ноябрь","Декабрь")&amp;" "&amp;YEAR(branches[[#This Row],[Дата]])</f>
        <v>Декабрь 2025</v>
      </c>
      <c r="E2994" t="s">
        <v>20</v>
      </c>
      <c r="F2994" t="s">
        <v>12</v>
      </c>
      <c r="G2994">
        <v>3</v>
      </c>
      <c r="H2994">
        <v>786</v>
      </c>
      <c r="I2994" t="s">
        <v>23</v>
      </c>
      <c r="J2994" t="str">
        <f>_xlfn.XLOOKUP(branches[[#This Row],[Филиал]], tbl_Filialy[Филиал], tbl_Filialy[Менеджер])</f>
        <v>Дмитрий Волков</v>
      </c>
    </row>
    <row r="2995" spans="1:10" x14ac:dyDescent="0.3">
      <c r="A2995" t="str">
        <f>_xlfn.XLOOKUP(branches[[#This Row],[Филиал]], tbl_Filialy[Филиал], tbl_Filialy[Город])</f>
        <v>Санкт-Петербург</v>
      </c>
      <c r="B2995" s="1" t="s">
        <v>38</v>
      </c>
      <c r="C2995" s="2">
        <v>45969</v>
      </c>
      <c r="D2995" s="2" t="str">
        <f>CHOOSE(MONTH(branches[[#This Row],[Дата]]),"Январь","Февраль","Март","Апрель","Май","Июнь","Июль","Август","Сентябрь","Октябрь","Ноябрь","Декабрь")&amp;" "&amp;YEAR(branches[[#This Row],[Дата]])</f>
        <v>Ноябрь 2025</v>
      </c>
      <c r="E2995" t="s">
        <v>24</v>
      </c>
      <c r="F2995" t="s">
        <v>17</v>
      </c>
      <c r="G2995">
        <v>2</v>
      </c>
      <c r="H2995">
        <v>672</v>
      </c>
      <c r="I2995" t="s">
        <v>23</v>
      </c>
      <c r="J2995" t="str">
        <f>_xlfn.XLOOKUP(branches[[#This Row],[Филиал]], tbl_Filialy[Филиал], tbl_Filialy[Менеджер])</f>
        <v>Дмитрий Волков</v>
      </c>
    </row>
    <row r="2996" spans="1:10" x14ac:dyDescent="0.3">
      <c r="A2996" t="str">
        <f>_xlfn.XLOOKUP(branches[[#This Row],[Филиал]], tbl_Filialy[Филиал], tbl_Filialy[Город])</f>
        <v>Санкт-Петербург</v>
      </c>
      <c r="B2996" s="1" t="s">
        <v>38</v>
      </c>
      <c r="C2996" s="2">
        <v>45754</v>
      </c>
      <c r="D2996" s="2" t="str">
        <f>CHOOSE(MONTH(branches[[#This Row],[Дата]]),"Январь","Февраль","Март","Апрель","Май","Июнь","Июль","Август","Сентябрь","Октябрь","Ноябрь","Декабрь")&amp;" "&amp;YEAR(branches[[#This Row],[Дата]])</f>
        <v>Апрель 2025</v>
      </c>
      <c r="E2996" t="s">
        <v>11</v>
      </c>
      <c r="F2996" t="s">
        <v>12</v>
      </c>
      <c r="G2996">
        <v>2</v>
      </c>
      <c r="H2996">
        <v>388</v>
      </c>
      <c r="I2996" t="s">
        <v>21</v>
      </c>
      <c r="J2996" t="str">
        <f>_xlfn.XLOOKUP(branches[[#This Row],[Филиал]], tbl_Filialy[Филиал], tbl_Filialy[Менеджер])</f>
        <v>Дмитрий Волков</v>
      </c>
    </row>
    <row r="2997" spans="1:10" x14ac:dyDescent="0.3">
      <c r="A2997" t="str">
        <f>_xlfn.XLOOKUP(branches[[#This Row],[Филиал]], tbl_Filialy[Филиал], tbl_Filialy[Город])</f>
        <v>Санкт-Петербург</v>
      </c>
      <c r="B2997" s="1" t="s">
        <v>38</v>
      </c>
      <c r="C2997" s="2">
        <v>45803</v>
      </c>
      <c r="D2997" s="2" t="str">
        <f>CHOOSE(MONTH(branches[[#This Row],[Дата]]),"Январь","Февраль","Март","Апрель","Май","Июнь","Июль","Август","Сентябрь","Октябрь","Ноябрь","Декабрь")&amp;" "&amp;YEAR(branches[[#This Row],[Дата]])</f>
        <v>Май 2025</v>
      </c>
      <c r="E2997" t="s">
        <v>25</v>
      </c>
      <c r="F2997" t="s">
        <v>12</v>
      </c>
      <c r="G2997">
        <v>2</v>
      </c>
      <c r="H2997">
        <v>450</v>
      </c>
      <c r="I2997" t="s">
        <v>19</v>
      </c>
      <c r="J2997" t="str">
        <f>_xlfn.XLOOKUP(branches[[#This Row],[Филиал]], tbl_Filialy[Филиал], tbl_Filialy[Менеджер])</f>
        <v>Дмитрий Волков</v>
      </c>
    </row>
    <row r="2998" spans="1:10" x14ac:dyDescent="0.3">
      <c r="A2998" t="str">
        <f>_xlfn.XLOOKUP(branches[[#This Row],[Филиал]], tbl_Filialy[Филиал], tbl_Filialy[Город])</f>
        <v>Санкт-Петербург</v>
      </c>
      <c r="B2998" s="1" t="s">
        <v>38</v>
      </c>
      <c r="C2998" s="2">
        <v>45707</v>
      </c>
      <c r="D2998" s="2" t="str">
        <f>CHOOSE(MONTH(branches[[#This Row],[Дата]]),"Январь","Февраль","Март","Апрель","Май","Июнь","Июль","Август","Сентябрь","Октябрь","Ноябрь","Декабрь")&amp;" "&amp;YEAR(branches[[#This Row],[Дата]])</f>
        <v>Февраль 2025</v>
      </c>
      <c r="E2998" t="s">
        <v>24</v>
      </c>
      <c r="F2998" t="s">
        <v>17</v>
      </c>
      <c r="G2998">
        <v>3</v>
      </c>
      <c r="H2998">
        <v>1155</v>
      </c>
      <c r="I2998" t="s">
        <v>23</v>
      </c>
      <c r="J2998" t="str">
        <f>_xlfn.XLOOKUP(branches[[#This Row],[Филиал]], tbl_Filialy[Филиал], tbl_Filialy[Менеджер])</f>
        <v>Дмитрий Волков</v>
      </c>
    </row>
    <row r="2999" spans="1:10" x14ac:dyDescent="0.3">
      <c r="A2999" t="str">
        <f>_xlfn.XLOOKUP(branches[[#This Row],[Филиал]], tbl_Filialy[Филиал], tbl_Filialy[Город])</f>
        <v>Санкт-Петербург</v>
      </c>
      <c r="B2999" s="1" t="s">
        <v>38</v>
      </c>
      <c r="C2999" s="2">
        <v>45831</v>
      </c>
      <c r="D2999" s="2" t="str">
        <f>CHOOSE(MONTH(branches[[#This Row],[Дата]]),"Январь","Февраль","Март","Апрель","Май","Июнь","Июль","Август","Сентябрь","Октябрь","Ноябрь","Декабрь")&amp;" "&amp;YEAR(branches[[#This Row],[Дата]])</f>
        <v>Июнь 2025</v>
      </c>
      <c r="E2999" t="s">
        <v>22</v>
      </c>
      <c r="F2999" t="s">
        <v>9</v>
      </c>
      <c r="G2999">
        <v>3</v>
      </c>
      <c r="H2999">
        <v>549</v>
      </c>
      <c r="I2999" t="s">
        <v>15</v>
      </c>
      <c r="J2999" t="str">
        <f>_xlfn.XLOOKUP(branches[[#This Row],[Филиал]], tbl_Filialy[Филиал], tbl_Filialy[Менеджер])</f>
        <v>Дмитрий Волков</v>
      </c>
    </row>
    <row r="3000" spans="1:10" x14ac:dyDescent="0.3">
      <c r="A3000" t="str">
        <f>_xlfn.XLOOKUP(branches[[#This Row],[Филиал]], tbl_Filialy[Филиал], tbl_Filialy[Город])</f>
        <v>Санкт-Петербург</v>
      </c>
      <c r="B3000" s="1" t="s">
        <v>38</v>
      </c>
      <c r="C3000" s="2">
        <v>45720</v>
      </c>
      <c r="D3000" s="2" t="str">
        <f>CHOOSE(MONTH(branches[[#This Row],[Дата]]),"Январь","Февраль","Март","Апрель","Май","Июнь","Июль","Август","Сентябрь","Октябрь","Ноябрь","Декабрь")&amp;" "&amp;YEAR(branches[[#This Row],[Дата]])</f>
        <v>Март 2025</v>
      </c>
      <c r="E3000" t="s">
        <v>8</v>
      </c>
      <c r="F3000" t="s">
        <v>9</v>
      </c>
      <c r="G3000">
        <v>2</v>
      </c>
      <c r="H3000">
        <v>520</v>
      </c>
      <c r="I3000" t="s">
        <v>13</v>
      </c>
      <c r="J3000" t="str">
        <f>_xlfn.XLOOKUP(branches[[#This Row],[Филиал]], tbl_Filialy[Филиал], tbl_Filialy[Менеджер])</f>
        <v>Дмитрий Волков</v>
      </c>
    </row>
    <row r="3001" spans="1:10" x14ac:dyDescent="0.3">
      <c r="A3001" t="str">
        <f>_xlfn.XLOOKUP(branches[[#This Row],[Филиал]], tbl_Filialy[Филиал], tbl_Filialy[Город])</f>
        <v>Санкт-Петербург</v>
      </c>
      <c r="B3001" s="1" t="s">
        <v>38</v>
      </c>
      <c r="C3001" s="2">
        <v>45916</v>
      </c>
      <c r="D3001" s="2" t="str">
        <f>CHOOSE(MONTH(branches[[#This Row],[Дата]]),"Январь","Февраль","Март","Апрель","Май","Июнь","Июль","Август","Сентябрь","Октябрь","Ноябрь","Декабрь")&amp;" "&amp;YEAR(branches[[#This Row],[Дата]])</f>
        <v>Сентябрь 2025</v>
      </c>
      <c r="E3001" t="s">
        <v>20</v>
      </c>
      <c r="F3001" t="s">
        <v>12</v>
      </c>
      <c r="G3001">
        <v>3</v>
      </c>
      <c r="H3001">
        <v>777</v>
      </c>
      <c r="I3001" t="s">
        <v>13</v>
      </c>
      <c r="J3001" t="str">
        <f>_xlfn.XLOOKUP(branches[[#This Row],[Филиал]], tbl_Filialy[Филиал], tbl_Filialy[Менеджер])</f>
        <v>Дмитрий Волков</v>
      </c>
    </row>
    <row r="3002" spans="1:10" x14ac:dyDescent="0.3">
      <c r="A3002" t="str">
        <f>_xlfn.XLOOKUP(branches[[#This Row],[Филиал]], tbl_Filialy[Филиал], tbl_Filialy[Город])</f>
        <v>Санкт-Петербург</v>
      </c>
      <c r="B3002" s="1" t="s">
        <v>38</v>
      </c>
      <c r="C3002" s="2">
        <v>45784</v>
      </c>
      <c r="D3002" s="2" t="str">
        <f>CHOOSE(MONTH(branches[[#This Row],[Дата]]),"Январь","Февраль","Март","Апрель","Май","Июнь","Июль","Август","Сентябрь","Октябрь","Ноябрь","Декабрь")&amp;" "&amp;YEAR(branches[[#This Row],[Дата]])</f>
        <v>Май 2025</v>
      </c>
      <c r="E3002" t="s">
        <v>8</v>
      </c>
      <c r="F3002" t="s">
        <v>9</v>
      </c>
      <c r="G3002">
        <v>2</v>
      </c>
      <c r="H3002">
        <v>556</v>
      </c>
      <c r="I3002" t="s">
        <v>13</v>
      </c>
      <c r="J3002" t="str">
        <f>_xlfn.XLOOKUP(branches[[#This Row],[Филиал]], tbl_Filialy[Филиал], tbl_Filialy[Менеджер])</f>
        <v>Дмитрий Волков</v>
      </c>
    </row>
    <row r="3003" spans="1:10" x14ac:dyDescent="0.3">
      <c r="A3003" t="str">
        <f>_xlfn.XLOOKUP(branches[[#This Row],[Филиал]], tbl_Filialy[Филиал], tbl_Filialy[Город])</f>
        <v>Санкт-Петербург</v>
      </c>
      <c r="B3003" s="1" t="s">
        <v>38</v>
      </c>
      <c r="C3003" s="2">
        <v>45783</v>
      </c>
      <c r="D3003" s="2" t="str">
        <f>CHOOSE(MONTH(branches[[#This Row],[Дата]]),"Январь","Февраль","Март","Апрель","Май","Июнь","Июль","Август","Сентябрь","Октябрь","Ноябрь","Декабрь")&amp;" "&amp;YEAR(branches[[#This Row],[Дата]])</f>
        <v>Май 2025</v>
      </c>
      <c r="E3003" t="s">
        <v>27</v>
      </c>
      <c r="F3003" t="s">
        <v>12</v>
      </c>
      <c r="G3003">
        <v>1</v>
      </c>
      <c r="H3003">
        <v>221</v>
      </c>
      <c r="I3003" t="s">
        <v>19</v>
      </c>
      <c r="J3003" t="str">
        <f>_xlfn.XLOOKUP(branches[[#This Row],[Филиал]], tbl_Filialy[Филиал], tbl_Filialy[Менеджер])</f>
        <v>Дмитрий Волков</v>
      </c>
    </row>
    <row r="3004" spans="1:10" x14ac:dyDescent="0.3">
      <c r="A3004" t="str">
        <f>_xlfn.XLOOKUP(branches[[#This Row],[Филиал]], tbl_Filialy[Филиал], tbl_Filialy[Город])</f>
        <v>Санкт-Петербург</v>
      </c>
      <c r="B3004" s="1" t="s">
        <v>38</v>
      </c>
      <c r="C3004" s="2">
        <v>45973</v>
      </c>
      <c r="D3004" s="2" t="str">
        <f>CHOOSE(MONTH(branches[[#This Row],[Дата]]),"Январь","Февраль","Март","Апрель","Май","Июнь","Июль","Август","Сентябрь","Октябрь","Ноябрь","Декабрь")&amp;" "&amp;YEAR(branches[[#This Row],[Дата]])</f>
        <v>Ноябрь 2025</v>
      </c>
      <c r="E3004" t="s">
        <v>16</v>
      </c>
      <c r="F3004" t="s">
        <v>17</v>
      </c>
      <c r="G3004">
        <v>2</v>
      </c>
      <c r="H3004">
        <v>638</v>
      </c>
      <c r="I3004" t="s">
        <v>15</v>
      </c>
      <c r="J3004" t="str">
        <f>_xlfn.XLOOKUP(branches[[#This Row],[Филиал]], tbl_Filialy[Филиал], tbl_Filialy[Менеджер])</f>
        <v>Дмитрий Волков</v>
      </c>
    </row>
    <row r="3005" spans="1:10" x14ac:dyDescent="0.3">
      <c r="A3005" t="str">
        <f>_xlfn.XLOOKUP(branches[[#This Row],[Филиал]], tbl_Filialy[Филиал], tbl_Filialy[Город])</f>
        <v>Санкт-Петербург</v>
      </c>
      <c r="B3005" s="1" t="s">
        <v>38</v>
      </c>
      <c r="C3005" s="2">
        <v>45731</v>
      </c>
      <c r="D3005" s="2" t="str">
        <f>CHOOSE(MONTH(branches[[#This Row],[Дата]]),"Январь","Февраль","Март","Апрель","Май","Июнь","Июль","Август","Сентябрь","Октябрь","Ноябрь","Декабрь")&amp;" "&amp;YEAR(branches[[#This Row],[Дата]])</f>
        <v>Март 2025</v>
      </c>
      <c r="E3005" t="s">
        <v>27</v>
      </c>
      <c r="F3005" t="s">
        <v>12</v>
      </c>
      <c r="G3005">
        <v>1</v>
      </c>
      <c r="H3005">
        <v>204</v>
      </c>
      <c r="I3005" t="s">
        <v>13</v>
      </c>
      <c r="J3005" t="str">
        <f>_xlfn.XLOOKUP(branches[[#This Row],[Филиал]], tbl_Filialy[Филиал], tbl_Filialy[Менеджер])</f>
        <v>Дмитрий Волков</v>
      </c>
    </row>
    <row r="3006" spans="1:10" x14ac:dyDescent="0.3">
      <c r="A3006" t="str">
        <f>_xlfn.XLOOKUP(branches[[#This Row],[Филиал]], tbl_Filialy[Филиал], tbl_Filialy[Город])</f>
        <v>Санкт-Петербург</v>
      </c>
      <c r="B3006" s="1" t="s">
        <v>38</v>
      </c>
      <c r="C3006" s="2">
        <v>45669</v>
      </c>
      <c r="D3006" s="2" t="str">
        <f>CHOOSE(MONTH(branches[[#This Row],[Дата]]),"Январь","Февраль","Март","Апрель","Май","Июнь","Июль","Август","Сентябрь","Октябрь","Ноябрь","Декабрь")&amp;" "&amp;YEAR(branches[[#This Row],[Дата]])</f>
        <v>Январь 2025</v>
      </c>
      <c r="E3006" t="s">
        <v>22</v>
      </c>
      <c r="F3006" t="s">
        <v>9</v>
      </c>
      <c r="G3006">
        <v>2</v>
      </c>
      <c r="H3006">
        <v>340</v>
      </c>
      <c r="I3006" t="s">
        <v>21</v>
      </c>
      <c r="J3006" t="str">
        <f>_xlfn.XLOOKUP(branches[[#This Row],[Филиал]], tbl_Filialy[Филиал], tbl_Filialy[Менеджер])</f>
        <v>Дмитрий Волков</v>
      </c>
    </row>
    <row r="3007" spans="1:10" x14ac:dyDescent="0.3">
      <c r="A3007" t="str">
        <f>_xlfn.XLOOKUP(branches[[#This Row],[Филиал]], tbl_Filialy[Филиал], tbl_Filialy[Город])</f>
        <v>Санкт-Петербург</v>
      </c>
      <c r="B3007" s="1" t="s">
        <v>38</v>
      </c>
      <c r="C3007" s="2">
        <v>45831</v>
      </c>
      <c r="D3007" s="2" t="str">
        <f>CHOOSE(MONTH(branches[[#This Row],[Дата]]),"Январь","Февраль","Март","Апрель","Май","Июнь","Июль","Август","Сентябрь","Октябрь","Ноябрь","Декабрь")&amp;" "&amp;YEAR(branches[[#This Row],[Дата]])</f>
        <v>Июнь 2025</v>
      </c>
      <c r="E3007" t="s">
        <v>18</v>
      </c>
      <c r="F3007" t="s">
        <v>12</v>
      </c>
      <c r="G3007">
        <v>2</v>
      </c>
      <c r="H3007">
        <v>276</v>
      </c>
      <c r="I3007" t="s">
        <v>13</v>
      </c>
      <c r="J3007" t="str">
        <f>_xlfn.XLOOKUP(branches[[#This Row],[Филиал]], tbl_Filialy[Филиал], tbl_Filialy[Менеджер])</f>
        <v>Дмитрий Волков</v>
      </c>
    </row>
    <row r="3008" spans="1:10" x14ac:dyDescent="0.3">
      <c r="A3008" t="str">
        <f>_xlfn.XLOOKUP(branches[[#This Row],[Филиал]], tbl_Filialy[Филиал], tbl_Filialy[Город])</f>
        <v>Санкт-Петербург</v>
      </c>
      <c r="B3008" s="1" t="s">
        <v>38</v>
      </c>
      <c r="C3008" s="2">
        <v>45881</v>
      </c>
      <c r="D3008" s="2" t="str">
        <f>CHOOSE(MONTH(branches[[#This Row],[Дата]]),"Январь","Февраль","Март","Апрель","Май","Июнь","Июль","Август","Сентябрь","Октябрь","Ноябрь","Декабрь")&amp;" "&amp;YEAR(branches[[#This Row],[Дата]])</f>
        <v>Август 2025</v>
      </c>
      <c r="E3008" t="s">
        <v>26</v>
      </c>
      <c r="F3008" t="s">
        <v>9</v>
      </c>
      <c r="G3008">
        <v>2</v>
      </c>
      <c r="H3008">
        <v>412</v>
      </c>
      <c r="I3008" t="s">
        <v>21</v>
      </c>
      <c r="J3008" t="str">
        <f>_xlfn.XLOOKUP(branches[[#This Row],[Филиал]], tbl_Filialy[Филиал], tbl_Filialy[Менеджер])</f>
        <v>Дмитрий Волков</v>
      </c>
    </row>
    <row r="3009" spans="1:10" x14ac:dyDescent="0.3">
      <c r="A3009" t="str">
        <f>_xlfn.XLOOKUP(branches[[#This Row],[Филиал]], tbl_Filialy[Филиал], tbl_Filialy[Город])</f>
        <v>Санкт-Петербург</v>
      </c>
      <c r="B3009" s="1" t="s">
        <v>38</v>
      </c>
      <c r="C3009" s="2">
        <v>45787</v>
      </c>
      <c r="D3009" s="2" t="str">
        <f>CHOOSE(MONTH(branches[[#This Row],[Дата]]),"Январь","Февраль","Март","Апрель","Май","Июнь","Июль","Август","Сентябрь","Октябрь","Ноябрь","Декабрь")&amp;" "&amp;YEAR(branches[[#This Row],[Дата]])</f>
        <v>Май 2025</v>
      </c>
      <c r="E3009" t="s">
        <v>18</v>
      </c>
      <c r="F3009" t="s">
        <v>12</v>
      </c>
      <c r="G3009">
        <v>1</v>
      </c>
      <c r="H3009">
        <v>146</v>
      </c>
      <c r="I3009" t="s">
        <v>29</v>
      </c>
      <c r="J3009" t="str">
        <f>_xlfn.XLOOKUP(branches[[#This Row],[Филиал]], tbl_Filialy[Филиал], tbl_Filialy[Менеджер])</f>
        <v>Дмитрий Волков</v>
      </c>
    </row>
    <row r="3010" spans="1:10" x14ac:dyDescent="0.3">
      <c r="A3010" t="str">
        <f>_xlfn.XLOOKUP(branches[[#This Row],[Филиал]], tbl_Filialy[Филиал], tbl_Filialy[Город])</f>
        <v>Санкт-Петербург</v>
      </c>
      <c r="B3010" s="1" t="s">
        <v>38</v>
      </c>
      <c r="C3010" s="2">
        <v>45834</v>
      </c>
      <c r="D3010" s="2" t="str">
        <f>CHOOSE(MONTH(branches[[#This Row],[Дата]]),"Январь","Февраль","Март","Апрель","Май","Июнь","Июль","Август","Сентябрь","Октябрь","Ноябрь","Декабрь")&amp;" "&amp;YEAR(branches[[#This Row],[Дата]])</f>
        <v>Июнь 2025</v>
      </c>
      <c r="E3010" t="s">
        <v>25</v>
      </c>
      <c r="F3010" t="s">
        <v>12</v>
      </c>
      <c r="G3010">
        <v>2</v>
      </c>
      <c r="H3010">
        <v>442</v>
      </c>
      <c r="I3010" t="s">
        <v>13</v>
      </c>
      <c r="J3010" t="str">
        <f>_xlfn.XLOOKUP(branches[[#This Row],[Филиал]], tbl_Filialy[Филиал], tbl_Filialy[Менеджер])</f>
        <v>Дмитрий Волков</v>
      </c>
    </row>
    <row r="3011" spans="1:10" x14ac:dyDescent="0.3">
      <c r="A3011" t="str">
        <f>_xlfn.XLOOKUP(branches[[#This Row],[Филиал]], tbl_Filialy[Филиал], tbl_Filialy[Город])</f>
        <v>Санкт-Петербург</v>
      </c>
      <c r="B3011" s="1" t="s">
        <v>38</v>
      </c>
      <c r="C3011" s="2">
        <v>45740</v>
      </c>
      <c r="D3011" s="2" t="str">
        <f>CHOOSE(MONTH(branches[[#This Row],[Дата]]),"Январь","Февраль","Март","Апрель","Май","Июнь","Июль","Август","Сентябрь","Октябрь","Ноябрь","Декабрь")&amp;" "&amp;YEAR(branches[[#This Row],[Дата]])</f>
        <v>Март 2025</v>
      </c>
      <c r="E3011" t="s">
        <v>26</v>
      </c>
      <c r="F3011" t="s">
        <v>9</v>
      </c>
      <c r="G3011">
        <v>1</v>
      </c>
      <c r="H3011">
        <v>205</v>
      </c>
      <c r="I3011" t="s">
        <v>23</v>
      </c>
      <c r="J3011" t="str">
        <f>_xlfn.XLOOKUP(branches[[#This Row],[Филиал]], tbl_Filialy[Филиал], tbl_Filialy[Менеджер])</f>
        <v>Дмитрий Волков</v>
      </c>
    </row>
    <row r="3012" spans="1:10" x14ac:dyDescent="0.3">
      <c r="A3012" t="str">
        <f>_xlfn.XLOOKUP(branches[[#This Row],[Филиал]], tbl_Filialy[Филиал], tbl_Filialy[Город])</f>
        <v>Санкт-Петербург</v>
      </c>
      <c r="B3012" s="1" t="s">
        <v>38</v>
      </c>
      <c r="C3012" s="2">
        <v>45997</v>
      </c>
      <c r="D3012" s="2" t="str">
        <f>CHOOSE(MONTH(branches[[#This Row],[Дата]]),"Январь","Февраль","Март","Апрель","Май","Июнь","Июль","Август","Сентябрь","Октябрь","Ноябрь","Декабрь")&amp;" "&amp;YEAR(branches[[#This Row],[Дата]])</f>
        <v>Декабрь 2025</v>
      </c>
      <c r="E3012" t="s">
        <v>8</v>
      </c>
      <c r="F3012" t="s">
        <v>9</v>
      </c>
      <c r="G3012">
        <v>1</v>
      </c>
      <c r="H3012">
        <v>262</v>
      </c>
      <c r="I3012" t="s">
        <v>19</v>
      </c>
      <c r="J3012" t="str">
        <f>_xlfn.XLOOKUP(branches[[#This Row],[Филиал]], tbl_Filialy[Филиал], tbl_Filialy[Менеджер])</f>
        <v>Дмитрий Волков</v>
      </c>
    </row>
    <row r="3013" spans="1:10" x14ac:dyDescent="0.3">
      <c r="A3013" t="str">
        <f>_xlfn.XLOOKUP(branches[[#This Row],[Филиал]], tbl_Filialy[Филиал], tbl_Filialy[Город])</f>
        <v>Санкт-Петербург</v>
      </c>
      <c r="B3013" s="1" t="s">
        <v>38</v>
      </c>
      <c r="C3013" s="2">
        <v>45815</v>
      </c>
      <c r="D3013" s="2" t="str">
        <f>CHOOSE(MONTH(branches[[#This Row],[Дата]]),"Январь","Февраль","Март","Апрель","Май","Июнь","Июль","Август","Сентябрь","Октябрь","Ноябрь","Декабрь")&amp;" "&amp;YEAR(branches[[#This Row],[Дата]])</f>
        <v>Июнь 2025</v>
      </c>
      <c r="E3013" t="s">
        <v>14</v>
      </c>
      <c r="F3013" t="s">
        <v>12</v>
      </c>
      <c r="G3013">
        <v>2</v>
      </c>
      <c r="H3013">
        <v>530</v>
      </c>
      <c r="I3013" t="s">
        <v>13</v>
      </c>
      <c r="J3013" t="str">
        <f>_xlfn.XLOOKUP(branches[[#This Row],[Филиал]], tbl_Filialy[Филиал], tbl_Filialy[Менеджер])</f>
        <v>Дмитрий Волков</v>
      </c>
    </row>
    <row r="3014" spans="1:10" x14ac:dyDescent="0.3">
      <c r="A3014" t="str">
        <f>_xlfn.XLOOKUP(branches[[#This Row],[Филиал]], tbl_Filialy[Филиал], tbl_Filialy[Город])</f>
        <v>Санкт-Петербург</v>
      </c>
      <c r="B3014" s="1" t="s">
        <v>38</v>
      </c>
      <c r="C3014" s="2">
        <v>45810</v>
      </c>
      <c r="D3014" s="2" t="str">
        <f>CHOOSE(MONTH(branches[[#This Row],[Дата]]),"Январь","Февраль","Март","Апрель","Май","Июнь","Июль","Август","Сентябрь","Октябрь","Ноябрь","Декабрь")&amp;" "&amp;YEAR(branches[[#This Row],[Дата]])</f>
        <v>Июнь 2025</v>
      </c>
      <c r="E3014" t="s">
        <v>28</v>
      </c>
      <c r="F3014" t="s">
        <v>12</v>
      </c>
      <c r="G3014">
        <v>2</v>
      </c>
      <c r="H3014">
        <v>452</v>
      </c>
      <c r="I3014" t="s">
        <v>19</v>
      </c>
      <c r="J3014" t="str">
        <f>_xlfn.XLOOKUP(branches[[#This Row],[Филиал]], tbl_Filialy[Филиал], tbl_Filialy[Менеджер])</f>
        <v>Дмитрий Волков</v>
      </c>
    </row>
    <row r="3015" spans="1:10" x14ac:dyDescent="0.3">
      <c r="A3015" t="str">
        <f>_xlfn.XLOOKUP(branches[[#This Row],[Филиал]], tbl_Filialy[Филиал], tbl_Filialy[Город])</f>
        <v>Санкт-Петербург</v>
      </c>
      <c r="B3015" s="1" t="s">
        <v>38</v>
      </c>
      <c r="C3015" s="2">
        <v>45962</v>
      </c>
      <c r="D3015" s="2" t="str">
        <f>CHOOSE(MONTH(branches[[#This Row],[Дата]]),"Январь","Февраль","Март","Апрель","Май","Июнь","Июль","Август","Сентябрь","Октябрь","Ноябрь","Декабрь")&amp;" "&amp;YEAR(branches[[#This Row],[Дата]])</f>
        <v>Ноябрь 2025</v>
      </c>
      <c r="E3015" t="s">
        <v>14</v>
      </c>
      <c r="F3015" t="s">
        <v>12</v>
      </c>
      <c r="G3015">
        <v>1</v>
      </c>
      <c r="H3015">
        <v>249</v>
      </c>
      <c r="I3015" t="s">
        <v>23</v>
      </c>
      <c r="J3015" t="str">
        <f>_xlfn.XLOOKUP(branches[[#This Row],[Филиал]], tbl_Filialy[Филиал], tbl_Filialy[Менеджер])</f>
        <v>Дмитрий Волков</v>
      </c>
    </row>
    <row r="3016" spans="1:10" x14ac:dyDescent="0.3">
      <c r="A3016" t="str">
        <f>_xlfn.XLOOKUP(branches[[#This Row],[Филиал]], tbl_Filialy[Филиал], tbl_Filialy[Город])</f>
        <v>Санкт-Петербург</v>
      </c>
      <c r="B3016" s="1" t="s">
        <v>38</v>
      </c>
      <c r="C3016" s="2">
        <v>45934</v>
      </c>
      <c r="D3016" s="2" t="str">
        <f>CHOOSE(MONTH(branches[[#This Row],[Дата]]),"Январь","Февраль","Март","Апрель","Май","Июнь","Июль","Август","Сентябрь","Октябрь","Ноябрь","Декабрь")&amp;" "&amp;YEAR(branches[[#This Row],[Дата]])</f>
        <v>Октябрь 2025</v>
      </c>
      <c r="E3016" t="s">
        <v>14</v>
      </c>
      <c r="F3016" t="s">
        <v>12</v>
      </c>
      <c r="G3016">
        <v>1</v>
      </c>
      <c r="H3016">
        <v>290</v>
      </c>
      <c r="I3016" t="s">
        <v>19</v>
      </c>
      <c r="J3016" t="str">
        <f>_xlfn.XLOOKUP(branches[[#This Row],[Филиал]], tbl_Filialy[Филиал], tbl_Filialy[Менеджер])</f>
        <v>Дмитрий Волков</v>
      </c>
    </row>
    <row r="3017" spans="1:10" x14ac:dyDescent="0.3">
      <c r="A3017" t="str">
        <f>_xlfn.XLOOKUP(branches[[#This Row],[Филиал]], tbl_Filialy[Филиал], tbl_Filialy[Город])</f>
        <v>Санкт-Петербург</v>
      </c>
      <c r="B3017" s="1" t="s">
        <v>38</v>
      </c>
      <c r="C3017" s="2">
        <v>45663</v>
      </c>
      <c r="D3017" s="2" t="str">
        <f>CHOOSE(MONTH(branches[[#This Row],[Дата]]),"Январь","Февраль","Март","Апрель","Май","Июнь","Июль","Август","Сентябрь","Октябрь","Ноябрь","Декабрь")&amp;" "&amp;YEAR(branches[[#This Row],[Дата]])</f>
        <v>Январь 2025</v>
      </c>
      <c r="E3017" t="s">
        <v>11</v>
      </c>
      <c r="F3017" t="s">
        <v>12</v>
      </c>
      <c r="G3017">
        <v>3</v>
      </c>
      <c r="H3017">
        <v>435</v>
      </c>
      <c r="I3017" t="s">
        <v>15</v>
      </c>
      <c r="J3017" t="str">
        <f>_xlfn.XLOOKUP(branches[[#This Row],[Филиал]], tbl_Filialy[Филиал], tbl_Filialy[Менеджер])</f>
        <v>Дмитрий Волков</v>
      </c>
    </row>
    <row r="3018" spans="1:10" x14ac:dyDescent="0.3">
      <c r="A3018" t="str">
        <f>_xlfn.XLOOKUP(branches[[#This Row],[Филиал]], tbl_Filialy[Филиал], tbl_Filialy[Город])</f>
        <v>Санкт-Петербург</v>
      </c>
      <c r="B3018" s="1" t="s">
        <v>38</v>
      </c>
      <c r="C3018" s="2">
        <v>45910</v>
      </c>
      <c r="D3018" s="2" t="str">
        <f>CHOOSE(MONTH(branches[[#This Row],[Дата]]),"Январь","Февраль","Март","Апрель","Май","Июнь","Июль","Август","Сентябрь","Октябрь","Ноябрь","Декабрь")&amp;" "&amp;YEAR(branches[[#This Row],[Дата]])</f>
        <v>Сентябрь 2025</v>
      </c>
      <c r="E3018" t="s">
        <v>22</v>
      </c>
      <c r="F3018" t="s">
        <v>9</v>
      </c>
      <c r="G3018">
        <v>1</v>
      </c>
      <c r="H3018">
        <v>165</v>
      </c>
      <c r="I3018" t="s">
        <v>19</v>
      </c>
      <c r="J3018" t="str">
        <f>_xlfn.XLOOKUP(branches[[#This Row],[Филиал]], tbl_Filialy[Филиал], tbl_Filialy[Менеджер])</f>
        <v>Дмитрий Волков</v>
      </c>
    </row>
    <row r="3019" spans="1:10" x14ac:dyDescent="0.3">
      <c r="A3019" t="str">
        <f>_xlfn.XLOOKUP(branches[[#This Row],[Филиал]], tbl_Filialy[Филиал], tbl_Filialy[Город])</f>
        <v>Санкт-Петербург</v>
      </c>
      <c r="B3019" s="1" t="s">
        <v>38</v>
      </c>
      <c r="C3019" s="2">
        <v>45859</v>
      </c>
      <c r="D3019" s="2" t="str">
        <f>CHOOSE(MONTH(branches[[#This Row],[Дата]]),"Январь","Февраль","Март","Апрель","Май","Июнь","Июль","Август","Сентябрь","Октябрь","Ноябрь","Декабрь")&amp;" "&amp;YEAR(branches[[#This Row],[Дата]])</f>
        <v>Июль 2025</v>
      </c>
      <c r="E3019" t="s">
        <v>26</v>
      </c>
      <c r="F3019" t="s">
        <v>9</v>
      </c>
      <c r="G3019">
        <v>1</v>
      </c>
      <c r="H3019">
        <v>234</v>
      </c>
      <c r="I3019" t="s">
        <v>19</v>
      </c>
      <c r="J3019" t="str">
        <f>_xlfn.XLOOKUP(branches[[#This Row],[Филиал]], tbl_Filialy[Филиал], tbl_Filialy[Менеджер])</f>
        <v>Дмитрий Волков</v>
      </c>
    </row>
    <row r="3020" spans="1:10" x14ac:dyDescent="0.3">
      <c r="A3020" t="str">
        <f>_xlfn.XLOOKUP(branches[[#This Row],[Филиал]], tbl_Filialy[Филиал], tbl_Filialy[Город])</f>
        <v>Санкт-Петербург</v>
      </c>
      <c r="B3020" s="1" t="s">
        <v>38</v>
      </c>
      <c r="C3020" s="2">
        <v>45931</v>
      </c>
      <c r="D3020" s="2" t="str">
        <f>CHOOSE(MONTH(branches[[#This Row],[Дата]]),"Январь","Февраль","Март","Апрель","Май","Июнь","Июль","Август","Сентябрь","Октябрь","Ноябрь","Декабрь")&amp;" "&amp;YEAR(branches[[#This Row],[Дата]])</f>
        <v>Октябрь 2025</v>
      </c>
      <c r="E3020" t="s">
        <v>20</v>
      </c>
      <c r="F3020" t="s">
        <v>12</v>
      </c>
      <c r="G3020">
        <v>2</v>
      </c>
      <c r="H3020">
        <v>626</v>
      </c>
      <c r="I3020" t="s">
        <v>13</v>
      </c>
      <c r="J3020" t="str">
        <f>_xlfn.XLOOKUP(branches[[#This Row],[Филиал]], tbl_Filialy[Филиал], tbl_Filialy[Менеджер])</f>
        <v>Дмитрий Волков</v>
      </c>
    </row>
    <row r="3021" spans="1:10" x14ac:dyDescent="0.3">
      <c r="A3021" t="str">
        <f>_xlfn.XLOOKUP(branches[[#This Row],[Филиал]], tbl_Filialy[Филиал], tbl_Filialy[Город])</f>
        <v>Санкт-Петербург</v>
      </c>
      <c r="B3021" s="1" t="s">
        <v>38</v>
      </c>
      <c r="C3021" s="2">
        <v>45775</v>
      </c>
      <c r="D3021" s="2" t="str">
        <f>CHOOSE(MONTH(branches[[#This Row],[Дата]]),"Январь","Февраль","Март","Апрель","Май","Июнь","Июль","Август","Сентябрь","Октябрь","Ноябрь","Декабрь")&amp;" "&amp;YEAR(branches[[#This Row],[Дата]])</f>
        <v>Апрель 2025</v>
      </c>
      <c r="E3021" t="s">
        <v>20</v>
      </c>
      <c r="F3021" t="s">
        <v>12</v>
      </c>
      <c r="G3021">
        <v>1</v>
      </c>
      <c r="H3021">
        <v>286</v>
      </c>
      <c r="I3021" t="s">
        <v>10</v>
      </c>
      <c r="J3021" t="str">
        <f>_xlfn.XLOOKUP(branches[[#This Row],[Филиал]], tbl_Filialy[Филиал], tbl_Filialy[Менеджер])</f>
        <v>Дмитрий Волков</v>
      </c>
    </row>
    <row r="3022" spans="1:10" x14ac:dyDescent="0.3">
      <c r="A3022" t="str">
        <f>_xlfn.XLOOKUP(branches[[#This Row],[Филиал]], tbl_Filialy[Филиал], tbl_Filialy[Город])</f>
        <v>Санкт-Петербург</v>
      </c>
      <c r="B3022" s="1" t="s">
        <v>38</v>
      </c>
      <c r="C3022" s="2">
        <v>45989</v>
      </c>
      <c r="D3022" s="2" t="str">
        <f>CHOOSE(MONTH(branches[[#This Row],[Дата]]),"Январь","Февраль","Март","Апрель","Май","Июнь","Июль","Август","Сентябрь","Октябрь","Ноябрь","Декабрь")&amp;" "&amp;YEAR(branches[[#This Row],[Дата]])</f>
        <v>Ноябрь 2025</v>
      </c>
      <c r="E3022" t="s">
        <v>27</v>
      </c>
      <c r="F3022" t="s">
        <v>12</v>
      </c>
      <c r="G3022">
        <v>3</v>
      </c>
      <c r="H3022">
        <v>606</v>
      </c>
      <c r="I3022" t="s">
        <v>10</v>
      </c>
      <c r="J3022" t="str">
        <f>_xlfn.XLOOKUP(branches[[#This Row],[Филиал]], tbl_Filialy[Филиал], tbl_Filialy[Менеджер])</f>
        <v>Дмитрий Волков</v>
      </c>
    </row>
    <row r="3023" spans="1:10" x14ac:dyDescent="0.3">
      <c r="A3023" t="str">
        <f>_xlfn.XLOOKUP(branches[[#This Row],[Филиал]], tbl_Filialy[Филиал], tbl_Filialy[Город])</f>
        <v>Санкт-Петербург</v>
      </c>
      <c r="B3023" s="1" t="s">
        <v>38</v>
      </c>
      <c r="C3023" s="2">
        <v>45681</v>
      </c>
      <c r="D3023" s="2" t="str">
        <f>CHOOSE(MONTH(branches[[#This Row],[Дата]]),"Январь","Февраль","Март","Апрель","Май","Июнь","Июль","Август","Сентябрь","Октябрь","Ноябрь","Декабрь")&amp;" "&amp;YEAR(branches[[#This Row],[Дата]])</f>
        <v>Январь 2025</v>
      </c>
      <c r="E3023" t="s">
        <v>11</v>
      </c>
      <c r="F3023" t="s">
        <v>12</v>
      </c>
      <c r="G3023">
        <v>1</v>
      </c>
      <c r="H3023">
        <v>153</v>
      </c>
      <c r="I3023" t="s">
        <v>10</v>
      </c>
      <c r="J3023" t="str">
        <f>_xlfn.XLOOKUP(branches[[#This Row],[Филиал]], tbl_Filialy[Филиал], tbl_Filialy[Менеджер])</f>
        <v>Дмитрий Волков</v>
      </c>
    </row>
    <row r="3024" spans="1:10" x14ac:dyDescent="0.3">
      <c r="A3024" t="str">
        <f>_xlfn.XLOOKUP(branches[[#This Row],[Филиал]], tbl_Filialy[Филиал], tbl_Filialy[Город])</f>
        <v>Санкт-Петербург</v>
      </c>
      <c r="B3024" s="1" t="s">
        <v>38</v>
      </c>
      <c r="C3024" s="2">
        <v>45787</v>
      </c>
      <c r="D3024" s="2" t="str">
        <f>CHOOSE(MONTH(branches[[#This Row],[Дата]]),"Январь","Февраль","Март","Апрель","Май","Июнь","Июль","Август","Сентябрь","Октябрь","Ноябрь","Декабрь")&amp;" "&amp;YEAR(branches[[#This Row],[Дата]])</f>
        <v>Май 2025</v>
      </c>
      <c r="E3024" t="s">
        <v>16</v>
      </c>
      <c r="F3024" t="s">
        <v>17</v>
      </c>
      <c r="G3024">
        <v>1</v>
      </c>
      <c r="H3024">
        <v>338</v>
      </c>
      <c r="I3024" t="s">
        <v>10</v>
      </c>
      <c r="J3024" t="str">
        <f>_xlfn.XLOOKUP(branches[[#This Row],[Филиал]], tbl_Filialy[Филиал], tbl_Filialy[Менеджер])</f>
        <v>Дмитрий Волков</v>
      </c>
    </row>
    <row r="3025" spans="1:10" x14ac:dyDescent="0.3">
      <c r="A3025" t="str">
        <f>_xlfn.XLOOKUP(branches[[#This Row],[Филиал]], tbl_Filialy[Филиал], tbl_Filialy[Город])</f>
        <v>Санкт-Петербург</v>
      </c>
      <c r="B3025" s="1" t="s">
        <v>38</v>
      </c>
      <c r="C3025" s="2">
        <v>46007</v>
      </c>
      <c r="D3025" s="2" t="str">
        <f>CHOOSE(MONTH(branches[[#This Row],[Дата]]),"Январь","Февраль","Март","Апрель","Май","Июнь","Июль","Август","Сентябрь","Октябрь","Ноябрь","Декабрь")&amp;" "&amp;YEAR(branches[[#This Row],[Дата]])</f>
        <v>Декабрь 2025</v>
      </c>
      <c r="E3025" t="s">
        <v>27</v>
      </c>
      <c r="F3025" t="s">
        <v>12</v>
      </c>
      <c r="G3025">
        <v>1</v>
      </c>
      <c r="H3025">
        <v>186</v>
      </c>
      <c r="I3025" t="s">
        <v>21</v>
      </c>
      <c r="J3025" t="str">
        <f>_xlfn.XLOOKUP(branches[[#This Row],[Филиал]], tbl_Filialy[Филиал], tbl_Filialy[Менеджер])</f>
        <v>Дмитрий Волков</v>
      </c>
    </row>
    <row r="3026" spans="1:10" x14ac:dyDescent="0.3">
      <c r="A3026" t="str">
        <f>_xlfn.XLOOKUP(branches[[#This Row],[Филиал]], tbl_Filialy[Филиал], tbl_Filialy[Город])</f>
        <v>Санкт-Петербург</v>
      </c>
      <c r="B3026" s="1" t="s">
        <v>38</v>
      </c>
      <c r="C3026" s="2">
        <v>45983</v>
      </c>
      <c r="D3026" s="2" t="str">
        <f>CHOOSE(MONTH(branches[[#This Row],[Дата]]),"Январь","Февраль","Март","Апрель","Май","Июнь","Июль","Август","Сентябрь","Октябрь","Ноябрь","Декабрь")&amp;" "&amp;YEAR(branches[[#This Row],[Дата]])</f>
        <v>Ноябрь 2025</v>
      </c>
      <c r="E3026" t="s">
        <v>28</v>
      </c>
      <c r="F3026" t="s">
        <v>12</v>
      </c>
      <c r="G3026">
        <v>1</v>
      </c>
      <c r="H3026">
        <v>255</v>
      </c>
      <c r="I3026" t="s">
        <v>19</v>
      </c>
      <c r="J3026" t="str">
        <f>_xlfn.XLOOKUP(branches[[#This Row],[Филиал]], tbl_Filialy[Филиал], tbl_Filialy[Менеджер])</f>
        <v>Дмитрий Волков</v>
      </c>
    </row>
    <row r="3027" spans="1:10" x14ac:dyDescent="0.3">
      <c r="A3027" t="str">
        <f>_xlfn.XLOOKUP(branches[[#This Row],[Филиал]], tbl_Filialy[Филиал], tbl_Filialy[Город])</f>
        <v>Санкт-Петербург</v>
      </c>
      <c r="B3027" s="1" t="s">
        <v>38</v>
      </c>
      <c r="C3027" s="2">
        <v>45989</v>
      </c>
      <c r="D3027" s="2" t="str">
        <f>CHOOSE(MONTH(branches[[#This Row],[Дата]]),"Январь","Февраль","Март","Апрель","Май","Июнь","Июль","Август","Сентябрь","Октябрь","Ноябрь","Декабрь")&amp;" "&amp;YEAR(branches[[#This Row],[Дата]])</f>
        <v>Ноябрь 2025</v>
      </c>
      <c r="E3027" t="s">
        <v>20</v>
      </c>
      <c r="F3027" t="s">
        <v>12</v>
      </c>
      <c r="G3027">
        <v>2</v>
      </c>
      <c r="H3027">
        <v>592</v>
      </c>
      <c r="I3027" t="s">
        <v>23</v>
      </c>
      <c r="J3027" t="str">
        <f>_xlfn.XLOOKUP(branches[[#This Row],[Филиал]], tbl_Filialy[Филиал], tbl_Filialy[Менеджер])</f>
        <v>Дмитрий Волков</v>
      </c>
    </row>
    <row r="3028" spans="1:10" x14ac:dyDescent="0.3">
      <c r="A3028" t="str">
        <f>_xlfn.XLOOKUP(branches[[#This Row],[Филиал]], tbl_Filialy[Филиал], tbl_Filialy[Город])</f>
        <v>Санкт-Петербург</v>
      </c>
      <c r="B3028" s="1" t="s">
        <v>38</v>
      </c>
      <c r="C3028" s="2">
        <v>45769</v>
      </c>
      <c r="D3028" s="2" t="str">
        <f>CHOOSE(MONTH(branches[[#This Row],[Дата]]),"Январь","Февраль","Март","Апрель","Май","Июнь","Июль","Август","Сентябрь","Октябрь","Ноябрь","Декабрь")&amp;" "&amp;YEAR(branches[[#This Row],[Дата]])</f>
        <v>Апрель 2025</v>
      </c>
      <c r="E3028" t="s">
        <v>24</v>
      </c>
      <c r="F3028" t="s">
        <v>17</v>
      </c>
      <c r="G3028">
        <v>3</v>
      </c>
      <c r="H3028">
        <v>1089</v>
      </c>
      <c r="I3028" t="s">
        <v>19</v>
      </c>
      <c r="J3028" t="str">
        <f>_xlfn.XLOOKUP(branches[[#This Row],[Филиал]], tbl_Filialy[Филиал], tbl_Filialy[Менеджер])</f>
        <v>Дмитрий Волков</v>
      </c>
    </row>
    <row r="3029" spans="1:10" x14ac:dyDescent="0.3">
      <c r="A3029" t="str">
        <f>_xlfn.XLOOKUP(branches[[#This Row],[Филиал]], tbl_Filialy[Филиал], tbl_Filialy[Город])</f>
        <v>Санкт-Петербург</v>
      </c>
      <c r="B3029" s="1" t="s">
        <v>38</v>
      </c>
      <c r="C3029" s="2">
        <v>45949</v>
      </c>
      <c r="D3029" s="2" t="str">
        <f>CHOOSE(MONTH(branches[[#This Row],[Дата]]),"Январь","Февраль","Март","Апрель","Май","Июнь","Июль","Август","Сентябрь","Октябрь","Ноябрь","Декабрь")&amp;" "&amp;YEAR(branches[[#This Row],[Дата]])</f>
        <v>Октябрь 2025</v>
      </c>
      <c r="E3029" t="s">
        <v>14</v>
      </c>
      <c r="F3029" t="s">
        <v>12</v>
      </c>
      <c r="G3029">
        <v>2</v>
      </c>
      <c r="H3029">
        <v>568</v>
      </c>
      <c r="I3029" t="s">
        <v>23</v>
      </c>
      <c r="J3029" t="str">
        <f>_xlfn.XLOOKUP(branches[[#This Row],[Филиал]], tbl_Filialy[Филиал], tbl_Filialy[Менеджер])</f>
        <v>Дмитрий Волков</v>
      </c>
    </row>
    <row r="3030" spans="1:10" x14ac:dyDescent="0.3">
      <c r="A3030" t="str">
        <f>_xlfn.XLOOKUP(branches[[#This Row],[Филиал]], tbl_Filialy[Филиал], tbl_Filialy[Город])</f>
        <v>Санкт-Петербург</v>
      </c>
      <c r="B3030" s="1" t="s">
        <v>38</v>
      </c>
      <c r="C3030" s="2">
        <v>45782</v>
      </c>
      <c r="D3030" s="2" t="str">
        <f>CHOOSE(MONTH(branches[[#This Row],[Дата]]),"Январь","Февраль","Март","Апрель","Май","Июнь","Июль","Август","Сентябрь","Октябрь","Ноябрь","Декабрь")&amp;" "&amp;YEAR(branches[[#This Row],[Дата]])</f>
        <v>Май 2025</v>
      </c>
      <c r="E3030" t="s">
        <v>22</v>
      </c>
      <c r="F3030" t="s">
        <v>9</v>
      </c>
      <c r="G3030">
        <v>1</v>
      </c>
      <c r="H3030">
        <v>184</v>
      </c>
      <c r="I3030" t="s">
        <v>19</v>
      </c>
      <c r="J3030" t="str">
        <f>_xlfn.XLOOKUP(branches[[#This Row],[Филиал]], tbl_Filialy[Филиал], tbl_Filialy[Менеджер])</f>
        <v>Дмитрий Волков</v>
      </c>
    </row>
    <row r="3031" spans="1:10" x14ac:dyDescent="0.3">
      <c r="A3031" t="str">
        <f>_xlfn.XLOOKUP(branches[[#This Row],[Филиал]], tbl_Filialy[Филиал], tbl_Filialy[Город])</f>
        <v>Санкт-Петербург</v>
      </c>
      <c r="B3031" s="1" t="s">
        <v>38</v>
      </c>
      <c r="C3031" s="2">
        <v>45689</v>
      </c>
      <c r="D3031" s="2" t="str">
        <f>CHOOSE(MONTH(branches[[#This Row],[Дата]]),"Январь","Февраль","Март","Апрель","Май","Июнь","Июль","Август","Сентябрь","Октябрь","Ноябрь","Декабрь")&amp;" "&amp;YEAR(branches[[#This Row],[Дата]])</f>
        <v>Февраль 2025</v>
      </c>
      <c r="E3031" t="s">
        <v>11</v>
      </c>
      <c r="F3031" t="s">
        <v>12</v>
      </c>
      <c r="G3031">
        <v>1</v>
      </c>
      <c r="H3031">
        <v>191</v>
      </c>
      <c r="I3031" t="s">
        <v>13</v>
      </c>
      <c r="J3031" t="str">
        <f>_xlfn.XLOOKUP(branches[[#This Row],[Филиал]], tbl_Filialy[Филиал], tbl_Filialy[Менеджер])</f>
        <v>Дмитрий Волков</v>
      </c>
    </row>
    <row r="3032" spans="1:10" x14ac:dyDescent="0.3">
      <c r="A3032" t="str">
        <f>_xlfn.XLOOKUP(branches[[#This Row],[Филиал]], tbl_Filialy[Филиал], tbl_Filialy[Город])</f>
        <v>Санкт-Петербург</v>
      </c>
      <c r="B3032" s="1" t="s">
        <v>38</v>
      </c>
      <c r="C3032" s="2">
        <v>45660</v>
      </c>
      <c r="D3032" s="2" t="str">
        <f>CHOOSE(MONTH(branches[[#This Row],[Дата]]),"Январь","Февраль","Март","Апрель","Май","Июнь","Июль","Август","Сентябрь","Октябрь","Ноябрь","Декабрь")&amp;" "&amp;YEAR(branches[[#This Row],[Дата]])</f>
        <v>Январь 2025</v>
      </c>
      <c r="E3032" t="s">
        <v>8</v>
      </c>
      <c r="F3032" t="s">
        <v>9</v>
      </c>
      <c r="G3032">
        <v>1</v>
      </c>
      <c r="H3032">
        <v>245</v>
      </c>
      <c r="I3032" t="s">
        <v>15</v>
      </c>
      <c r="J3032" t="str">
        <f>_xlfn.XLOOKUP(branches[[#This Row],[Филиал]], tbl_Filialy[Филиал], tbl_Filialy[Менеджер])</f>
        <v>Дмитрий Волков</v>
      </c>
    </row>
    <row r="3033" spans="1:10" x14ac:dyDescent="0.3">
      <c r="A3033" t="str">
        <f>_xlfn.XLOOKUP(branches[[#This Row],[Филиал]], tbl_Filialy[Филиал], tbl_Filialy[Город])</f>
        <v>Санкт-Петербург</v>
      </c>
      <c r="B3033" s="1" t="s">
        <v>38</v>
      </c>
      <c r="C3033" s="2">
        <v>46011</v>
      </c>
      <c r="D3033" s="2" t="str">
        <f>CHOOSE(MONTH(branches[[#This Row],[Дата]]),"Январь","Февраль","Март","Апрель","Май","Июнь","Июль","Август","Сентябрь","Октябрь","Ноябрь","Декабрь")&amp;" "&amp;YEAR(branches[[#This Row],[Дата]])</f>
        <v>Декабрь 2025</v>
      </c>
      <c r="E3033" t="s">
        <v>22</v>
      </c>
      <c r="F3033" t="s">
        <v>9</v>
      </c>
      <c r="G3033">
        <v>2</v>
      </c>
      <c r="H3033">
        <v>338</v>
      </c>
      <c r="I3033" t="s">
        <v>10</v>
      </c>
      <c r="J3033" t="str">
        <f>_xlfn.XLOOKUP(branches[[#This Row],[Филиал]], tbl_Filialy[Филиал], tbl_Filialy[Менеджер])</f>
        <v>Дмитрий Волков</v>
      </c>
    </row>
    <row r="3034" spans="1:10" x14ac:dyDescent="0.3">
      <c r="A3034" t="str">
        <f>_xlfn.XLOOKUP(branches[[#This Row],[Филиал]], tbl_Filialy[Филиал], tbl_Filialy[Город])</f>
        <v>Санкт-Петербург</v>
      </c>
      <c r="B3034" s="1" t="s">
        <v>38</v>
      </c>
      <c r="C3034" s="2">
        <v>45918</v>
      </c>
      <c r="D3034" s="2" t="str">
        <f>CHOOSE(MONTH(branches[[#This Row],[Дата]]),"Январь","Февраль","Март","Апрель","Май","Июнь","Июль","Август","Сентябрь","Октябрь","Ноябрь","Декабрь")&amp;" "&amp;YEAR(branches[[#This Row],[Дата]])</f>
        <v>Сентябрь 2025</v>
      </c>
      <c r="E3034" t="s">
        <v>14</v>
      </c>
      <c r="F3034" t="s">
        <v>12</v>
      </c>
      <c r="G3034">
        <v>1</v>
      </c>
      <c r="H3034">
        <v>284</v>
      </c>
      <c r="I3034" t="s">
        <v>15</v>
      </c>
      <c r="J3034" t="str">
        <f>_xlfn.XLOOKUP(branches[[#This Row],[Филиал]], tbl_Filialy[Филиал], tbl_Filialy[Менеджер])</f>
        <v>Дмитрий Волков</v>
      </c>
    </row>
    <row r="3035" spans="1:10" x14ac:dyDescent="0.3">
      <c r="A3035" t="str">
        <f>_xlfn.XLOOKUP(branches[[#This Row],[Филиал]], tbl_Filialy[Филиал], tbl_Filialy[Город])</f>
        <v>Санкт-Петербург</v>
      </c>
      <c r="B3035" s="1" t="s">
        <v>38</v>
      </c>
      <c r="C3035" s="2">
        <v>45719</v>
      </c>
      <c r="D3035" s="2" t="str">
        <f>CHOOSE(MONTH(branches[[#This Row],[Дата]]),"Январь","Февраль","Март","Апрель","Май","Июнь","Июль","Август","Сентябрь","Октябрь","Ноябрь","Декабрь")&amp;" "&amp;YEAR(branches[[#This Row],[Дата]])</f>
        <v>Март 2025</v>
      </c>
      <c r="E3035" t="s">
        <v>22</v>
      </c>
      <c r="F3035" t="s">
        <v>9</v>
      </c>
      <c r="G3035">
        <v>3</v>
      </c>
      <c r="H3035">
        <v>528</v>
      </c>
      <c r="I3035" t="s">
        <v>13</v>
      </c>
      <c r="J3035" t="str">
        <f>_xlfn.XLOOKUP(branches[[#This Row],[Филиал]], tbl_Filialy[Филиал], tbl_Filialy[Менеджер])</f>
        <v>Дмитрий Волков</v>
      </c>
    </row>
    <row r="3036" spans="1:10" x14ac:dyDescent="0.3">
      <c r="A3036" t="str">
        <f>_xlfn.XLOOKUP(branches[[#This Row],[Филиал]], tbl_Filialy[Филиал], tbl_Filialy[Город])</f>
        <v>Санкт-Петербург</v>
      </c>
      <c r="B3036" s="1" t="s">
        <v>38</v>
      </c>
      <c r="C3036" s="2">
        <v>45905</v>
      </c>
      <c r="D3036" s="2" t="str">
        <f>CHOOSE(MONTH(branches[[#This Row],[Дата]]),"Январь","Февраль","Март","Апрель","Май","Июнь","Июль","Август","Сентябрь","Октябрь","Ноябрь","Декабрь")&amp;" "&amp;YEAR(branches[[#This Row],[Дата]])</f>
        <v>Сентябрь 2025</v>
      </c>
      <c r="E3036" t="s">
        <v>27</v>
      </c>
      <c r="F3036" t="s">
        <v>12</v>
      </c>
      <c r="G3036">
        <v>1</v>
      </c>
      <c r="H3036">
        <v>182</v>
      </c>
      <c r="I3036" t="s">
        <v>19</v>
      </c>
      <c r="J3036" t="str">
        <f>_xlfn.XLOOKUP(branches[[#This Row],[Филиал]], tbl_Filialy[Филиал], tbl_Filialy[Менеджер])</f>
        <v>Дмитрий Волков</v>
      </c>
    </row>
    <row r="3037" spans="1:10" x14ac:dyDescent="0.3">
      <c r="A3037" t="str">
        <f>_xlfn.XLOOKUP(branches[[#This Row],[Филиал]], tbl_Filialy[Филиал], tbl_Filialy[Город])</f>
        <v>Санкт-Петербург</v>
      </c>
      <c r="B3037" s="1" t="s">
        <v>38</v>
      </c>
      <c r="C3037" s="2">
        <v>45993</v>
      </c>
      <c r="D3037" s="2" t="str">
        <f>CHOOSE(MONTH(branches[[#This Row],[Дата]]),"Январь","Февраль","Март","Апрель","Май","Июнь","Июль","Август","Сентябрь","Октябрь","Ноябрь","Декабрь")&amp;" "&amp;YEAR(branches[[#This Row],[Дата]])</f>
        <v>Декабрь 2025</v>
      </c>
      <c r="E3037" t="s">
        <v>25</v>
      </c>
      <c r="F3037" t="s">
        <v>12</v>
      </c>
      <c r="G3037">
        <v>1</v>
      </c>
      <c r="H3037">
        <v>244</v>
      </c>
      <c r="I3037" t="s">
        <v>10</v>
      </c>
      <c r="J3037" t="str">
        <f>_xlfn.XLOOKUP(branches[[#This Row],[Филиал]], tbl_Filialy[Филиал], tbl_Filialy[Менеджер])</f>
        <v>Дмитрий Волков</v>
      </c>
    </row>
    <row r="3038" spans="1:10" x14ac:dyDescent="0.3">
      <c r="A3038" t="str">
        <f>_xlfn.XLOOKUP(branches[[#This Row],[Филиал]], tbl_Filialy[Филиал], tbl_Filialy[Город])</f>
        <v>Санкт-Петербург</v>
      </c>
      <c r="B3038" s="1" t="s">
        <v>38</v>
      </c>
      <c r="C3038" s="2">
        <v>45995</v>
      </c>
      <c r="D3038" s="2" t="str">
        <f>CHOOSE(MONTH(branches[[#This Row],[Дата]]),"Январь","Февраль","Март","Апрель","Май","Июнь","Июль","Август","Сентябрь","Октябрь","Ноябрь","Декабрь")&amp;" "&amp;YEAR(branches[[#This Row],[Дата]])</f>
        <v>Декабрь 2025</v>
      </c>
      <c r="E3038" t="s">
        <v>8</v>
      </c>
      <c r="F3038" t="s">
        <v>9</v>
      </c>
      <c r="G3038">
        <v>2</v>
      </c>
      <c r="H3038">
        <v>534</v>
      </c>
      <c r="I3038" t="s">
        <v>13</v>
      </c>
      <c r="J3038" t="str">
        <f>_xlfn.XLOOKUP(branches[[#This Row],[Филиал]], tbl_Filialy[Филиал], tbl_Filialy[Менеджер])</f>
        <v>Дмитрий Волков</v>
      </c>
    </row>
    <row r="3039" spans="1:10" x14ac:dyDescent="0.3">
      <c r="A3039" t="str">
        <f>_xlfn.XLOOKUP(branches[[#This Row],[Филиал]], tbl_Filialy[Филиал], tbl_Filialy[Город])</f>
        <v>Санкт-Петербург</v>
      </c>
      <c r="B3039" s="1" t="s">
        <v>38</v>
      </c>
      <c r="C3039" s="2">
        <v>45791</v>
      </c>
      <c r="D3039" s="2" t="str">
        <f>CHOOSE(MONTH(branches[[#This Row],[Дата]]),"Январь","Февраль","Март","Апрель","Май","Июнь","Июль","Август","Сентябрь","Октябрь","Ноябрь","Декабрь")&amp;" "&amp;YEAR(branches[[#This Row],[Дата]])</f>
        <v>Май 2025</v>
      </c>
      <c r="E3039" t="s">
        <v>20</v>
      </c>
      <c r="F3039" t="s">
        <v>12</v>
      </c>
      <c r="G3039">
        <v>3</v>
      </c>
      <c r="H3039">
        <v>855</v>
      </c>
      <c r="I3039" t="s">
        <v>13</v>
      </c>
      <c r="J3039" t="str">
        <f>_xlfn.XLOOKUP(branches[[#This Row],[Филиал]], tbl_Filialy[Филиал], tbl_Filialy[Менеджер])</f>
        <v>Дмитрий Волков</v>
      </c>
    </row>
    <row r="3040" spans="1:10" x14ac:dyDescent="0.3">
      <c r="A3040" t="str">
        <f>_xlfn.XLOOKUP(branches[[#This Row],[Филиал]], tbl_Filialy[Филиал], tbl_Filialy[Город])</f>
        <v>Санкт-Петербург</v>
      </c>
      <c r="B3040" s="1" t="s">
        <v>38</v>
      </c>
      <c r="C3040" s="2">
        <v>45660</v>
      </c>
      <c r="D3040" s="2" t="str">
        <f>CHOOSE(MONTH(branches[[#This Row],[Дата]]),"Январь","Февраль","Март","Апрель","Май","Июнь","Июль","Август","Сентябрь","Октябрь","Ноябрь","Декабрь")&amp;" "&amp;YEAR(branches[[#This Row],[Дата]])</f>
        <v>Январь 2025</v>
      </c>
      <c r="E3040" t="s">
        <v>18</v>
      </c>
      <c r="F3040" t="s">
        <v>12</v>
      </c>
      <c r="G3040">
        <v>1</v>
      </c>
      <c r="H3040">
        <v>135</v>
      </c>
      <c r="I3040" t="s">
        <v>15</v>
      </c>
      <c r="J3040" t="str">
        <f>_xlfn.XLOOKUP(branches[[#This Row],[Филиал]], tbl_Filialy[Филиал], tbl_Filialy[Менеджер])</f>
        <v>Дмитрий Волков</v>
      </c>
    </row>
    <row r="3041" spans="1:10" x14ac:dyDescent="0.3">
      <c r="A3041" t="str">
        <f>_xlfn.XLOOKUP(branches[[#This Row],[Филиал]], tbl_Filialy[Филиал], tbl_Filialy[Город])</f>
        <v>Санкт-Петербург</v>
      </c>
      <c r="B3041" s="1" t="s">
        <v>38</v>
      </c>
      <c r="C3041" s="2">
        <v>45936</v>
      </c>
      <c r="D3041" s="2" t="str">
        <f>CHOOSE(MONTH(branches[[#This Row],[Дата]]),"Январь","Февраль","Март","Апрель","Май","Июнь","Июль","Август","Сентябрь","Октябрь","Ноябрь","Декабрь")&amp;" "&amp;YEAR(branches[[#This Row],[Дата]])</f>
        <v>Октябрь 2025</v>
      </c>
      <c r="E3041" t="s">
        <v>20</v>
      </c>
      <c r="F3041" t="s">
        <v>12</v>
      </c>
      <c r="G3041">
        <v>1</v>
      </c>
      <c r="H3041">
        <v>279</v>
      </c>
      <c r="I3041" t="s">
        <v>13</v>
      </c>
      <c r="J3041" t="str">
        <f>_xlfn.XLOOKUP(branches[[#This Row],[Филиал]], tbl_Filialy[Филиал], tbl_Filialy[Менеджер])</f>
        <v>Дмитрий Волков</v>
      </c>
    </row>
    <row r="3042" spans="1:10" x14ac:dyDescent="0.3">
      <c r="A3042" t="str">
        <f>_xlfn.XLOOKUP(branches[[#This Row],[Филиал]], tbl_Filialy[Филиал], tbl_Filialy[Город])</f>
        <v>Санкт-Петербург</v>
      </c>
      <c r="B3042" s="1" t="s">
        <v>38</v>
      </c>
      <c r="C3042" s="2">
        <v>45729</v>
      </c>
      <c r="D3042" s="2" t="str">
        <f>CHOOSE(MONTH(branches[[#This Row],[Дата]]),"Январь","Февраль","Март","Апрель","Май","Июнь","Июль","Август","Сентябрь","Октябрь","Ноябрь","Декабрь")&amp;" "&amp;YEAR(branches[[#This Row],[Дата]])</f>
        <v>Март 2025</v>
      </c>
      <c r="E3042" t="s">
        <v>11</v>
      </c>
      <c r="F3042" t="s">
        <v>12</v>
      </c>
      <c r="G3042">
        <v>2</v>
      </c>
      <c r="H3042">
        <v>352</v>
      </c>
      <c r="I3042" t="s">
        <v>10</v>
      </c>
      <c r="J3042" t="str">
        <f>_xlfn.XLOOKUP(branches[[#This Row],[Филиал]], tbl_Filialy[Филиал], tbl_Filialy[Менеджер])</f>
        <v>Дмитрий Волков</v>
      </c>
    </row>
    <row r="3043" spans="1:10" x14ac:dyDescent="0.3">
      <c r="A3043" t="str">
        <f>_xlfn.XLOOKUP(branches[[#This Row],[Филиал]], tbl_Filialy[Филиал], tbl_Filialy[Город])</f>
        <v>Санкт-Петербург</v>
      </c>
      <c r="B3043" s="1" t="s">
        <v>38</v>
      </c>
      <c r="C3043" s="2">
        <v>45707</v>
      </c>
      <c r="D3043" s="2" t="str">
        <f>CHOOSE(MONTH(branches[[#This Row],[Дата]]),"Январь","Февраль","Март","Апрель","Май","Июнь","Июль","Август","Сентябрь","Октябрь","Ноябрь","Декабрь")&amp;" "&amp;YEAR(branches[[#This Row],[Дата]])</f>
        <v>Февраль 2025</v>
      </c>
      <c r="E3043" t="s">
        <v>27</v>
      </c>
      <c r="F3043" t="s">
        <v>12</v>
      </c>
      <c r="G3043">
        <v>1</v>
      </c>
      <c r="H3043">
        <v>189</v>
      </c>
      <c r="I3043" t="s">
        <v>13</v>
      </c>
      <c r="J3043" t="str">
        <f>_xlfn.XLOOKUP(branches[[#This Row],[Филиал]], tbl_Filialy[Филиал], tbl_Filialy[Менеджер])</f>
        <v>Дмитрий Волков</v>
      </c>
    </row>
    <row r="3044" spans="1:10" x14ac:dyDescent="0.3">
      <c r="A3044" t="str">
        <f>_xlfn.XLOOKUP(branches[[#This Row],[Филиал]], tbl_Filialy[Филиал], tbl_Filialy[Город])</f>
        <v>Санкт-Петербург</v>
      </c>
      <c r="B3044" s="1" t="s">
        <v>38</v>
      </c>
      <c r="C3044" s="2">
        <v>45974</v>
      </c>
      <c r="D3044" s="2" t="str">
        <f>CHOOSE(MONTH(branches[[#This Row],[Дата]]),"Январь","Февраль","Март","Апрель","Май","Июнь","Июль","Август","Сентябрь","Октябрь","Ноябрь","Декабрь")&amp;" "&amp;YEAR(branches[[#This Row],[Дата]])</f>
        <v>Ноябрь 2025</v>
      </c>
      <c r="E3044" t="s">
        <v>24</v>
      </c>
      <c r="F3044" t="s">
        <v>17</v>
      </c>
      <c r="G3044">
        <v>2</v>
      </c>
      <c r="H3044">
        <v>690</v>
      </c>
      <c r="I3044" t="s">
        <v>19</v>
      </c>
      <c r="J3044" t="str">
        <f>_xlfn.XLOOKUP(branches[[#This Row],[Филиал]], tbl_Filialy[Филиал], tbl_Filialy[Менеджер])</f>
        <v>Дмитрий Волков</v>
      </c>
    </row>
    <row r="3045" spans="1:10" x14ac:dyDescent="0.3">
      <c r="A3045" t="str">
        <f>_xlfn.XLOOKUP(branches[[#This Row],[Филиал]], tbl_Filialy[Филиал], tbl_Filialy[Город])</f>
        <v>Санкт-Петербург</v>
      </c>
      <c r="B3045" s="1" t="s">
        <v>38</v>
      </c>
      <c r="C3045" s="2">
        <v>45812</v>
      </c>
      <c r="D3045" s="2" t="str">
        <f>CHOOSE(MONTH(branches[[#This Row],[Дата]]),"Январь","Февраль","Март","Апрель","Май","Июнь","Июль","Август","Сентябрь","Октябрь","Ноябрь","Декабрь")&amp;" "&amp;YEAR(branches[[#This Row],[Дата]])</f>
        <v>Июнь 2025</v>
      </c>
      <c r="E3045" t="s">
        <v>22</v>
      </c>
      <c r="F3045" t="s">
        <v>9</v>
      </c>
      <c r="G3045">
        <v>1</v>
      </c>
      <c r="H3045">
        <v>181</v>
      </c>
      <c r="I3045" t="s">
        <v>15</v>
      </c>
      <c r="J3045" t="str">
        <f>_xlfn.XLOOKUP(branches[[#This Row],[Филиал]], tbl_Filialy[Филиал], tbl_Filialy[Менеджер])</f>
        <v>Дмитрий Волков</v>
      </c>
    </row>
    <row r="3046" spans="1:10" x14ac:dyDescent="0.3">
      <c r="A3046" t="str">
        <f>_xlfn.XLOOKUP(branches[[#This Row],[Филиал]], tbl_Filialy[Филиал], tbl_Filialy[Город])</f>
        <v>Санкт-Петербург</v>
      </c>
      <c r="B3046" s="1" t="s">
        <v>38</v>
      </c>
      <c r="C3046" s="2">
        <v>45835</v>
      </c>
      <c r="D3046" s="2" t="str">
        <f>CHOOSE(MONTH(branches[[#This Row],[Дата]]),"Январь","Февраль","Март","Апрель","Май","Июнь","Июль","Август","Сентябрь","Октябрь","Ноябрь","Декабрь")&amp;" "&amp;YEAR(branches[[#This Row],[Дата]])</f>
        <v>Июнь 2025</v>
      </c>
      <c r="E3046" t="s">
        <v>24</v>
      </c>
      <c r="F3046" t="s">
        <v>17</v>
      </c>
      <c r="G3046">
        <v>2</v>
      </c>
      <c r="H3046">
        <v>746</v>
      </c>
      <c r="I3046" t="s">
        <v>13</v>
      </c>
      <c r="J3046" t="str">
        <f>_xlfn.XLOOKUP(branches[[#This Row],[Филиал]], tbl_Filialy[Филиал], tbl_Filialy[Менеджер])</f>
        <v>Дмитрий Волков</v>
      </c>
    </row>
    <row r="3047" spans="1:10" x14ac:dyDescent="0.3">
      <c r="A3047" t="str">
        <f>_xlfn.XLOOKUP(branches[[#This Row],[Филиал]], tbl_Filialy[Филиал], tbl_Filialy[Город])</f>
        <v>Санкт-Петербург</v>
      </c>
      <c r="B3047" s="1" t="s">
        <v>38</v>
      </c>
      <c r="C3047" s="2">
        <v>45931</v>
      </c>
      <c r="D3047" s="2" t="str">
        <f>CHOOSE(MONTH(branches[[#This Row],[Дата]]),"Январь","Февраль","Март","Апрель","Май","Июнь","Июль","Август","Сентябрь","Октябрь","Ноябрь","Декабрь")&amp;" "&amp;YEAR(branches[[#This Row],[Дата]])</f>
        <v>Октябрь 2025</v>
      </c>
      <c r="E3047" t="s">
        <v>16</v>
      </c>
      <c r="F3047" t="s">
        <v>17</v>
      </c>
      <c r="G3047">
        <v>2</v>
      </c>
      <c r="H3047">
        <v>716</v>
      </c>
      <c r="I3047" t="s">
        <v>19</v>
      </c>
      <c r="J3047" t="str">
        <f>_xlfn.XLOOKUP(branches[[#This Row],[Филиал]], tbl_Filialy[Филиал], tbl_Filialy[Менеджер])</f>
        <v>Дмитрий Волков</v>
      </c>
    </row>
    <row r="3048" spans="1:10" x14ac:dyDescent="0.3">
      <c r="A3048" t="str">
        <f>_xlfn.XLOOKUP(branches[[#This Row],[Филиал]], tbl_Filialy[Филиал], tbl_Filialy[Город])</f>
        <v>Санкт-Петербург</v>
      </c>
      <c r="B3048" s="1" t="s">
        <v>38</v>
      </c>
      <c r="C3048" s="2">
        <v>45890</v>
      </c>
      <c r="D3048" s="2" t="str">
        <f>CHOOSE(MONTH(branches[[#This Row],[Дата]]),"Январь","Февраль","Март","Апрель","Май","Июнь","Июль","Август","Сентябрь","Октябрь","Ноябрь","Декабрь")&amp;" "&amp;YEAR(branches[[#This Row],[Дата]])</f>
        <v>Август 2025</v>
      </c>
      <c r="E3048" t="s">
        <v>28</v>
      </c>
      <c r="F3048" t="s">
        <v>12</v>
      </c>
      <c r="G3048">
        <v>3</v>
      </c>
      <c r="H3048">
        <v>699</v>
      </c>
      <c r="I3048" t="s">
        <v>10</v>
      </c>
      <c r="J3048" t="str">
        <f>_xlfn.XLOOKUP(branches[[#This Row],[Филиал]], tbl_Filialy[Филиал], tbl_Filialy[Менеджер])</f>
        <v>Дмитрий Волков</v>
      </c>
    </row>
    <row r="3049" spans="1:10" x14ac:dyDescent="0.3">
      <c r="A3049" t="str">
        <f>_xlfn.XLOOKUP(branches[[#This Row],[Филиал]], tbl_Filialy[Филиал], tbl_Filialy[Город])</f>
        <v>Санкт-Петербург</v>
      </c>
      <c r="B3049" s="1" t="s">
        <v>38</v>
      </c>
      <c r="C3049" s="2">
        <v>45796</v>
      </c>
      <c r="D3049" s="2" t="str">
        <f>CHOOSE(MONTH(branches[[#This Row],[Дата]]),"Январь","Февраль","Март","Апрель","Май","Июнь","Июль","Август","Сентябрь","Октябрь","Ноябрь","Декабрь")&amp;" "&amp;YEAR(branches[[#This Row],[Дата]])</f>
        <v>Май 2025</v>
      </c>
      <c r="E3049" t="s">
        <v>18</v>
      </c>
      <c r="F3049" t="s">
        <v>12</v>
      </c>
      <c r="G3049">
        <v>3</v>
      </c>
      <c r="H3049">
        <v>363</v>
      </c>
      <c r="I3049" t="s">
        <v>19</v>
      </c>
      <c r="J3049" t="str">
        <f>_xlfn.XLOOKUP(branches[[#This Row],[Филиал]], tbl_Filialy[Филиал], tbl_Filialy[Менеджер])</f>
        <v>Дмитрий Волков</v>
      </c>
    </row>
    <row r="3050" spans="1:10" x14ac:dyDescent="0.3">
      <c r="A3050" t="str">
        <f>_xlfn.XLOOKUP(branches[[#This Row],[Филиал]], tbl_Filialy[Филиал], tbl_Filialy[Город])</f>
        <v>Санкт-Петербург</v>
      </c>
      <c r="B3050" s="1" t="s">
        <v>38</v>
      </c>
      <c r="C3050" s="2">
        <v>45812</v>
      </c>
      <c r="D3050" s="2" t="str">
        <f>CHOOSE(MONTH(branches[[#This Row],[Дата]]),"Январь","Февраль","Март","Апрель","Май","Июнь","Июль","Август","Сентябрь","Октябрь","Ноябрь","Декабрь")&amp;" "&amp;YEAR(branches[[#This Row],[Дата]])</f>
        <v>Июнь 2025</v>
      </c>
      <c r="E3050" t="s">
        <v>24</v>
      </c>
      <c r="F3050" t="s">
        <v>17</v>
      </c>
      <c r="G3050">
        <v>3</v>
      </c>
      <c r="H3050">
        <v>1161</v>
      </c>
      <c r="I3050" t="s">
        <v>10</v>
      </c>
      <c r="J3050" t="str">
        <f>_xlfn.XLOOKUP(branches[[#This Row],[Филиал]], tbl_Filialy[Филиал], tbl_Filialy[Менеджер])</f>
        <v>Дмитрий Волков</v>
      </c>
    </row>
    <row r="3051" spans="1:10" x14ac:dyDescent="0.3">
      <c r="A3051" t="str">
        <f>_xlfn.XLOOKUP(branches[[#This Row],[Филиал]], tbl_Filialy[Филиал], tbl_Filialy[Город])</f>
        <v>Санкт-Петербург</v>
      </c>
      <c r="B3051" s="1" t="s">
        <v>38</v>
      </c>
      <c r="C3051" s="2">
        <v>45921</v>
      </c>
      <c r="D3051" s="2" t="str">
        <f>CHOOSE(MONTH(branches[[#This Row],[Дата]]),"Январь","Февраль","Март","Апрель","Май","Июнь","Июль","Август","Сентябрь","Октябрь","Ноябрь","Декабрь")&amp;" "&amp;YEAR(branches[[#This Row],[Дата]])</f>
        <v>Сентябрь 2025</v>
      </c>
      <c r="E3051" t="s">
        <v>25</v>
      </c>
      <c r="F3051" t="s">
        <v>12</v>
      </c>
      <c r="G3051">
        <v>2</v>
      </c>
      <c r="H3051">
        <v>468</v>
      </c>
      <c r="I3051" t="s">
        <v>19</v>
      </c>
      <c r="J3051" t="str">
        <f>_xlfn.XLOOKUP(branches[[#This Row],[Филиал]], tbl_Filialy[Филиал], tbl_Filialy[Менеджер])</f>
        <v>Дмитрий Волков</v>
      </c>
    </row>
    <row r="3052" spans="1:10" x14ac:dyDescent="0.3">
      <c r="A3052" t="str">
        <f>_xlfn.XLOOKUP(branches[[#This Row],[Филиал]], tbl_Filialy[Филиал], tbl_Filialy[Город])</f>
        <v>Санкт-Петербург</v>
      </c>
      <c r="B3052" s="1" t="s">
        <v>38</v>
      </c>
      <c r="C3052" s="2">
        <v>45835</v>
      </c>
      <c r="D3052" s="2" t="str">
        <f>CHOOSE(MONTH(branches[[#This Row],[Дата]]),"Январь","Февраль","Март","Апрель","Май","Июнь","Июль","Август","Сентябрь","Октябрь","Ноябрь","Декабрь")&amp;" "&amp;YEAR(branches[[#This Row],[Дата]])</f>
        <v>Июнь 2025</v>
      </c>
      <c r="E3052" t="s">
        <v>25</v>
      </c>
      <c r="F3052" t="s">
        <v>12</v>
      </c>
      <c r="G3052">
        <v>3</v>
      </c>
      <c r="H3052">
        <v>726</v>
      </c>
      <c r="I3052" t="s">
        <v>19</v>
      </c>
      <c r="J3052" t="str">
        <f>_xlfn.XLOOKUP(branches[[#This Row],[Филиал]], tbl_Filialy[Филиал], tbl_Filialy[Менеджер])</f>
        <v>Дмитрий Волков</v>
      </c>
    </row>
    <row r="3053" spans="1:10" x14ac:dyDescent="0.3">
      <c r="A3053" t="str">
        <f>_xlfn.XLOOKUP(branches[[#This Row],[Филиал]], tbl_Filialy[Филиал], tbl_Filialy[Город])</f>
        <v>Санкт-Петербург</v>
      </c>
      <c r="B3053" s="1" t="s">
        <v>38</v>
      </c>
      <c r="C3053" s="2">
        <v>45714</v>
      </c>
      <c r="D3053" s="2" t="str">
        <f>CHOOSE(MONTH(branches[[#This Row],[Дата]]),"Январь","Февраль","Март","Апрель","Май","Июнь","Июль","Август","Сентябрь","Октябрь","Ноябрь","Декабрь")&amp;" "&amp;YEAR(branches[[#This Row],[Дата]])</f>
        <v>Февраль 2025</v>
      </c>
      <c r="E3053" t="s">
        <v>25</v>
      </c>
      <c r="F3053" t="s">
        <v>12</v>
      </c>
      <c r="G3053">
        <v>1</v>
      </c>
      <c r="H3053">
        <v>236</v>
      </c>
      <c r="I3053" t="s">
        <v>19</v>
      </c>
      <c r="J3053" t="str">
        <f>_xlfn.XLOOKUP(branches[[#This Row],[Филиал]], tbl_Filialy[Филиал], tbl_Filialy[Менеджер])</f>
        <v>Дмитрий Волков</v>
      </c>
    </row>
    <row r="3054" spans="1:10" x14ac:dyDescent="0.3">
      <c r="A3054" t="str">
        <f>_xlfn.XLOOKUP(branches[[#This Row],[Филиал]], tbl_Filialy[Филиал], tbl_Filialy[Город])</f>
        <v>Санкт-Петербург</v>
      </c>
      <c r="B3054" s="1" t="s">
        <v>38</v>
      </c>
      <c r="C3054" s="2">
        <v>45813</v>
      </c>
      <c r="D3054" s="2" t="str">
        <f>CHOOSE(MONTH(branches[[#This Row],[Дата]]),"Январь","Февраль","Март","Апрель","Май","Июнь","Июль","Август","Сентябрь","Октябрь","Ноябрь","Декабрь")&amp;" "&amp;YEAR(branches[[#This Row],[Дата]])</f>
        <v>Июнь 2025</v>
      </c>
      <c r="E3054" t="s">
        <v>16</v>
      </c>
      <c r="F3054" t="s">
        <v>17</v>
      </c>
      <c r="G3054">
        <v>2</v>
      </c>
      <c r="H3054">
        <v>688</v>
      </c>
      <c r="I3054" t="s">
        <v>15</v>
      </c>
      <c r="J3054" t="str">
        <f>_xlfn.XLOOKUP(branches[[#This Row],[Филиал]], tbl_Filialy[Филиал], tbl_Filialy[Менеджер])</f>
        <v>Дмитрий Волков</v>
      </c>
    </row>
    <row r="3055" spans="1:10" x14ac:dyDescent="0.3">
      <c r="A3055" t="str">
        <f>_xlfn.XLOOKUP(branches[[#This Row],[Филиал]], tbl_Filialy[Филиал], tbl_Filialy[Город])</f>
        <v>Санкт-Петербург</v>
      </c>
      <c r="B3055" s="1" t="s">
        <v>38</v>
      </c>
      <c r="C3055" s="2">
        <v>45667</v>
      </c>
      <c r="D3055" s="2" t="str">
        <f>CHOOSE(MONTH(branches[[#This Row],[Дата]]),"Январь","Февраль","Март","Апрель","Май","Июнь","Июль","Август","Сентябрь","Октябрь","Ноябрь","Декабрь")&amp;" "&amp;YEAR(branches[[#This Row],[Дата]])</f>
        <v>Январь 2025</v>
      </c>
      <c r="E3055" t="s">
        <v>25</v>
      </c>
      <c r="F3055" t="s">
        <v>12</v>
      </c>
      <c r="G3055">
        <v>3</v>
      </c>
      <c r="H3055">
        <v>723</v>
      </c>
      <c r="I3055" t="s">
        <v>23</v>
      </c>
      <c r="J3055" t="str">
        <f>_xlfn.XLOOKUP(branches[[#This Row],[Филиал]], tbl_Filialy[Филиал], tbl_Filialy[Менеджер])</f>
        <v>Дмитрий Волков</v>
      </c>
    </row>
    <row r="3056" spans="1:10" x14ac:dyDescent="0.3">
      <c r="A3056" t="str">
        <f>_xlfn.XLOOKUP(branches[[#This Row],[Филиал]], tbl_Filialy[Филиал], tbl_Filialy[Город])</f>
        <v>Санкт-Петербург</v>
      </c>
      <c r="B3056" s="1" t="s">
        <v>38</v>
      </c>
      <c r="C3056" s="2">
        <v>45758</v>
      </c>
      <c r="D3056" s="2" t="str">
        <f>CHOOSE(MONTH(branches[[#This Row],[Дата]]),"Январь","Февраль","Март","Апрель","Май","Июнь","Июль","Август","Сентябрь","Октябрь","Ноябрь","Декабрь")&amp;" "&amp;YEAR(branches[[#This Row],[Дата]])</f>
        <v>Апрель 2025</v>
      </c>
      <c r="E3056" t="s">
        <v>24</v>
      </c>
      <c r="F3056" t="s">
        <v>17</v>
      </c>
      <c r="G3056">
        <v>1</v>
      </c>
      <c r="H3056">
        <v>336</v>
      </c>
      <c r="I3056" t="s">
        <v>19</v>
      </c>
      <c r="J3056" t="str">
        <f>_xlfn.XLOOKUP(branches[[#This Row],[Филиал]], tbl_Filialy[Филиал], tbl_Filialy[Менеджер])</f>
        <v>Дмитрий Волков</v>
      </c>
    </row>
    <row r="3057" spans="1:10" x14ac:dyDescent="0.3">
      <c r="A3057" t="str">
        <f>_xlfn.XLOOKUP(branches[[#This Row],[Филиал]], tbl_Filialy[Филиал], tbl_Filialy[Город])</f>
        <v>Санкт-Петербург</v>
      </c>
      <c r="B3057" s="1" t="s">
        <v>38</v>
      </c>
      <c r="C3057" s="2">
        <v>45977</v>
      </c>
      <c r="D3057" s="2" t="str">
        <f>CHOOSE(MONTH(branches[[#This Row],[Дата]]),"Январь","Февраль","Март","Апрель","Май","Июнь","Июль","Август","Сентябрь","Октябрь","Ноябрь","Декабрь")&amp;" "&amp;YEAR(branches[[#This Row],[Дата]])</f>
        <v>Ноябрь 2025</v>
      </c>
      <c r="E3057" t="s">
        <v>11</v>
      </c>
      <c r="F3057" t="s">
        <v>12</v>
      </c>
      <c r="G3057">
        <v>1</v>
      </c>
      <c r="H3057">
        <v>163</v>
      </c>
      <c r="I3057" t="s">
        <v>19</v>
      </c>
      <c r="J3057" t="str">
        <f>_xlfn.XLOOKUP(branches[[#This Row],[Филиал]], tbl_Filialy[Филиал], tbl_Filialy[Менеджер])</f>
        <v>Дмитрий Волков</v>
      </c>
    </row>
    <row r="3058" spans="1:10" x14ac:dyDescent="0.3">
      <c r="A3058" t="str">
        <f>_xlfn.XLOOKUP(branches[[#This Row],[Филиал]], tbl_Filialy[Филиал], tbl_Filialy[Город])</f>
        <v>Санкт-Петербург</v>
      </c>
      <c r="B3058" s="1" t="s">
        <v>38</v>
      </c>
      <c r="C3058" s="2">
        <v>45887</v>
      </c>
      <c r="D3058" s="2" t="str">
        <f>CHOOSE(MONTH(branches[[#This Row],[Дата]]),"Январь","Февраль","Март","Апрель","Май","Июнь","Июль","Август","Сентябрь","Октябрь","Ноябрь","Декабрь")&amp;" "&amp;YEAR(branches[[#This Row],[Дата]])</f>
        <v>Август 2025</v>
      </c>
      <c r="E3058" t="s">
        <v>27</v>
      </c>
      <c r="F3058" t="s">
        <v>12</v>
      </c>
      <c r="G3058">
        <v>2</v>
      </c>
      <c r="H3058">
        <v>392</v>
      </c>
      <c r="I3058" t="s">
        <v>19</v>
      </c>
      <c r="J3058" t="str">
        <f>_xlfn.XLOOKUP(branches[[#This Row],[Филиал]], tbl_Filialy[Филиал], tbl_Filialy[Менеджер])</f>
        <v>Дмитрий Волков</v>
      </c>
    </row>
    <row r="3059" spans="1:10" x14ac:dyDescent="0.3">
      <c r="A3059" t="str">
        <f>_xlfn.XLOOKUP(branches[[#This Row],[Филиал]], tbl_Filialy[Филиал], tbl_Filialy[Город])</f>
        <v>Санкт-Петербург</v>
      </c>
      <c r="B3059" s="1" t="s">
        <v>38</v>
      </c>
      <c r="C3059" s="2">
        <v>45884</v>
      </c>
      <c r="D3059" s="2" t="str">
        <f>CHOOSE(MONTH(branches[[#This Row],[Дата]]),"Январь","Февраль","Март","Апрель","Май","Июнь","Июль","Август","Сентябрь","Октябрь","Ноябрь","Декабрь")&amp;" "&amp;YEAR(branches[[#This Row],[Дата]])</f>
        <v>Август 2025</v>
      </c>
      <c r="E3059" t="s">
        <v>24</v>
      </c>
      <c r="F3059" t="s">
        <v>17</v>
      </c>
      <c r="G3059">
        <v>1</v>
      </c>
      <c r="H3059">
        <v>352</v>
      </c>
      <c r="I3059" t="s">
        <v>19</v>
      </c>
      <c r="J3059" t="str">
        <f>_xlfn.XLOOKUP(branches[[#This Row],[Филиал]], tbl_Filialy[Филиал], tbl_Filialy[Менеджер])</f>
        <v>Дмитрий Волков</v>
      </c>
    </row>
    <row r="3060" spans="1:10" x14ac:dyDescent="0.3">
      <c r="A3060" t="str">
        <f>_xlfn.XLOOKUP(branches[[#This Row],[Филиал]], tbl_Filialy[Филиал], tbl_Filialy[Город])</f>
        <v>Санкт-Петербург</v>
      </c>
      <c r="B3060" s="1" t="s">
        <v>38</v>
      </c>
      <c r="C3060" s="2">
        <v>45971</v>
      </c>
      <c r="D3060" s="2" t="str">
        <f>CHOOSE(MONTH(branches[[#This Row],[Дата]]),"Январь","Февраль","Март","Апрель","Май","Июнь","Июль","Август","Сентябрь","Октябрь","Ноябрь","Декабрь")&amp;" "&amp;YEAR(branches[[#This Row],[Дата]])</f>
        <v>Ноябрь 2025</v>
      </c>
      <c r="E3060" t="s">
        <v>18</v>
      </c>
      <c r="F3060" t="s">
        <v>12</v>
      </c>
      <c r="G3060">
        <v>1</v>
      </c>
      <c r="H3060">
        <v>148</v>
      </c>
      <c r="I3060" t="s">
        <v>10</v>
      </c>
      <c r="J3060" t="str">
        <f>_xlfn.XLOOKUP(branches[[#This Row],[Филиал]], tbl_Filialy[Филиал], tbl_Filialy[Менеджер])</f>
        <v>Дмитрий Волков</v>
      </c>
    </row>
    <row r="3061" spans="1:10" x14ac:dyDescent="0.3">
      <c r="A3061" t="str">
        <f>_xlfn.XLOOKUP(branches[[#This Row],[Филиал]], tbl_Filialy[Филиал], tbl_Filialy[Город])</f>
        <v>Санкт-Петербург</v>
      </c>
      <c r="B3061" s="1" t="s">
        <v>38</v>
      </c>
      <c r="C3061" s="2">
        <v>45979</v>
      </c>
      <c r="D3061" s="2" t="str">
        <f>CHOOSE(MONTH(branches[[#This Row],[Дата]]),"Январь","Февраль","Март","Апрель","Май","Июнь","Июль","Август","Сентябрь","Октябрь","Ноябрь","Декабрь")&amp;" "&amp;YEAR(branches[[#This Row],[Дата]])</f>
        <v>Ноябрь 2025</v>
      </c>
      <c r="E3061" t="s">
        <v>22</v>
      </c>
      <c r="F3061" t="s">
        <v>9</v>
      </c>
      <c r="G3061">
        <v>2</v>
      </c>
      <c r="H3061">
        <v>354</v>
      </c>
      <c r="I3061" t="s">
        <v>15</v>
      </c>
      <c r="J3061" t="str">
        <f>_xlfn.XLOOKUP(branches[[#This Row],[Филиал]], tbl_Filialy[Филиал], tbl_Filialy[Менеджер])</f>
        <v>Дмитрий Волков</v>
      </c>
    </row>
    <row r="3062" spans="1:10" x14ac:dyDescent="0.3">
      <c r="A3062" t="str">
        <f>_xlfn.XLOOKUP(branches[[#This Row],[Филиал]], tbl_Filialy[Филиал], tbl_Filialy[Город])</f>
        <v>Санкт-Петербург</v>
      </c>
      <c r="B3062" s="1" t="s">
        <v>38</v>
      </c>
      <c r="C3062" s="2">
        <v>45886</v>
      </c>
      <c r="D3062" s="2" t="str">
        <f>CHOOSE(MONTH(branches[[#This Row],[Дата]]),"Январь","Февраль","Март","Апрель","Май","Июнь","Июль","Август","Сентябрь","Октябрь","Ноябрь","Декабрь")&amp;" "&amp;YEAR(branches[[#This Row],[Дата]])</f>
        <v>Август 2025</v>
      </c>
      <c r="E3062" t="s">
        <v>18</v>
      </c>
      <c r="F3062" t="s">
        <v>12</v>
      </c>
      <c r="G3062">
        <v>1</v>
      </c>
      <c r="H3062">
        <v>133</v>
      </c>
      <c r="I3062" t="s">
        <v>10</v>
      </c>
      <c r="J3062" t="str">
        <f>_xlfn.XLOOKUP(branches[[#This Row],[Филиал]], tbl_Filialy[Филиал], tbl_Filialy[Менеджер])</f>
        <v>Дмитрий Волков</v>
      </c>
    </row>
    <row r="3063" spans="1:10" x14ac:dyDescent="0.3">
      <c r="A3063" t="str">
        <f>_xlfn.XLOOKUP(branches[[#This Row],[Филиал]], tbl_Filialy[Филиал], tbl_Filialy[Город])</f>
        <v>Санкт-Петербург</v>
      </c>
      <c r="B3063" s="1" t="s">
        <v>38</v>
      </c>
      <c r="C3063" s="2">
        <v>45862</v>
      </c>
      <c r="D3063" s="2" t="str">
        <f>CHOOSE(MONTH(branches[[#This Row],[Дата]]),"Январь","Февраль","Март","Апрель","Май","Июнь","Июль","Август","Сентябрь","Октябрь","Ноябрь","Декабрь")&amp;" "&amp;YEAR(branches[[#This Row],[Дата]])</f>
        <v>Июль 2025</v>
      </c>
      <c r="E3063" t="s">
        <v>25</v>
      </c>
      <c r="F3063" t="s">
        <v>12</v>
      </c>
      <c r="G3063">
        <v>3</v>
      </c>
      <c r="H3063">
        <v>597</v>
      </c>
      <c r="I3063" t="s">
        <v>13</v>
      </c>
      <c r="J3063" t="str">
        <f>_xlfn.XLOOKUP(branches[[#This Row],[Филиал]], tbl_Filialy[Филиал], tbl_Filialy[Менеджер])</f>
        <v>Дмитрий Волков</v>
      </c>
    </row>
    <row r="3064" spans="1:10" x14ac:dyDescent="0.3">
      <c r="A3064" t="str">
        <f>_xlfn.XLOOKUP(branches[[#This Row],[Филиал]], tbl_Filialy[Филиал], tbl_Filialy[Город])</f>
        <v>Санкт-Петербург</v>
      </c>
      <c r="B3064" s="1" t="s">
        <v>38</v>
      </c>
      <c r="C3064" s="2">
        <v>45873</v>
      </c>
      <c r="D3064" s="2" t="str">
        <f>CHOOSE(MONTH(branches[[#This Row],[Дата]]),"Январь","Февраль","Март","Апрель","Май","Июнь","Июль","Август","Сентябрь","Октябрь","Ноябрь","Декабрь")&amp;" "&amp;YEAR(branches[[#This Row],[Дата]])</f>
        <v>Август 2025</v>
      </c>
      <c r="E3064" t="s">
        <v>16</v>
      </c>
      <c r="F3064" t="s">
        <v>17</v>
      </c>
      <c r="G3064">
        <v>1</v>
      </c>
      <c r="H3064">
        <v>312</v>
      </c>
      <c r="I3064" t="s">
        <v>21</v>
      </c>
      <c r="J3064" t="str">
        <f>_xlfn.XLOOKUP(branches[[#This Row],[Филиал]], tbl_Filialy[Филиал], tbl_Filialy[Менеджер])</f>
        <v>Дмитрий Волков</v>
      </c>
    </row>
    <row r="3065" spans="1:10" x14ac:dyDescent="0.3">
      <c r="A3065" t="str">
        <f>_xlfn.XLOOKUP(branches[[#This Row],[Филиал]], tbl_Filialy[Филиал], tbl_Filialy[Город])</f>
        <v>Санкт-Петербург</v>
      </c>
      <c r="B3065" s="1" t="s">
        <v>38</v>
      </c>
      <c r="C3065" s="2">
        <v>45743</v>
      </c>
      <c r="D3065" s="2" t="str">
        <f>CHOOSE(MONTH(branches[[#This Row],[Дата]]),"Январь","Февраль","Март","Апрель","Май","Июнь","Июль","Август","Сентябрь","Октябрь","Ноябрь","Декабрь")&amp;" "&amp;YEAR(branches[[#This Row],[Дата]])</f>
        <v>Март 2025</v>
      </c>
      <c r="E3065" t="s">
        <v>20</v>
      </c>
      <c r="F3065" t="s">
        <v>12</v>
      </c>
      <c r="G3065">
        <v>1</v>
      </c>
      <c r="H3065">
        <v>288</v>
      </c>
      <c r="I3065" t="s">
        <v>10</v>
      </c>
      <c r="J3065" t="str">
        <f>_xlfn.XLOOKUP(branches[[#This Row],[Филиал]], tbl_Filialy[Филиал], tbl_Filialy[Менеджер])</f>
        <v>Дмитрий Волков</v>
      </c>
    </row>
    <row r="3066" spans="1:10" x14ac:dyDescent="0.3">
      <c r="A3066" t="str">
        <f>_xlfn.XLOOKUP(branches[[#This Row],[Филиал]], tbl_Filialy[Филиал], tbl_Filialy[Город])</f>
        <v>Санкт-Петербург</v>
      </c>
      <c r="B3066" s="1" t="s">
        <v>38</v>
      </c>
      <c r="C3066" s="2">
        <v>45875</v>
      </c>
      <c r="D3066" s="2" t="str">
        <f>CHOOSE(MONTH(branches[[#This Row],[Дата]]),"Январь","Февраль","Март","Апрель","Май","Июнь","Июль","Август","Сентябрь","Октябрь","Ноябрь","Декабрь")&amp;" "&amp;YEAR(branches[[#This Row],[Дата]])</f>
        <v>Август 2025</v>
      </c>
      <c r="E3066" t="s">
        <v>20</v>
      </c>
      <c r="F3066" t="s">
        <v>12</v>
      </c>
      <c r="G3066">
        <v>1</v>
      </c>
      <c r="H3066">
        <v>299</v>
      </c>
      <c r="I3066" t="s">
        <v>23</v>
      </c>
      <c r="J3066" t="str">
        <f>_xlfn.XLOOKUP(branches[[#This Row],[Филиал]], tbl_Filialy[Филиал], tbl_Filialy[Менеджер])</f>
        <v>Дмитрий Волков</v>
      </c>
    </row>
    <row r="3067" spans="1:10" x14ac:dyDescent="0.3">
      <c r="A3067" t="str">
        <f>_xlfn.XLOOKUP(branches[[#This Row],[Филиал]], tbl_Filialy[Филиал], tbl_Filialy[Город])</f>
        <v>Санкт-Петербург</v>
      </c>
      <c r="B3067" s="1" t="s">
        <v>38</v>
      </c>
      <c r="C3067" s="2">
        <v>45931</v>
      </c>
      <c r="D3067" s="2" t="str">
        <f>CHOOSE(MONTH(branches[[#This Row],[Дата]]),"Январь","Февраль","Март","Апрель","Май","Июнь","Июль","Август","Сентябрь","Октябрь","Ноябрь","Декабрь")&amp;" "&amp;YEAR(branches[[#This Row],[Дата]])</f>
        <v>Октябрь 2025</v>
      </c>
      <c r="E3067" t="s">
        <v>22</v>
      </c>
      <c r="F3067" t="s">
        <v>9</v>
      </c>
      <c r="G3067">
        <v>2</v>
      </c>
      <c r="H3067">
        <v>392</v>
      </c>
      <c r="I3067" t="s">
        <v>10</v>
      </c>
      <c r="J3067" t="str">
        <f>_xlfn.XLOOKUP(branches[[#This Row],[Филиал]], tbl_Filialy[Филиал], tbl_Filialy[Менеджер])</f>
        <v>Дмитрий Волков</v>
      </c>
    </row>
    <row r="3068" spans="1:10" x14ac:dyDescent="0.3">
      <c r="A3068" t="str">
        <f>_xlfn.XLOOKUP(branches[[#This Row],[Филиал]], tbl_Filialy[Филиал], tbl_Filialy[Город])</f>
        <v>Санкт-Петербург</v>
      </c>
      <c r="B3068" s="1" t="s">
        <v>38</v>
      </c>
      <c r="C3068" s="2">
        <v>45662</v>
      </c>
      <c r="D3068" s="2" t="str">
        <f>CHOOSE(MONTH(branches[[#This Row],[Дата]]),"Январь","Февраль","Март","Апрель","Май","Июнь","Июль","Август","Сентябрь","Октябрь","Ноябрь","Декабрь")&amp;" "&amp;YEAR(branches[[#This Row],[Дата]])</f>
        <v>Январь 2025</v>
      </c>
      <c r="E3068" t="s">
        <v>8</v>
      </c>
      <c r="F3068" t="s">
        <v>9</v>
      </c>
      <c r="G3068">
        <v>1</v>
      </c>
      <c r="H3068">
        <v>271</v>
      </c>
      <c r="I3068" t="s">
        <v>19</v>
      </c>
      <c r="J3068" t="str">
        <f>_xlfn.XLOOKUP(branches[[#This Row],[Филиал]], tbl_Filialy[Филиал], tbl_Filialy[Менеджер])</f>
        <v>Дмитрий Волков</v>
      </c>
    </row>
    <row r="3069" spans="1:10" x14ac:dyDescent="0.3">
      <c r="A3069" t="str">
        <f>_xlfn.XLOOKUP(branches[[#This Row],[Филиал]], tbl_Filialy[Филиал], tbl_Filialy[Город])</f>
        <v>Санкт-Петербург</v>
      </c>
      <c r="B3069" s="1" t="s">
        <v>38</v>
      </c>
      <c r="C3069" s="2">
        <v>45906</v>
      </c>
      <c r="D3069" s="2" t="str">
        <f>CHOOSE(MONTH(branches[[#This Row],[Дата]]),"Январь","Февраль","Март","Апрель","Май","Июнь","Июль","Август","Сентябрь","Октябрь","Ноябрь","Декабрь")&amp;" "&amp;YEAR(branches[[#This Row],[Дата]])</f>
        <v>Сентябрь 2025</v>
      </c>
      <c r="E3069" t="s">
        <v>26</v>
      </c>
      <c r="F3069" t="s">
        <v>9</v>
      </c>
      <c r="G3069">
        <v>2</v>
      </c>
      <c r="H3069">
        <v>430</v>
      </c>
      <c r="I3069" t="s">
        <v>21</v>
      </c>
      <c r="J3069" t="str">
        <f>_xlfn.XLOOKUP(branches[[#This Row],[Филиал]], tbl_Filialy[Филиал], tbl_Filialy[Менеджер])</f>
        <v>Дмитрий Волков</v>
      </c>
    </row>
    <row r="3070" spans="1:10" x14ac:dyDescent="0.3">
      <c r="A3070" t="str">
        <f>_xlfn.XLOOKUP(branches[[#This Row],[Филиал]], tbl_Filialy[Филиал], tbl_Filialy[Город])</f>
        <v>Санкт-Петербург</v>
      </c>
      <c r="B3070" s="1" t="s">
        <v>38</v>
      </c>
      <c r="C3070" s="2">
        <v>45923</v>
      </c>
      <c r="D3070" s="2" t="str">
        <f>CHOOSE(MONTH(branches[[#This Row],[Дата]]),"Январь","Февраль","Март","Апрель","Май","Июнь","Июль","Август","Сентябрь","Октябрь","Ноябрь","Декабрь")&amp;" "&amp;YEAR(branches[[#This Row],[Дата]])</f>
        <v>Сентябрь 2025</v>
      </c>
      <c r="E3070" t="s">
        <v>26</v>
      </c>
      <c r="F3070" t="s">
        <v>9</v>
      </c>
      <c r="G3070">
        <v>3</v>
      </c>
      <c r="H3070">
        <v>684</v>
      </c>
      <c r="I3070" t="s">
        <v>23</v>
      </c>
      <c r="J3070" t="str">
        <f>_xlfn.XLOOKUP(branches[[#This Row],[Филиал]], tbl_Filialy[Филиал], tbl_Filialy[Менеджер])</f>
        <v>Дмитрий Волков</v>
      </c>
    </row>
    <row r="3071" spans="1:10" x14ac:dyDescent="0.3">
      <c r="A3071" t="str">
        <f>_xlfn.XLOOKUP(branches[[#This Row],[Филиал]], tbl_Filialy[Филиал], tbl_Filialy[Город])</f>
        <v>Санкт-Петербург</v>
      </c>
      <c r="B3071" s="1" t="s">
        <v>38</v>
      </c>
      <c r="C3071" s="2">
        <v>45669</v>
      </c>
      <c r="D3071" s="2" t="str">
        <f>CHOOSE(MONTH(branches[[#This Row],[Дата]]),"Январь","Февраль","Март","Апрель","Май","Июнь","Июль","Август","Сентябрь","Октябрь","Ноябрь","Декабрь")&amp;" "&amp;YEAR(branches[[#This Row],[Дата]])</f>
        <v>Январь 2025</v>
      </c>
      <c r="E3071" t="s">
        <v>28</v>
      </c>
      <c r="F3071" t="s">
        <v>12</v>
      </c>
      <c r="G3071">
        <v>3</v>
      </c>
      <c r="H3071">
        <v>645</v>
      </c>
      <c r="I3071" t="s">
        <v>15</v>
      </c>
      <c r="J3071" t="str">
        <f>_xlfn.XLOOKUP(branches[[#This Row],[Филиал]], tbl_Filialy[Филиал], tbl_Filialy[Менеджер])</f>
        <v>Дмитрий Волков</v>
      </c>
    </row>
    <row r="3072" spans="1:10" x14ac:dyDescent="0.3">
      <c r="A3072" t="str">
        <f>_xlfn.XLOOKUP(branches[[#This Row],[Филиал]], tbl_Filialy[Филиал], tbl_Filialy[Город])</f>
        <v>Санкт-Петербург</v>
      </c>
      <c r="B3072" s="1" t="s">
        <v>38</v>
      </c>
      <c r="C3072" s="2">
        <v>45700</v>
      </c>
      <c r="D3072" s="2" t="str">
        <f>CHOOSE(MONTH(branches[[#This Row],[Дата]]),"Январь","Февраль","Март","Апрель","Май","Июнь","Июль","Август","Сентябрь","Октябрь","Ноябрь","Декабрь")&amp;" "&amp;YEAR(branches[[#This Row],[Дата]])</f>
        <v>Февраль 2025</v>
      </c>
      <c r="E3072" t="s">
        <v>18</v>
      </c>
      <c r="F3072" t="s">
        <v>12</v>
      </c>
      <c r="G3072">
        <v>1</v>
      </c>
      <c r="H3072">
        <v>124</v>
      </c>
      <c r="I3072" t="s">
        <v>10</v>
      </c>
      <c r="J3072" t="str">
        <f>_xlfn.XLOOKUP(branches[[#This Row],[Филиал]], tbl_Filialy[Филиал], tbl_Filialy[Менеджер])</f>
        <v>Дмитрий Волков</v>
      </c>
    </row>
    <row r="3073" spans="1:10" x14ac:dyDescent="0.3">
      <c r="A3073" t="str">
        <f>_xlfn.XLOOKUP(branches[[#This Row],[Филиал]], tbl_Filialy[Филиал], tbl_Filialy[Город])</f>
        <v>Санкт-Петербург</v>
      </c>
      <c r="B3073" s="1" t="s">
        <v>38</v>
      </c>
      <c r="C3073" s="2">
        <v>45936</v>
      </c>
      <c r="D3073" s="2" t="str">
        <f>CHOOSE(MONTH(branches[[#This Row],[Дата]]),"Январь","Февраль","Март","Апрель","Май","Июнь","Июль","Август","Сентябрь","Октябрь","Ноябрь","Декабрь")&amp;" "&amp;YEAR(branches[[#This Row],[Дата]])</f>
        <v>Октябрь 2025</v>
      </c>
      <c r="E3073" t="s">
        <v>20</v>
      </c>
      <c r="F3073" t="s">
        <v>12</v>
      </c>
      <c r="G3073">
        <v>1</v>
      </c>
      <c r="H3073">
        <v>315</v>
      </c>
      <c r="I3073" t="s">
        <v>15</v>
      </c>
      <c r="J3073" t="str">
        <f>_xlfn.XLOOKUP(branches[[#This Row],[Филиал]], tbl_Filialy[Филиал], tbl_Filialy[Менеджер])</f>
        <v>Дмитрий Волков</v>
      </c>
    </row>
    <row r="3074" spans="1:10" x14ac:dyDescent="0.3">
      <c r="A3074" t="str">
        <f>_xlfn.XLOOKUP(branches[[#This Row],[Филиал]], tbl_Filialy[Филиал], tbl_Filialy[Город])</f>
        <v>Санкт-Петербург</v>
      </c>
      <c r="B3074" s="1" t="s">
        <v>38</v>
      </c>
      <c r="C3074" s="2">
        <v>45743</v>
      </c>
      <c r="D3074" s="2" t="str">
        <f>CHOOSE(MONTH(branches[[#This Row],[Дата]]),"Январь","Февраль","Март","Апрель","Май","Июнь","Июль","Август","Сентябрь","Октябрь","Ноябрь","Декабрь")&amp;" "&amp;YEAR(branches[[#This Row],[Дата]])</f>
        <v>Март 2025</v>
      </c>
      <c r="E3074" t="s">
        <v>18</v>
      </c>
      <c r="F3074" t="s">
        <v>12</v>
      </c>
      <c r="G3074">
        <v>2</v>
      </c>
      <c r="H3074">
        <v>266</v>
      </c>
      <c r="I3074" t="s">
        <v>15</v>
      </c>
      <c r="J3074" t="str">
        <f>_xlfn.XLOOKUP(branches[[#This Row],[Филиал]], tbl_Filialy[Филиал], tbl_Filialy[Менеджер])</f>
        <v>Дмитрий Волков</v>
      </c>
    </row>
    <row r="3075" spans="1:10" x14ac:dyDescent="0.3">
      <c r="A3075" t="str">
        <f>_xlfn.XLOOKUP(branches[[#This Row],[Филиал]], tbl_Filialy[Филиал], tbl_Filialy[Город])</f>
        <v>Санкт-Петербург</v>
      </c>
      <c r="B3075" s="1" t="s">
        <v>38</v>
      </c>
      <c r="C3075" s="2">
        <v>45886</v>
      </c>
      <c r="D3075" s="2" t="str">
        <f>CHOOSE(MONTH(branches[[#This Row],[Дата]]),"Январь","Февраль","Март","Апрель","Май","Июнь","Июль","Август","Сентябрь","Октябрь","Ноябрь","Декабрь")&amp;" "&amp;YEAR(branches[[#This Row],[Дата]])</f>
        <v>Август 2025</v>
      </c>
      <c r="E3075" t="s">
        <v>28</v>
      </c>
      <c r="F3075" t="s">
        <v>12</v>
      </c>
      <c r="G3075">
        <v>2</v>
      </c>
      <c r="H3075">
        <v>446</v>
      </c>
      <c r="I3075" t="s">
        <v>23</v>
      </c>
      <c r="J3075" t="str">
        <f>_xlfn.XLOOKUP(branches[[#This Row],[Филиал]], tbl_Filialy[Филиал], tbl_Filialy[Менеджер])</f>
        <v>Дмитрий Волков</v>
      </c>
    </row>
    <row r="3076" spans="1:10" x14ac:dyDescent="0.3">
      <c r="A3076" t="str">
        <f>_xlfn.XLOOKUP(branches[[#This Row],[Филиал]], tbl_Filialy[Филиал], tbl_Filialy[Город])</f>
        <v>Санкт-Петербург</v>
      </c>
      <c r="B3076" s="1" t="s">
        <v>38</v>
      </c>
      <c r="C3076" s="2">
        <v>45802</v>
      </c>
      <c r="D3076" s="2" t="str">
        <f>CHOOSE(MONTH(branches[[#This Row],[Дата]]),"Январь","Февраль","Март","Апрель","Май","Июнь","Июль","Август","Сентябрь","Октябрь","Ноябрь","Декабрь")&amp;" "&amp;YEAR(branches[[#This Row],[Дата]])</f>
        <v>Май 2025</v>
      </c>
      <c r="E3076" t="s">
        <v>22</v>
      </c>
      <c r="F3076" t="s">
        <v>9</v>
      </c>
      <c r="G3076">
        <v>1</v>
      </c>
      <c r="H3076">
        <v>164</v>
      </c>
      <c r="I3076" t="s">
        <v>15</v>
      </c>
      <c r="J3076" t="str">
        <f>_xlfn.XLOOKUP(branches[[#This Row],[Филиал]], tbl_Filialy[Филиал], tbl_Filialy[Менеджер])</f>
        <v>Дмитрий Волков</v>
      </c>
    </row>
    <row r="3077" spans="1:10" x14ac:dyDescent="0.3">
      <c r="A3077" t="str">
        <f>_xlfn.XLOOKUP(branches[[#This Row],[Филиал]], tbl_Filialy[Филиал], tbl_Filialy[Город])</f>
        <v>Санкт-Петербург</v>
      </c>
      <c r="B3077" s="1" t="s">
        <v>38</v>
      </c>
      <c r="C3077" s="2">
        <v>45760</v>
      </c>
      <c r="D3077" s="2" t="str">
        <f>CHOOSE(MONTH(branches[[#This Row],[Дата]]),"Январь","Февраль","Март","Апрель","Май","Июнь","Июль","Август","Сентябрь","Октябрь","Ноябрь","Декабрь")&amp;" "&amp;YEAR(branches[[#This Row],[Дата]])</f>
        <v>Апрель 2025</v>
      </c>
      <c r="E3077" t="s">
        <v>16</v>
      </c>
      <c r="F3077" t="s">
        <v>17</v>
      </c>
      <c r="G3077">
        <v>1</v>
      </c>
      <c r="H3077">
        <v>334</v>
      </c>
      <c r="I3077" t="s">
        <v>10</v>
      </c>
      <c r="J3077" t="str">
        <f>_xlfn.XLOOKUP(branches[[#This Row],[Филиал]], tbl_Filialy[Филиал], tbl_Filialy[Менеджер])</f>
        <v>Дмитрий Волков</v>
      </c>
    </row>
    <row r="3078" spans="1:10" x14ac:dyDescent="0.3">
      <c r="A3078" t="str">
        <f>_xlfn.XLOOKUP(branches[[#This Row],[Филиал]], tbl_Filialy[Филиал], tbl_Filialy[Город])</f>
        <v>Санкт-Петербург</v>
      </c>
      <c r="B3078" s="1" t="s">
        <v>38</v>
      </c>
      <c r="C3078" s="2">
        <v>45805</v>
      </c>
      <c r="D3078" s="2" t="str">
        <f>CHOOSE(MONTH(branches[[#This Row],[Дата]]),"Январь","Февраль","Март","Апрель","Май","Июнь","Июль","Август","Сентябрь","Октябрь","Ноябрь","Декабрь")&amp;" "&amp;YEAR(branches[[#This Row],[Дата]])</f>
        <v>Май 2025</v>
      </c>
      <c r="E3078" t="s">
        <v>28</v>
      </c>
      <c r="F3078" t="s">
        <v>12</v>
      </c>
      <c r="G3078">
        <v>1</v>
      </c>
      <c r="H3078">
        <v>200</v>
      </c>
      <c r="I3078" t="s">
        <v>21</v>
      </c>
      <c r="J3078" t="str">
        <f>_xlfn.XLOOKUP(branches[[#This Row],[Филиал]], tbl_Filialy[Филиал], tbl_Filialy[Менеджер])</f>
        <v>Дмитрий Волков</v>
      </c>
    </row>
    <row r="3079" spans="1:10" x14ac:dyDescent="0.3">
      <c r="A3079" t="str">
        <f>_xlfn.XLOOKUP(branches[[#This Row],[Филиал]], tbl_Filialy[Филиал], tbl_Filialy[Город])</f>
        <v>Санкт-Петербург</v>
      </c>
      <c r="B3079" s="1" t="s">
        <v>38</v>
      </c>
      <c r="C3079" s="2">
        <v>45789</v>
      </c>
      <c r="D3079" s="2" t="str">
        <f>CHOOSE(MONTH(branches[[#This Row],[Дата]]),"Январь","Февраль","Март","Апрель","Май","Июнь","Июль","Август","Сентябрь","Октябрь","Ноябрь","Декабрь")&amp;" "&amp;YEAR(branches[[#This Row],[Дата]])</f>
        <v>Май 2025</v>
      </c>
      <c r="E3079" t="s">
        <v>16</v>
      </c>
      <c r="F3079" t="s">
        <v>17</v>
      </c>
      <c r="G3079">
        <v>1</v>
      </c>
      <c r="H3079">
        <v>322</v>
      </c>
      <c r="I3079" t="s">
        <v>15</v>
      </c>
      <c r="J3079" t="str">
        <f>_xlfn.XLOOKUP(branches[[#This Row],[Филиал]], tbl_Filialy[Филиал], tbl_Filialy[Менеджер])</f>
        <v>Дмитрий Волков</v>
      </c>
    </row>
    <row r="3080" spans="1:10" x14ac:dyDescent="0.3">
      <c r="A3080" t="str">
        <f>_xlfn.XLOOKUP(branches[[#This Row],[Филиал]], tbl_Filialy[Филиал], tbl_Filialy[Город])</f>
        <v>Санкт-Петербург</v>
      </c>
      <c r="B3080" s="1" t="s">
        <v>38</v>
      </c>
      <c r="C3080" s="2">
        <v>45768</v>
      </c>
      <c r="D3080" s="2" t="str">
        <f>CHOOSE(MONTH(branches[[#This Row],[Дата]]),"Январь","Февраль","Март","Апрель","Май","Июнь","Июль","Август","Сентябрь","Октябрь","Ноябрь","Декабрь")&amp;" "&amp;YEAR(branches[[#This Row],[Дата]])</f>
        <v>Апрель 2025</v>
      </c>
      <c r="E3080" t="s">
        <v>16</v>
      </c>
      <c r="F3080" t="s">
        <v>17</v>
      </c>
      <c r="G3080">
        <v>1</v>
      </c>
      <c r="H3080">
        <v>283</v>
      </c>
      <c r="I3080" t="s">
        <v>15</v>
      </c>
      <c r="J3080" t="str">
        <f>_xlfn.XLOOKUP(branches[[#This Row],[Филиал]], tbl_Filialy[Филиал], tbl_Filialy[Менеджер])</f>
        <v>Дмитрий Волков</v>
      </c>
    </row>
    <row r="3081" spans="1:10" x14ac:dyDescent="0.3">
      <c r="A3081" t="str">
        <f>_xlfn.XLOOKUP(branches[[#This Row],[Филиал]], tbl_Filialy[Филиал], tbl_Filialy[Город])</f>
        <v>Санкт-Петербург</v>
      </c>
      <c r="B3081" s="1" t="s">
        <v>38</v>
      </c>
      <c r="C3081" s="2">
        <v>45934</v>
      </c>
      <c r="D3081" s="2" t="str">
        <f>CHOOSE(MONTH(branches[[#This Row],[Дата]]),"Январь","Февраль","Март","Апрель","Май","Июнь","Июль","Август","Сентябрь","Октябрь","Ноябрь","Декабрь")&amp;" "&amp;YEAR(branches[[#This Row],[Дата]])</f>
        <v>Октябрь 2025</v>
      </c>
      <c r="E3081" t="s">
        <v>20</v>
      </c>
      <c r="F3081" t="s">
        <v>12</v>
      </c>
      <c r="G3081">
        <v>1</v>
      </c>
      <c r="H3081">
        <v>258</v>
      </c>
      <c r="I3081" t="s">
        <v>23</v>
      </c>
      <c r="J3081" t="str">
        <f>_xlfn.XLOOKUP(branches[[#This Row],[Филиал]], tbl_Filialy[Филиал], tbl_Filialy[Менеджер])</f>
        <v>Дмитрий Волков</v>
      </c>
    </row>
    <row r="3082" spans="1:10" x14ac:dyDescent="0.3">
      <c r="A3082" t="str">
        <f>_xlfn.XLOOKUP(branches[[#This Row],[Филиал]], tbl_Filialy[Филиал], tbl_Filialy[Город])</f>
        <v>Санкт-Петербург</v>
      </c>
      <c r="B3082" s="1" t="s">
        <v>38</v>
      </c>
      <c r="C3082" s="2">
        <v>46009</v>
      </c>
      <c r="D3082" s="2" t="str">
        <f>CHOOSE(MONTH(branches[[#This Row],[Дата]]),"Январь","Февраль","Март","Апрель","Май","Июнь","Июль","Август","Сентябрь","Октябрь","Ноябрь","Декабрь")&amp;" "&amp;YEAR(branches[[#This Row],[Дата]])</f>
        <v>Декабрь 2025</v>
      </c>
      <c r="E3082" t="s">
        <v>22</v>
      </c>
      <c r="F3082" t="s">
        <v>9</v>
      </c>
      <c r="G3082">
        <v>1</v>
      </c>
      <c r="H3082">
        <v>180</v>
      </c>
      <c r="I3082" t="s">
        <v>13</v>
      </c>
      <c r="J3082" t="str">
        <f>_xlfn.XLOOKUP(branches[[#This Row],[Филиал]], tbl_Filialy[Филиал], tbl_Filialy[Менеджер])</f>
        <v>Дмитрий Волков</v>
      </c>
    </row>
    <row r="3083" spans="1:10" x14ac:dyDescent="0.3">
      <c r="A3083" t="str">
        <f>_xlfn.XLOOKUP(branches[[#This Row],[Филиал]], tbl_Filialy[Филиал], tbl_Filialy[Город])</f>
        <v>Санкт-Петербург</v>
      </c>
      <c r="B3083" s="1" t="s">
        <v>38</v>
      </c>
      <c r="C3083" s="2">
        <v>45920</v>
      </c>
      <c r="D3083" s="2" t="str">
        <f>CHOOSE(MONTH(branches[[#This Row],[Дата]]),"Январь","Февраль","Март","Апрель","Май","Июнь","Июль","Август","Сентябрь","Октябрь","Ноябрь","Декабрь")&amp;" "&amp;YEAR(branches[[#This Row],[Дата]])</f>
        <v>Сентябрь 2025</v>
      </c>
      <c r="E3083" t="s">
        <v>16</v>
      </c>
      <c r="F3083" t="s">
        <v>17</v>
      </c>
      <c r="G3083">
        <v>2</v>
      </c>
      <c r="H3083">
        <v>598</v>
      </c>
      <c r="I3083" t="s">
        <v>23</v>
      </c>
      <c r="J3083" t="str">
        <f>_xlfn.XLOOKUP(branches[[#This Row],[Филиал]], tbl_Filialy[Филиал], tbl_Filialy[Менеджер])</f>
        <v>Дмитрий Волков</v>
      </c>
    </row>
    <row r="3084" spans="1:10" x14ac:dyDescent="0.3">
      <c r="A3084" t="str">
        <f>_xlfn.XLOOKUP(branches[[#This Row],[Филиал]], tbl_Filialy[Филиал], tbl_Filialy[Город])</f>
        <v>Санкт-Петербург</v>
      </c>
      <c r="B3084" s="1" t="s">
        <v>38</v>
      </c>
      <c r="C3084" s="2">
        <v>45715</v>
      </c>
      <c r="D3084" s="2" t="str">
        <f>CHOOSE(MONTH(branches[[#This Row],[Дата]]),"Январь","Февраль","Март","Апрель","Май","Июнь","Июль","Август","Сентябрь","Октябрь","Ноябрь","Декабрь")&amp;" "&amp;YEAR(branches[[#This Row],[Дата]])</f>
        <v>Февраль 2025</v>
      </c>
      <c r="E3084" t="s">
        <v>20</v>
      </c>
      <c r="F3084" t="s">
        <v>12</v>
      </c>
      <c r="G3084">
        <v>1</v>
      </c>
      <c r="H3084">
        <v>256</v>
      </c>
      <c r="I3084" t="s">
        <v>13</v>
      </c>
      <c r="J3084" t="str">
        <f>_xlfn.XLOOKUP(branches[[#This Row],[Филиал]], tbl_Filialy[Филиал], tbl_Filialy[Менеджер])</f>
        <v>Дмитрий Волков</v>
      </c>
    </row>
    <row r="3085" spans="1:10" x14ac:dyDescent="0.3">
      <c r="A3085" t="str">
        <f>_xlfn.XLOOKUP(branches[[#This Row],[Филиал]], tbl_Filialy[Филиал], tbl_Filialy[Город])</f>
        <v>Санкт-Петербург</v>
      </c>
      <c r="B3085" s="1" t="s">
        <v>38</v>
      </c>
      <c r="C3085" s="2">
        <v>45695</v>
      </c>
      <c r="D3085" s="2" t="str">
        <f>CHOOSE(MONTH(branches[[#This Row],[Дата]]),"Январь","Февраль","Март","Апрель","Май","Июнь","Июль","Август","Сентябрь","Октябрь","Ноябрь","Декабрь")&amp;" "&amp;YEAR(branches[[#This Row],[Дата]])</f>
        <v>Февраль 2025</v>
      </c>
      <c r="E3085" t="s">
        <v>28</v>
      </c>
      <c r="F3085" t="s">
        <v>12</v>
      </c>
      <c r="G3085">
        <v>1</v>
      </c>
      <c r="H3085">
        <v>204</v>
      </c>
      <c r="I3085" t="s">
        <v>13</v>
      </c>
      <c r="J3085" t="str">
        <f>_xlfn.XLOOKUP(branches[[#This Row],[Филиал]], tbl_Filialy[Филиал], tbl_Filialy[Менеджер])</f>
        <v>Дмитрий Волков</v>
      </c>
    </row>
    <row r="3086" spans="1:10" x14ac:dyDescent="0.3">
      <c r="A3086" t="str">
        <f>_xlfn.XLOOKUP(branches[[#This Row],[Филиал]], tbl_Filialy[Филиал], tbl_Filialy[Город])</f>
        <v>Санкт-Петербург</v>
      </c>
      <c r="B3086" s="1" t="s">
        <v>38</v>
      </c>
      <c r="C3086" s="2">
        <v>45969</v>
      </c>
      <c r="D3086" s="2" t="str">
        <f>CHOOSE(MONTH(branches[[#This Row],[Дата]]),"Январь","Февраль","Март","Апрель","Май","Июнь","Июль","Август","Сентябрь","Октябрь","Ноябрь","Декабрь")&amp;" "&amp;YEAR(branches[[#This Row],[Дата]])</f>
        <v>Ноябрь 2025</v>
      </c>
      <c r="E3086" t="s">
        <v>27</v>
      </c>
      <c r="F3086" t="s">
        <v>12</v>
      </c>
      <c r="G3086">
        <v>1</v>
      </c>
      <c r="H3086">
        <v>226</v>
      </c>
      <c r="I3086" t="s">
        <v>13</v>
      </c>
      <c r="J3086" t="str">
        <f>_xlfn.XLOOKUP(branches[[#This Row],[Филиал]], tbl_Filialy[Филиал], tbl_Filialy[Менеджер])</f>
        <v>Дмитрий Волков</v>
      </c>
    </row>
    <row r="3087" spans="1:10" x14ac:dyDescent="0.3">
      <c r="A3087" t="str">
        <f>_xlfn.XLOOKUP(branches[[#This Row],[Филиал]], tbl_Filialy[Филиал], tbl_Filialy[Город])</f>
        <v>Санкт-Петербург</v>
      </c>
      <c r="B3087" s="1" t="s">
        <v>38</v>
      </c>
      <c r="C3087" s="2">
        <v>45840</v>
      </c>
      <c r="D3087" s="2" t="str">
        <f>CHOOSE(MONTH(branches[[#This Row],[Дата]]),"Январь","Февраль","Март","Апрель","Май","Июнь","Июль","Август","Сентябрь","Октябрь","Ноябрь","Декабрь")&amp;" "&amp;YEAR(branches[[#This Row],[Дата]])</f>
        <v>Июль 2025</v>
      </c>
      <c r="E3087" t="s">
        <v>8</v>
      </c>
      <c r="F3087" t="s">
        <v>9</v>
      </c>
      <c r="G3087">
        <v>2</v>
      </c>
      <c r="H3087">
        <v>502</v>
      </c>
      <c r="I3087" t="s">
        <v>10</v>
      </c>
      <c r="J3087" t="str">
        <f>_xlfn.XLOOKUP(branches[[#This Row],[Филиал]], tbl_Filialy[Филиал], tbl_Filialy[Менеджер])</f>
        <v>Дмитрий Волков</v>
      </c>
    </row>
    <row r="3088" spans="1:10" x14ac:dyDescent="0.3">
      <c r="A3088" t="str">
        <f>_xlfn.XLOOKUP(branches[[#This Row],[Филиал]], tbl_Filialy[Филиал], tbl_Filialy[Город])</f>
        <v>Санкт-Петербург</v>
      </c>
      <c r="B3088" s="1" t="s">
        <v>38</v>
      </c>
      <c r="C3088" s="2">
        <v>45965</v>
      </c>
      <c r="D3088" s="2" t="str">
        <f>CHOOSE(MONTH(branches[[#This Row],[Дата]]),"Январь","Февраль","Март","Апрель","Май","Июнь","Июль","Август","Сентябрь","Октябрь","Ноябрь","Декабрь")&amp;" "&amp;YEAR(branches[[#This Row],[Дата]])</f>
        <v>Ноябрь 2025</v>
      </c>
      <c r="E3088" t="s">
        <v>11</v>
      </c>
      <c r="F3088" t="s">
        <v>12</v>
      </c>
      <c r="G3088">
        <v>1</v>
      </c>
      <c r="H3088">
        <v>163</v>
      </c>
      <c r="I3088" t="s">
        <v>13</v>
      </c>
      <c r="J3088" t="str">
        <f>_xlfn.XLOOKUP(branches[[#This Row],[Филиал]], tbl_Filialy[Филиал], tbl_Filialy[Менеджер])</f>
        <v>Дмитрий Волков</v>
      </c>
    </row>
    <row r="3089" spans="1:10" x14ac:dyDescent="0.3">
      <c r="A3089" t="str">
        <f>_xlfn.XLOOKUP(branches[[#This Row],[Филиал]], tbl_Filialy[Филиал], tbl_Filialy[Город])</f>
        <v>Санкт-Петербург</v>
      </c>
      <c r="B3089" s="1" t="s">
        <v>38</v>
      </c>
      <c r="C3089" s="2">
        <v>45760</v>
      </c>
      <c r="D3089" s="2" t="str">
        <f>CHOOSE(MONTH(branches[[#This Row],[Дата]]),"Январь","Февраль","Март","Апрель","Май","Июнь","Июль","Август","Сентябрь","Октябрь","Ноябрь","Декабрь")&amp;" "&amp;YEAR(branches[[#This Row],[Дата]])</f>
        <v>Апрель 2025</v>
      </c>
      <c r="E3089" t="s">
        <v>18</v>
      </c>
      <c r="F3089" t="s">
        <v>12</v>
      </c>
      <c r="G3089">
        <v>1</v>
      </c>
      <c r="H3089">
        <v>158</v>
      </c>
      <c r="I3089" t="s">
        <v>13</v>
      </c>
      <c r="J3089" t="str">
        <f>_xlfn.XLOOKUP(branches[[#This Row],[Филиал]], tbl_Filialy[Филиал], tbl_Filialy[Менеджер])</f>
        <v>Дмитрий Волков</v>
      </c>
    </row>
    <row r="3090" spans="1:10" x14ac:dyDescent="0.3">
      <c r="A3090" t="str">
        <f>_xlfn.XLOOKUP(branches[[#This Row],[Филиал]], tbl_Filialy[Филиал], tbl_Filialy[Город])</f>
        <v>Санкт-Петербург</v>
      </c>
      <c r="B3090" s="1" t="s">
        <v>38</v>
      </c>
      <c r="C3090" s="2">
        <v>45946</v>
      </c>
      <c r="D3090" s="2" t="str">
        <f>CHOOSE(MONTH(branches[[#This Row],[Дата]]),"Январь","Февраль","Март","Апрель","Май","Июнь","Июль","Август","Сентябрь","Октябрь","Ноябрь","Декабрь")&amp;" "&amp;YEAR(branches[[#This Row],[Дата]])</f>
        <v>Октябрь 2025</v>
      </c>
      <c r="E3090" t="s">
        <v>18</v>
      </c>
      <c r="F3090" t="s">
        <v>12</v>
      </c>
      <c r="G3090">
        <v>1</v>
      </c>
      <c r="H3090">
        <v>129</v>
      </c>
      <c r="I3090" t="s">
        <v>23</v>
      </c>
      <c r="J3090" t="str">
        <f>_xlfn.XLOOKUP(branches[[#This Row],[Филиал]], tbl_Filialy[Филиал], tbl_Filialy[Менеджер])</f>
        <v>Дмитрий Волков</v>
      </c>
    </row>
    <row r="3091" spans="1:10" x14ac:dyDescent="0.3">
      <c r="A3091" t="str">
        <f>_xlfn.XLOOKUP(branches[[#This Row],[Филиал]], tbl_Filialy[Филиал], tbl_Filialy[Город])</f>
        <v>Санкт-Петербург</v>
      </c>
      <c r="B3091" s="1" t="s">
        <v>38</v>
      </c>
      <c r="C3091" s="2">
        <v>45865</v>
      </c>
      <c r="D3091" s="2" t="str">
        <f>CHOOSE(MONTH(branches[[#This Row],[Дата]]),"Январь","Февраль","Март","Апрель","Май","Июнь","Июль","Август","Сентябрь","Октябрь","Ноябрь","Декабрь")&amp;" "&amp;YEAR(branches[[#This Row],[Дата]])</f>
        <v>Июль 2025</v>
      </c>
      <c r="E3091" t="s">
        <v>28</v>
      </c>
      <c r="F3091" t="s">
        <v>12</v>
      </c>
      <c r="G3091">
        <v>1</v>
      </c>
      <c r="H3091">
        <v>234</v>
      </c>
      <c r="I3091" t="s">
        <v>13</v>
      </c>
      <c r="J3091" t="str">
        <f>_xlfn.XLOOKUP(branches[[#This Row],[Филиал]], tbl_Filialy[Филиал], tbl_Filialy[Менеджер])</f>
        <v>Дмитрий Волков</v>
      </c>
    </row>
    <row r="3092" spans="1:10" x14ac:dyDescent="0.3">
      <c r="A3092" t="str">
        <f>_xlfn.XLOOKUP(branches[[#This Row],[Филиал]], tbl_Filialy[Филиал], tbl_Filialy[Город])</f>
        <v>Санкт-Петербург</v>
      </c>
      <c r="B3092" s="1" t="s">
        <v>38</v>
      </c>
      <c r="C3092" s="2">
        <v>45966</v>
      </c>
      <c r="D3092" s="2" t="str">
        <f>CHOOSE(MONTH(branches[[#This Row],[Дата]]),"Январь","Февраль","Март","Апрель","Май","Июнь","Июль","Август","Сентябрь","Октябрь","Ноябрь","Декабрь")&amp;" "&amp;YEAR(branches[[#This Row],[Дата]])</f>
        <v>Ноябрь 2025</v>
      </c>
      <c r="E3092" t="s">
        <v>18</v>
      </c>
      <c r="F3092" t="s">
        <v>12</v>
      </c>
      <c r="G3092">
        <v>1</v>
      </c>
      <c r="H3092">
        <v>121</v>
      </c>
      <c r="I3092" t="s">
        <v>23</v>
      </c>
      <c r="J3092" t="str">
        <f>_xlfn.XLOOKUP(branches[[#This Row],[Филиал]], tbl_Filialy[Филиал], tbl_Filialy[Менеджер])</f>
        <v>Дмитрий Волков</v>
      </c>
    </row>
    <row r="3093" spans="1:10" x14ac:dyDescent="0.3">
      <c r="A3093" t="str">
        <f>_xlfn.XLOOKUP(branches[[#This Row],[Филиал]], tbl_Filialy[Филиал], tbl_Filialy[Город])</f>
        <v>Санкт-Петербург</v>
      </c>
      <c r="B3093" s="1" t="s">
        <v>38</v>
      </c>
      <c r="C3093" s="2">
        <v>45710</v>
      </c>
      <c r="D3093" s="2" t="str">
        <f>CHOOSE(MONTH(branches[[#This Row],[Дата]]),"Январь","Февраль","Март","Апрель","Май","Июнь","Июль","Август","Сентябрь","Октябрь","Ноябрь","Декабрь")&amp;" "&amp;YEAR(branches[[#This Row],[Дата]])</f>
        <v>Февраль 2025</v>
      </c>
      <c r="E3093" t="s">
        <v>11</v>
      </c>
      <c r="F3093" t="s">
        <v>12</v>
      </c>
      <c r="G3093">
        <v>1</v>
      </c>
      <c r="H3093">
        <v>160</v>
      </c>
      <c r="I3093" t="s">
        <v>21</v>
      </c>
      <c r="J3093" t="str">
        <f>_xlfn.XLOOKUP(branches[[#This Row],[Филиал]], tbl_Filialy[Филиал], tbl_Filialy[Менеджер])</f>
        <v>Дмитрий Волков</v>
      </c>
    </row>
    <row r="3094" spans="1:10" x14ac:dyDescent="0.3">
      <c r="A3094" t="str">
        <f>_xlfn.XLOOKUP(branches[[#This Row],[Филиал]], tbl_Filialy[Филиал], tbl_Filialy[Город])</f>
        <v>Санкт-Петербург</v>
      </c>
      <c r="B3094" s="1" t="s">
        <v>38</v>
      </c>
      <c r="C3094" s="2">
        <v>45788</v>
      </c>
      <c r="D3094" s="2" t="str">
        <f>CHOOSE(MONTH(branches[[#This Row],[Дата]]),"Январь","Февраль","Март","Апрель","Май","Июнь","Июль","Август","Сентябрь","Октябрь","Ноябрь","Декабрь")&amp;" "&amp;YEAR(branches[[#This Row],[Дата]])</f>
        <v>Май 2025</v>
      </c>
      <c r="E3094" t="s">
        <v>28</v>
      </c>
      <c r="F3094" t="s">
        <v>12</v>
      </c>
      <c r="G3094">
        <v>1</v>
      </c>
      <c r="H3094">
        <v>241</v>
      </c>
      <c r="I3094" t="s">
        <v>23</v>
      </c>
      <c r="J3094" t="str">
        <f>_xlfn.XLOOKUP(branches[[#This Row],[Филиал]], tbl_Filialy[Филиал], tbl_Filialy[Менеджер])</f>
        <v>Дмитрий Волков</v>
      </c>
    </row>
    <row r="3095" spans="1:10" x14ac:dyDescent="0.3">
      <c r="A3095" t="str">
        <f>_xlfn.XLOOKUP(branches[[#This Row],[Филиал]], tbl_Filialy[Филиал], tbl_Filialy[Город])</f>
        <v>Санкт-Петербург</v>
      </c>
      <c r="B3095" s="1" t="s">
        <v>38</v>
      </c>
      <c r="C3095" s="2">
        <v>45701</v>
      </c>
      <c r="D3095" s="2" t="str">
        <f>CHOOSE(MONTH(branches[[#This Row],[Дата]]),"Январь","Февраль","Март","Апрель","Май","Июнь","Июль","Август","Сентябрь","Октябрь","Ноябрь","Декабрь")&amp;" "&amp;YEAR(branches[[#This Row],[Дата]])</f>
        <v>Февраль 2025</v>
      </c>
      <c r="E3095" t="s">
        <v>16</v>
      </c>
      <c r="F3095" t="s">
        <v>17</v>
      </c>
      <c r="G3095">
        <v>2</v>
      </c>
      <c r="H3095">
        <v>564</v>
      </c>
      <c r="I3095" t="s">
        <v>13</v>
      </c>
      <c r="J3095" t="str">
        <f>_xlfn.XLOOKUP(branches[[#This Row],[Филиал]], tbl_Filialy[Филиал], tbl_Filialy[Менеджер])</f>
        <v>Дмитрий Волков</v>
      </c>
    </row>
    <row r="3096" spans="1:10" x14ac:dyDescent="0.3">
      <c r="A3096" t="str">
        <f>_xlfn.XLOOKUP(branches[[#This Row],[Филиал]], tbl_Filialy[Филиал], tbl_Filialy[Город])</f>
        <v>Санкт-Петербург</v>
      </c>
      <c r="B3096" s="1" t="s">
        <v>38</v>
      </c>
      <c r="C3096" s="2">
        <v>45862</v>
      </c>
      <c r="D3096" s="2" t="str">
        <f>CHOOSE(MONTH(branches[[#This Row],[Дата]]),"Январь","Февраль","Март","Апрель","Май","Июнь","Июль","Август","Сентябрь","Октябрь","Ноябрь","Декабрь")&amp;" "&amp;YEAR(branches[[#This Row],[Дата]])</f>
        <v>Июль 2025</v>
      </c>
      <c r="E3096" t="s">
        <v>20</v>
      </c>
      <c r="F3096" t="s">
        <v>12</v>
      </c>
      <c r="G3096">
        <v>2</v>
      </c>
      <c r="H3096">
        <v>628</v>
      </c>
      <c r="I3096" t="s">
        <v>19</v>
      </c>
      <c r="J3096" t="str">
        <f>_xlfn.XLOOKUP(branches[[#This Row],[Филиал]], tbl_Filialy[Филиал], tbl_Filialy[Менеджер])</f>
        <v>Дмитрий Волков</v>
      </c>
    </row>
    <row r="3097" spans="1:10" x14ac:dyDescent="0.3">
      <c r="A3097" t="str">
        <f>_xlfn.XLOOKUP(branches[[#This Row],[Филиал]], tbl_Filialy[Филиал], tbl_Filialy[Город])</f>
        <v>Санкт-Петербург</v>
      </c>
      <c r="B3097" s="1" t="s">
        <v>38</v>
      </c>
      <c r="C3097" s="2">
        <v>45901</v>
      </c>
      <c r="D3097" s="2" t="str">
        <f>CHOOSE(MONTH(branches[[#This Row],[Дата]]),"Январь","Февраль","Март","Апрель","Май","Июнь","Июль","Август","Сентябрь","Октябрь","Ноябрь","Декабрь")&amp;" "&amp;YEAR(branches[[#This Row],[Дата]])</f>
        <v>Сентябрь 2025</v>
      </c>
      <c r="E3097" t="s">
        <v>25</v>
      </c>
      <c r="F3097" t="s">
        <v>12</v>
      </c>
      <c r="G3097">
        <v>1</v>
      </c>
      <c r="H3097">
        <v>207</v>
      </c>
      <c r="I3097" t="s">
        <v>13</v>
      </c>
      <c r="J3097" t="str">
        <f>_xlfn.XLOOKUP(branches[[#This Row],[Филиал]], tbl_Filialy[Филиал], tbl_Filialy[Менеджер])</f>
        <v>Дмитрий Волков</v>
      </c>
    </row>
    <row r="3098" spans="1:10" x14ac:dyDescent="0.3">
      <c r="A3098" t="str">
        <f>_xlfn.XLOOKUP(branches[[#This Row],[Филиал]], tbl_Filialy[Филиал], tbl_Filialy[Город])</f>
        <v>Санкт-Петербург</v>
      </c>
      <c r="B3098" s="1" t="s">
        <v>38</v>
      </c>
      <c r="C3098" s="2">
        <v>45996</v>
      </c>
      <c r="D3098" s="2" t="str">
        <f>CHOOSE(MONTH(branches[[#This Row],[Дата]]),"Январь","Февраль","Март","Апрель","Май","Июнь","Июль","Август","Сентябрь","Октябрь","Ноябрь","Декабрь")&amp;" "&amp;YEAR(branches[[#This Row],[Дата]])</f>
        <v>Декабрь 2025</v>
      </c>
      <c r="E3098" t="s">
        <v>14</v>
      </c>
      <c r="F3098" t="s">
        <v>12</v>
      </c>
      <c r="G3098">
        <v>2</v>
      </c>
      <c r="H3098">
        <v>478</v>
      </c>
      <c r="I3098" t="s">
        <v>10</v>
      </c>
      <c r="J3098" t="str">
        <f>_xlfn.XLOOKUP(branches[[#This Row],[Филиал]], tbl_Filialy[Филиал], tbl_Filialy[Менеджер])</f>
        <v>Дмитрий Волков</v>
      </c>
    </row>
    <row r="3099" spans="1:10" x14ac:dyDescent="0.3">
      <c r="A3099" t="str">
        <f>_xlfn.XLOOKUP(branches[[#This Row],[Филиал]], tbl_Filialy[Филиал], tbl_Filialy[Город])</f>
        <v>Санкт-Петербург</v>
      </c>
      <c r="B3099" s="1" t="s">
        <v>38</v>
      </c>
      <c r="C3099" s="2">
        <v>45768</v>
      </c>
      <c r="D3099" s="2" t="str">
        <f>CHOOSE(MONTH(branches[[#This Row],[Дата]]),"Январь","Февраль","Март","Апрель","Май","Июнь","Июль","Август","Сентябрь","Октябрь","Ноябрь","Декабрь")&amp;" "&amp;YEAR(branches[[#This Row],[Дата]])</f>
        <v>Апрель 2025</v>
      </c>
      <c r="E3099" t="s">
        <v>16</v>
      </c>
      <c r="F3099" t="s">
        <v>17</v>
      </c>
      <c r="G3099">
        <v>1</v>
      </c>
      <c r="H3099">
        <v>351</v>
      </c>
      <c r="I3099" t="s">
        <v>19</v>
      </c>
      <c r="J3099" t="str">
        <f>_xlfn.XLOOKUP(branches[[#This Row],[Филиал]], tbl_Filialy[Филиал], tbl_Filialy[Менеджер])</f>
        <v>Дмитрий Волков</v>
      </c>
    </row>
    <row r="3100" spans="1:10" x14ac:dyDescent="0.3">
      <c r="A3100" t="str">
        <f>_xlfn.XLOOKUP(branches[[#This Row],[Филиал]], tbl_Filialy[Филиал], tbl_Filialy[Город])</f>
        <v>Санкт-Петербург</v>
      </c>
      <c r="B3100" s="1" t="s">
        <v>38</v>
      </c>
      <c r="C3100" s="2">
        <v>45924</v>
      </c>
      <c r="D3100" s="2" t="str">
        <f>CHOOSE(MONTH(branches[[#This Row],[Дата]]),"Январь","Февраль","Март","Апрель","Май","Июнь","Июль","Август","Сентябрь","Октябрь","Ноябрь","Декабрь")&amp;" "&amp;YEAR(branches[[#This Row],[Дата]])</f>
        <v>Сентябрь 2025</v>
      </c>
      <c r="E3100" t="s">
        <v>20</v>
      </c>
      <c r="F3100" t="s">
        <v>12</v>
      </c>
      <c r="G3100">
        <v>3</v>
      </c>
      <c r="H3100">
        <v>885</v>
      </c>
      <c r="I3100" t="s">
        <v>21</v>
      </c>
      <c r="J3100" t="str">
        <f>_xlfn.XLOOKUP(branches[[#This Row],[Филиал]], tbl_Filialy[Филиал], tbl_Filialy[Менеджер])</f>
        <v>Дмитрий Волков</v>
      </c>
    </row>
    <row r="3101" spans="1:10" x14ac:dyDescent="0.3">
      <c r="A3101" t="str">
        <f>_xlfn.XLOOKUP(branches[[#This Row],[Филиал]], tbl_Filialy[Филиал], tbl_Filialy[Город])</f>
        <v>Санкт-Петербург</v>
      </c>
      <c r="B3101" s="1" t="s">
        <v>38</v>
      </c>
      <c r="C3101" s="2">
        <v>45736</v>
      </c>
      <c r="D3101" s="2" t="str">
        <f>CHOOSE(MONTH(branches[[#This Row],[Дата]]),"Январь","Февраль","Март","Апрель","Май","Июнь","Июль","Август","Сентябрь","Октябрь","Ноябрь","Декабрь")&amp;" "&amp;YEAR(branches[[#This Row],[Дата]])</f>
        <v>Март 2025</v>
      </c>
      <c r="E3101" t="s">
        <v>8</v>
      </c>
      <c r="F3101" t="s">
        <v>9</v>
      </c>
      <c r="G3101">
        <v>1</v>
      </c>
      <c r="H3101">
        <v>241</v>
      </c>
      <c r="I3101" t="s">
        <v>19</v>
      </c>
      <c r="J3101" t="str">
        <f>_xlfn.XLOOKUP(branches[[#This Row],[Филиал]], tbl_Filialy[Филиал], tbl_Filialy[Менеджер])</f>
        <v>Дмитрий Волков</v>
      </c>
    </row>
    <row r="3102" spans="1:10" x14ac:dyDescent="0.3">
      <c r="A3102" t="str">
        <f>_xlfn.XLOOKUP(branches[[#This Row],[Филиал]], tbl_Filialy[Филиал], tbl_Filialy[Город])</f>
        <v>Санкт-Петербург</v>
      </c>
      <c r="B3102" s="1" t="s">
        <v>38</v>
      </c>
      <c r="C3102" s="2">
        <v>45939</v>
      </c>
      <c r="D3102" s="2" t="str">
        <f>CHOOSE(MONTH(branches[[#This Row],[Дата]]),"Январь","Февраль","Март","Апрель","Май","Июнь","Июль","Август","Сентябрь","Октябрь","Ноябрь","Декабрь")&amp;" "&amp;YEAR(branches[[#This Row],[Дата]])</f>
        <v>Октябрь 2025</v>
      </c>
      <c r="E3102" t="s">
        <v>20</v>
      </c>
      <c r="F3102" t="s">
        <v>12</v>
      </c>
      <c r="G3102">
        <v>1</v>
      </c>
      <c r="H3102">
        <v>296</v>
      </c>
      <c r="I3102" t="s">
        <v>15</v>
      </c>
      <c r="J3102" t="str">
        <f>_xlfn.XLOOKUP(branches[[#This Row],[Филиал]], tbl_Filialy[Филиал], tbl_Filialy[Менеджер])</f>
        <v>Дмитрий Волков</v>
      </c>
    </row>
    <row r="3103" spans="1:10" x14ac:dyDescent="0.3">
      <c r="A3103" t="str">
        <f>_xlfn.XLOOKUP(branches[[#This Row],[Филиал]], tbl_Filialy[Филиал], tbl_Filialy[Город])</f>
        <v>Санкт-Петербург</v>
      </c>
      <c r="B3103" s="1" t="s">
        <v>38</v>
      </c>
      <c r="C3103" s="2">
        <v>45938</v>
      </c>
      <c r="D3103" s="2" t="str">
        <f>CHOOSE(MONTH(branches[[#This Row],[Дата]]),"Январь","Февраль","Март","Апрель","Май","Июнь","Июль","Август","Сентябрь","Октябрь","Ноябрь","Декабрь")&amp;" "&amp;YEAR(branches[[#This Row],[Дата]])</f>
        <v>Октябрь 2025</v>
      </c>
      <c r="E3103" t="s">
        <v>26</v>
      </c>
      <c r="F3103" t="s">
        <v>9</v>
      </c>
      <c r="G3103">
        <v>2</v>
      </c>
      <c r="H3103">
        <v>468</v>
      </c>
      <c r="I3103" t="s">
        <v>10</v>
      </c>
      <c r="J3103" t="str">
        <f>_xlfn.XLOOKUP(branches[[#This Row],[Филиал]], tbl_Filialy[Филиал], tbl_Filialy[Менеджер])</f>
        <v>Дмитрий Волков</v>
      </c>
    </row>
    <row r="3104" spans="1:10" x14ac:dyDescent="0.3">
      <c r="A3104" t="str">
        <f>_xlfn.XLOOKUP(branches[[#This Row],[Филиал]], tbl_Filialy[Филиал], tbl_Filialy[Город])</f>
        <v>Санкт-Петербург</v>
      </c>
      <c r="B3104" s="1" t="s">
        <v>38</v>
      </c>
      <c r="C3104" s="2">
        <v>45841</v>
      </c>
      <c r="D3104" s="2" t="str">
        <f>CHOOSE(MONTH(branches[[#This Row],[Дата]]),"Январь","Февраль","Март","Апрель","Май","Июнь","Июль","Август","Сентябрь","Октябрь","Ноябрь","Декабрь")&amp;" "&amp;YEAR(branches[[#This Row],[Дата]])</f>
        <v>Июль 2025</v>
      </c>
      <c r="E3104" t="s">
        <v>27</v>
      </c>
      <c r="F3104" t="s">
        <v>12</v>
      </c>
      <c r="G3104">
        <v>3</v>
      </c>
      <c r="H3104">
        <v>702</v>
      </c>
      <c r="I3104" t="s">
        <v>10</v>
      </c>
      <c r="J3104" t="str">
        <f>_xlfn.XLOOKUP(branches[[#This Row],[Филиал]], tbl_Filialy[Филиал], tbl_Filialy[Менеджер])</f>
        <v>Дмитрий Волков</v>
      </c>
    </row>
    <row r="3105" spans="1:10" x14ac:dyDescent="0.3">
      <c r="A3105" t="str">
        <f>_xlfn.XLOOKUP(branches[[#This Row],[Филиал]], tbl_Filialy[Филиал], tbl_Filialy[Город])</f>
        <v>Санкт-Петербург</v>
      </c>
      <c r="B3105" s="1" t="s">
        <v>38</v>
      </c>
      <c r="C3105" s="2">
        <v>45943</v>
      </c>
      <c r="D3105" s="2" t="str">
        <f>CHOOSE(MONTH(branches[[#This Row],[Дата]]),"Январь","Февраль","Март","Апрель","Май","Июнь","Июль","Август","Сентябрь","Октябрь","Ноябрь","Декабрь")&amp;" "&amp;YEAR(branches[[#This Row],[Дата]])</f>
        <v>Октябрь 2025</v>
      </c>
      <c r="E3105" t="s">
        <v>28</v>
      </c>
      <c r="F3105" t="s">
        <v>12</v>
      </c>
      <c r="G3105">
        <v>1</v>
      </c>
      <c r="H3105">
        <v>204</v>
      </c>
      <c r="I3105" t="s">
        <v>13</v>
      </c>
      <c r="J3105" t="str">
        <f>_xlfn.XLOOKUP(branches[[#This Row],[Филиал]], tbl_Filialy[Филиал], tbl_Filialy[Менеджер])</f>
        <v>Дмитрий Волков</v>
      </c>
    </row>
    <row r="3106" spans="1:10" x14ac:dyDescent="0.3">
      <c r="A3106" t="str">
        <f>_xlfn.XLOOKUP(branches[[#This Row],[Филиал]], tbl_Filialy[Филиал], tbl_Filialy[Город])</f>
        <v>Санкт-Петербург</v>
      </c>
      <c r="B3106" s="1" t="s">
        <v>38</v>
      </c>
      <c r="C3106" s="2">
        <v>45888</v>
      </c>
      <c r="D3106" s="2" t="str">
        <f>CHOOSE(MONTH(branches[[#This Row],[Дата]]),"Январь","Февраль","Март","Апрель","Май","Июнь","Июль","Август","Сентябрь","Октябрь","Ноябрь","Декабрь")&amp;" "&amp;YEAR(branches[[#This Row],[Дата]])</f>
        <v>Август 2025</v>
      </c>
      <c r="E3106" t="s">
        <v>14</v>
      </c>
      <c r="F3106" t="s">
        <v>12</v>
      </c>
      <c r="G3106">
        <v>2</v>
      </c>
      <c r="H3106">
        <v>528</v>
      </c>
      <c r="I3106" t="s">
        <v>21</v>
      </c>
      <c r="J3106" t="str">
        <f>_xlfn.XLOOKUP(branches[[#This Row],[Филиал]], tbl_Filialy[Филиал], tbl_Filialy[Менеджер])</f>
        <v>Дмитрий Волков</v>
      </c>
    </row>
    <row r="3107" spans="1:10" x14ac:dyDescent="0.3">
      <c r="A3107" t="str">
        <f>_xlfn.XLOOKUP(branches[[#This Row],[Филиал]], tbl_Filialy[Филиал], tbl_Filialy[Город])</f>
        <v>Санкт-Петербург</v>
      </c>
      <c r="B3107" s="1" t="s">
        <v>38</v>
      </c>
      <c r="C3107" s="2">
        <v>45720</v>
      </c>
      <c r="D3107" s="2" t="str">
        <f>CHOOSE(MONTH(branches[[#This Row],[Дата]]),"Январь","Февраль","Март","Апрель","Май","Июнь","Июль","Август","Сентябрь","Октябрь","Ноябрь","Декабрь")&amp;" "&amp;YEAR(branches[[#This Row],[Дата]])</f>
        <v>Март 2025</v>
      </c>
      <c r="E3107" t="s">
        <v>25</v>
      </c>
      <c r="F3107" t="s">
        <v>12</v>
      </c>
      <c r="G3107">
        <v>1</v>
      </c>
      <c r="H3107">
        <v>198</v>
      </c>
      <c r="I3107" t="s">
        <v>10</v>
      </c>
      <c r="J3107" t="str">
        <f>_xlfn.XLOOKUP(branches[[#This Row],[Филиал]], tbl_Filialy[Филиал], tbl_Filialy[Менеджер])</f>
        <v>Дмитрий Волков</v>
      </c>
    </row>
    <row r="3108" spans="1:10" x14ac:dyDescent="0.3">
      <c r="A3108" t="str">
        <f>_xlfn.XLOOKUP(branches[[#This Row],[Филиал]], tbl_Filialy[Филиал], tbl_Filialy[Город])</f>
        <v>Санкт-Петербург</v>
      </c>
      <c r="B3108" s="1" t="s">
        <v>38</v>
      </c>
      <c r="C3108" s="2">
        <v>45697</v>
      </c>
      <c r="D3108" s="2" t="str">
        <f>CHOOSE(MONTH(branches[[#This Row],[Дата]]),"Январь","Февраль","Март","Апрель","Май","Июнь","Июль","Август","Сентябрь","Октябрь","Ноябрь","Декабрь")&amp;" "&amp;YEAR(branches[[#This Row],[Дата]])</f>
        <v>Февраль 2025</v>
      </c>
      <c r="E3108" t="s">
        <v>22</v>
      </c>
      <c r="F3108" t="s">
        <v>9</v>
      </c>
      <c r="G3108">
        <v>1</v>
      </c>
      <c r="H3108">
        <v>165</v>
      </c>
      <c r="I3108" t="s">
        <v>15</v>
      </c>
      <c r="J3108" t="str">
        <f>_xlfn.XLOOKUP(branches[[#This Row],[Филиал]], tbl_Filialy[Филиал], tbl_Filialy[Менеджер])</f>
        <v>Дмитрий Волков</v>
      </c>
    </row>
    <row r="3109" spans="1:10" x14ac:dyDescent="0.3">
      <c r="A3109" t="str">
        <f>_xlfn.XLOOKUP(branches[[#This Row],[Филиал]], tbl_Filialy[Филиал], tbl_Filialy[Город])</f>
        <v>Санкт-Петербург</v>
      </c>
      <c r="B3109" s="1" t="s">
        <v>38</v>
      </c>
      <c r="C3109" s="2">
        <v>45855</v>
      </c>
      <c r="D3109" s="2" t="str">
        <f>CHOOSE(MONTH(branches[[#This Row],[Дата]]),"Январь","Февраль","Март","Апрель","Май","Июнь","Июль","Август","Сентябрь","Октябрь","Ноябрь","Декабрь")&amp;" "&amp;YEAR(branches[[#This Row],[Дата]])</f>
        <v>Июль 2025</v>
      </c>
      <c r="E3109" t="s">
        <v>8</v>
      </c>
      <c r="F3109" t="s">
        <v>9</v>
      </c>
      <c r="G3109">
        <v>1</v>
      </c>
      <c r="H3109">
        <v>270</v>
      </c>
      <c r="I3109" t="s">
        <v>21</v>
      </c>
      <c r="J3109" t="str">
        <f>_xlfn.XLOOKUP(branches[[#This Row],[Филиал]], tbl_Filialy[Филиал], tbl_Filialy[Менеджер])</f>
        <v>Дмитрий Волков</v>
      </c>
    </row>
    <row r="3110" spans="1:10" x14ac:dyDescent="0.3">
      <c r="A3110" t="str">
        <f>_xlfn.XLOOKUP(branches[[#This Row],[Филиал]], tbl_Filialy[Филиал], tbl_Filialy[Город])</f>
        <v>Санкт-Петербург</v>
      </c>
      <c r="B3110" s="1" t="s">
        <v>38</v>
      </c>
      <c r="C3110" s="2">
        <v>45792</v>
      </c>
      <c r="D3110" s="2" t="str">
        <f>CHOOSE(MONTH(branches[[#This Row],[Дата]]),"Январь","Февраль","Март","Апрель","Май","Июнь","Июль","Август","Сентябрь","Октябрь","Ноябрь","Декабрь")&amp;" "&amp;YEAR(branches[[#This Row],[Дата]])</f>
        <v>Май 2025</v>
      </c>
      <c r="E3110" t="s">
        <v>22</v>
      </c>
      <c r="F3110" t="s">
        <v>9</v>
      </c>
      <c r="G3110">
        <v>2</v>
      </c>
      <c r="H3110">
        <v>392</v>
      </c>
      <c r="I3110" t="s">
        <v>23</v>
      </c>
      <c r="J3110" t="str">
        <f>_xlfn.XLOOKUP(branches[[#This Row],[Филиал]], tbl_Filialy[Филиал], tbl_Filialy[Менеджер])</f>
        <v>Дмитрий Волков</v>
      </c>
    </row>
    <row r="3111" spans="1:10" x14ac:dyDescent="0.3">
      <c r="A3111" t="str">
        <f>_xlfn.XLOOKUP(branches[[#This Row],[Филиал]], tbl_Filialy[Филиал], tbl_Filialy[Город])</f>
        <v>Санкт-Петербург</v>
      </c>
      <c r="B3111" s="1" t="s">
        <v>38</v>
      </c>
      <c r="C3111" s="2">
        <v>45757</v>
      </c>
      <c r="D3111" s="2" t="str">
        <f>CHOOSE(MONTH(branches[[#This Row],[Дата]]),"Январь","Февраль","Март","Апрель","Май","Июнь","Июль","Август","Сентябрь","Октябрь","Ноябрь","Декабрь")&amp;" "&amp;YEAR(branches[[#This Row],[Дата]])</f>
        <v>Апрель 2025</v>
      </c>
      <c r="E3111" t="s">
        <v>16</v>
      </c>
      <c r="F3111" t="s">
        <v>17</v>
      </c>
      <c r="G3111">
        <v>2</v>
      </c>
      <c r="H3111">
        <v>606</v>
      </c>
      <c r="I3111" t="s">
        <v>23</v>
      </c>
      <c r="J3111" t="str">
        <f>_xlfn.XLOOKUP(branches[[#This Row],[Филиал]], tbl_Filialy[Филиал], tbl_Filialy[Менеджер])</f>
        <v>Дмитрий Волков</v>
      </c>
    </row>
    <row r="3112" spans="1:10" x14ac:dyDescent="0.3">
      <c r="A3112" t="str">
        <f>_xlfn.XLOOKUP(branches[[#This Row],[Филиал]], tbl_Filialy[Филиал], tbl_Filialy[Город])</f>
        <v>Санкт-Петербург</v>
      </c>
      <c r="B3112" s="1" t="s">
        <v>38</v>
      </c>
      <c r="C3112" s="2">
        <v>45887</v>
      </c>
      <c r="D3112" s="2" t="str">
        <f>CHOOSE(MONTH(branches[[#This Row],[Дата]]),"Январь","Февраль","Март","Апрель","Май","Июнь","Июль","Август","Сентябрь","Октябрь","Ноябрь","Декабрь")&amp;" "&amp;YEAR(branches[[#This Row],[Дата]])</f>
        <v>Август 2025</v>
      </c>
      <c r="E3112" t="s">
        <v>8</v>
      </c>
      <c r="F3112" t="s">
        <v>9</v>
      </c>
      <c r="G3112">
        <v>2</v>
      </c>
      <c r="H3112">
        <v>522</v>
      </c>
      <c r="I3112" t="s">
        <v>23</v>
      </c>
      <c r="J3112" t="str">
        <f>_xlfn.XLOOKUP(branches[[#This Row],[Филиал]], tbl_Filialy[Филиал], tbl_Filialy[Менеджер])</f>
        <v>Дмитрий Волков</v>
      </c>
    </row>
    <row r="3113" spans="1:10" x14ac:dyDescent="0.3">
      <c r="A3113" t="str">
        <f>_xlfn.XLOOKUP(branches[[#This Row],[Филиал]], tbl_Filialy[Филиал], tbl_Filialy[Город])</f>
        <v>Санкт-Петербург</v>
      </c>
      <c r="B3113" s="1" t="s">
        <v>38</v>
      </c>
      <c r="C3113" s="2">
        <v>46010</v>
      </c>
      <c r="D3113" s="2" t="str">
        <f>CHOOSE(MONTH(branches[[#This Row],[Дата]]),"Январь","Февраль","Март","Апрель","Май","Июнь","Июль","Август","Сентябрь","Октябрь","Ноябрь","Декабрь")&amp;" "&amp;YEAR(branches[[#This Row],[Дата]])</f>
        <v>Декабрь 2025</v>
      </c>
      <c r="E3113" t="s">
        <v>14</v>
      </c>
      <c r="F3113" t="s">
        <v>12</v>
      </c>
      <c r="G3113">
        <v>1</v>
      </c>
      <c r="H3113">
        <v>286</v>
      </c>
      <c r="I3113" t="s">
        <v>21</v>
      </c>
      <c r="J3113" t="str">
        <f>_xlfn.XLOOKUP(branches[[#This Row],[Филиал]], tbl_Filialy[Филиал], tbl_Filialy[Менеджер])</f>
        <v>Дмитрий Волков</v>
      </c>
    </row>
    <row r="3114" spans="1:10" x14ac:dyDescent="0.3">
      <c r="A3114" t="str">
        <f>_xlfn.XLOOKUP(branches[[#This Row],[Филиал]], tbl_Filialy[Филиал], tbl_Filialy[Город])</f>
        <v>Санкт-Петербург</v>
      </c>
      <c r="B3114" s="1" t="s">
        <v>38</v>
      </c>
      <c r="C3114" s="2">
        <v>45804</v>
      </c>
      <c r="D3114" s="2" t="str">
        <f>CHOOSE(MONTH(branches[[#This Row],[Дата]]),"Январь","Февраль","Март","Апрель","Май","Июнь","Июль","Август","Сентябрь","Октябрь","Ноябрь","Декабрь")&amp;" "&amp;YEAR(branches[[#This Row],[Дата]])</f>
        <v>Май 2025</v>
      </c>
      <c r="E3114" t="s">
        <v>27</v>
      </c>
      <c r="F3114" t="s">
        <v>12</v>
      </c>
      <c r="G3114">
        <v>3</v>
      </c>
      <c r="H3114">
        <v>708</v>
      </c>
      <c r="I3114" t="s">
        <v>13</v>
      </c>
      <c r="J3114" t="str">
        <f>_xlfn.XLOOKUP(branches[[#This Row],[Филиал]], tbl_Filialy[Филиал], tbl_Filialy[Менеджер])</f>
        <v>Дмитрий Волков</v>
      </c>
    </row>
    <row r="3115" spans="1:10" x14ac:dyDescent="0.3">
      <c r="A3115" t="str">
        <f>_xlfn.XLOOKUP(branches[[#This Row],[Филиал]], tbl_Filialy[Филиал], tbl_Filialy[Город])</f>
        <v>Санкт-Петербург</v>
      </c>
      <c r="B3115" s="1" t="s">
        <v>38</v>
      </c>
      <c r="C3115" s="2">
        <v>45707</v>
      </c>
      <c r="D3115" s="2" t="str">
        <f>CHOOSE(MONTH(branches[[#This Row],[Дата]]),"Январь","Февраль","Март","Апрель","Май","Июнь","Июль","Август","Сентябрь","Октябрь","Ноябрь","Декабрь")&amp;" "&amp;YEAR(branches[[#This Row],[Дата]])</f>
        <v>Февраль 2025</v>
      </c>
      <c r="E3115" t="s">
        <v>24</v>
      </c>
      <c r="F3115" t="s">
        <v>17</v>
      </c>
      <c r="G3115">
        <v>1</v>
      </c>
      <c r="H3115">
        <v>407</v>
      </c>
      <c r="I3115" t="s">
        <v>21</v>
      </c>
      <c r="J3115" t="str">
        <f>_xlfn.XLOOKUP(branches[[#This Row],[Филиал]], tbl_Filialy[Филиал], tbl_Filialy[Менеджер])</f>
        <v>Дмитрий Волков</v>
      </c>
    </row>
    <row r="3116" spans="1:10" x14ac:dyDescent="0.3">
      <c r="A3116" t="str">
        <f>_xlfn.XLOOKUP(branches[[#This Row],[Филиал]], tbl_Filialy[Филиал], tbl_Filialy[Город])</f>
        <v>Санкт-Петербург</v>
      </c>
      <c r="B3116" s="1" t="s">
        <v>38</v>
      </c>
      <c r="C3116" s="2">
        <v>45846</v>
      </c>
      <c r="D3116" s="2" t="str">
        <f>CHOOSE(MONTH(branches[[#This Row],[Дата]]),"Январь","Февраль","Март","Апрель","Май","Июнь","Июль","Август","Сентябрь","Октябрь","Ноябрь","Декабрь")&amp;" "&amp;YEAR(branches[[#This Row],[Дата]])</f>
        <v>Июль 2025</v>
      </c>
      <c r="E3116" t="s">
        <v>28</v>
      </c>
      <c r="F3116" t="s">
        <v>12</v>
      </c>
      <c r="G3116">
        <v>2</v>
      </c>
      <c r="H3116">
        <v>504</v>
      </c>
      <c r="I3116" t="s">
        <v>10</v>
      </c>
      <c r="J3116" t="str">
        <f>_xlfn.XLOOKUP(branches[[#This Row],[Филиал]], tbl_Filialy[Филиал], tbl_Filialy[Менеджер])</f>
        <v>Дмитрий Волков</v>
      </c>
    </row>
    <row r="3117" spans="1:10" x14ac:dyDescent="0.3">
      <c r="A3117" t="str">
        <f>_xlfn.XLOOKUP(branches[[#This Row],[Филиал]], tbl_Filialy[Филиал], tbl_Filialy[Город])</f>
        <v>Санкт-Петербург</v>
      </c>
      <c r="B3117" s="1" t="s">
        <v>38</v>
      </c>
      <c r="C3117" s="2">
        <v>45721</v>
      </c>
      <c r="D3117" s="2" t="str">
        <f>CHOOSE(MONTH(branches[[#This Row],[Дата]]),"Январь","Февраль","Март","Апрель","Май","Июнь","Июль","Август","Сентябрь","Октябрь","Ноябрь","Декабрь")&amp;" "&amp;YEAR(branches[[#This Row],[Дата]])</f>
        <v>Март 2025</v>
      </c>
      <c r="E3117" t="s">
        <v>11</v>
      </c>
      <c r="F3117" t="s">
        <v>12</v>
      </c>
      <c r="G3117">
        <v>1</v>
      </c>
      <c r="H3117">
        <v>157</v>
      </c>
      <c r="I3117" t="s">
        <v>23</v>
      </c>
      <c r="J3117" t="str">
        <f>_xlfn.XLOOKUP(branches[[#This Row],[Филиал]], tbl_Filialy[Филиал], tbl_Filialy[Менеджер])</f>
        <v>Дмитрий Волков</v>
      </c>
    </row>
    <row r="3118" spans="1:10" x14ac:dyDescent="0.3">
      <c r="A3118" t="str">
        <f>_xlfn.XLOOKUP(branches[[#This Row],[Филиал]], tbl_Filialy[Филиал], tbl_Filialy[Город])</f>
        <v>Санкт-Петербург</v>
      </c>
      <c r="B3118" s="1" t="s">
        <v>38</v>
      </c>
      <c r="C3118" s="2">
        <v>45792</v>
      </c>
      <c r="D3118" s="2" t="str">
        <f>CHOOSE(MONTH(branches[[#This Row],[Дата]]),"Январь","Февраль","Март","Апрель","Май","Июнь","Июль","Август","Сентябрь","Октябрь","Ноябрь","Декабрь")&amp;" "&amp;YEAR(branches[[#This Row],[Дата]])</f>
        <v>Май 2025</v>
      </c>
      <c r="E3118" t="s">
        <v>28</v>
      </c>
      <c r="F3118" t="s">
        <v>12</v>
      </c>
      <c r="G3118">
        <v>2</v>
      </c>
      <c r="H3118">
        <v>450</v>
      </c>
      <c r="I3118" t="s">
        <v>10</v>
      </c>
      <c r="J3118" t="str">
        <f>_xlfn.XLOOKUP(branches[[#This Row],[Филиал]], tbl_Filialy[Филиал], tbl_Filialy[Менеджер])</f>
        <v>Дмитрий Волков</v>
      </c>
    </row>
    <row r="3119" spans="1:10" x14ac:dyDescent="0.3">
      <c r="A3119" t="str">
        <f>_xlfn.XLOOKUP(branches[[#This Row],[Филиал]], tbl_Filialy[Филиал], tbl_Filialy[Город])</f>
        <v>Санкт-Петербург</v>
      </c>
      <c r="B3119" s="1" t="s">
        <v>38</v>
      </c>
      <c r="C3119" s="2">
        <v>45718</v>
      </c>
      <c r="D3119" s="2" t="str">
        <f>CHOOSE(MONTH(branches[[#This Row],[Дата]]),"Январь","Февраль","Март","Апрель","Май","Июнь","Июль","Август","Сентябрь","Октябрь","Ноябрь","Декабрь")&amp;" "&amp;YEAR(branches[[#This Row],[Дата]])</f>
        <v>Март 2025</v>
      </c>
      <c r="E3119" t="s">
        <v>18</v>
      </c>
      <c r="F3119" t="s">
        <v>12</v>
      </c>
      <c r="G3119">
        <v>1</v>
      </c>
      <c r="H3119">
        <v>156</v>
      </c>
      <c r="I3119" t="s">
        <v>21</v>
      </c>
      <c r="J3119" t="str">
        <f>_xlfn.XLOOKUP(branches[[#This Row],[Филиал]], tbl_Filialy[Филиал], tbl_Filialy[Менеджер])</f>
        <v>Дмитрий Волков</v>
      </c>
    </row>
    <row r="3120" spans="1:10" x14ac:dyDescent="0.3">
      <c r="A3120" t="str">
        <f>_xlfn.XLOOKUP(branches[[#This Row],[Филиал]], tbl_Filialy[Филиал], tbl_Filialy[Город])</f>
        <v>Санкт-Петербург</v>
      </c>
      <c r="B3120" s="1" t="s">
        <v>38</v>
      </c>
      <c r="C3120" s="2">
        <v>45908</v>
      </c>
      <c r="D3120" s="2" t="str">
        <f>CHOOSE(MONTH(branches[[#This Row],[Дата]]),"Январь","Февраль","Март","Апрель","Май","Июнь","Июль","Август","Сентябрь","Октябрь","Ноябрь","Декабрь")&amp;" "&amp;YEAR(branches[[#This Row],[Дата]])</f>
        <v>Сентябрь 2025</v>
      </c>
      <c r="E3120" t="s">
        <v>20</v>
      </c>
      <c r="F3120" t="s">
        <v>12</v>
      </c>
      <c r="G3120">
        <v>2</v>
      </c>
      <c r="H3120">
        <v>506</v>
      </c>
      <c r="I3120" t="s">
        <v>15</v>
      </c>
      <c r="J3120" t="str">
        <f>_xlfn.XLOOKUP(branches[[#This Row],[Филиал]], tbl_Filialy[Филиал], tbl_Filialy[Менеджер])</f>
        <v>Дмитрий Волков</v>
      </c>
    </row>
    <row r="3121" spans="1:10" x14ac:dyDescent="0.3">
      <c r="A3121" t="str">
        <f>_xlfn.XLOOKUP(branches[[#This Row],[Филиал]], tbl_Filialy[Филиал], tbl_Filialy[Город])</f>
        <v>Санкт-Петербург</v>
      </c>
      <c r="B3121" s="1" t="s">
        <v>38</v>
      </c>
      <c r="C3121" s="2">
        <v>45955</v>
      </c>
      <c r="D3121" s="2" t="str">
        <f>CHOOSE(MONTH(branches[[#This Row],[Дата]]),"Январь","Февраль","Март","Апрель","Май","Июнь","Июль","Август","Сентябрь","Октябрь","Ноябрь","Декабрь")&amp;" "&amp;YEAR(branches[[#This Row],[Дата]])</f>
        <v>Октябрь 2025</v>
      </c>
      <c r="E3121" t="s">
        <v>14</v>
      </c>
      <c r="F3121" t="s">
        <v>12</v>
      </c>
      <c r="G3121">
        <v>2</v>
      </c>
      <c r="H3121">
        <v>482</v>
      </c>
      <c r="I3121" t="s">
        <v>19</v>
      </c>
      <c r="J3121" t="str">
        <f>_xlfn.XLOOKUP(branches[[#This Row],[Филиал]], tbl_Filialy[Филиал], tbl_Filialy[Менеджер])</f>
        <v>Дмитрий Волков</v>
      </c>
    </row>
    <row r="3122" spans="1:10" x14ac:dyDescent="0.3">
      <c r="A3122" t="str">
        <f>_xlfn.XLOOKUP(branches[[#This Row],[Филиал]], tbl_Filialy[Филиал], tbl_Filialy[Город])</f>
        <v>Санкт-Петербург</v>
      </c>
      <c r="B3122" s="1" t="s">
        <v>38</v>
      </c>
      <c r="C3122" s="2">
        <v>45884</v>
      </c>
      <c r="D3122" s="2" t="str">
        <f>CHOOSE(MONTH(branches[[#This Row],[Дата]]),"Январь","Февраль","Март","Апрель","Май","Июнь","Июль","Август","Сентябрь","Октябрь","Ноябрь","Декабрь")&amp;" "&amp;YEAR(branches[[#This Row],[Дата]])</f>
        <v>Август 2025</v>
      </c>
      <c r="E3122" t="s">
        <v>18</v>
      </c>
      <c r="F3122" t="s">
        <v>12</v>
      </c>
      <c r="G3122">
        <v>1</v>
      </c>
      <c r="H3122">
        <v>151</v>
      </c>
      <c r="I3122" t="s">
        <v>10</v>
      </c>
      <c r="J3122" t="str">
        <f>_xlfn.XLOOKUP(branches[[#This Row],[Филиал]], tbl_Filialy[Филиал], tbl_Filialy[Менеджер])</f>
        <v>Дмитрий Волков</v>
      </c>
    </row>
    <row r="3123" spans="1:10" x14ac:dyDescent="0.3">
      <c r="A3123" t="str">
        <f>_xlfn.XLOOKUP(branches[[#This Row],[Филиал]], tbl_Filialy[Филиал], tbl_Filialy[Город])</f>
        <v>Санкт-Петербург</v>
      </c>
      <c r="B3123" s="1" t="s">
        <v>38</v>
      </c>
      <c r="C3123" s="2">
        <v>45903</v>
      </c>
      <c r="D3123" s="2" t="str">
        <f>CHOOSE(MONTH(branches[[#This Row],[Дата]]),"Январь","Февраль","Март","Апрель","Май","Июнь","Июль","Август","Сентябрь","Октябрь","Ноябрь","Декабрь")&amp;" "&amp;YEAR(branches[[#This Row],[Дата]])</f>
        <v>Сентябрь 2025</v>
      </c>
      <c r="E3123" t="s">
        <v>24</v>
      </c>
      <c r="F3123" t="s">
        <v>17</v>
      </c>
      <c r="G3123">
        <v>3</v>
      </c>
      <c r="H3123">
        <v>1113</v>
      </c>
      <c r="I3123" t="s">
        <v>21</v>
      </c>
      <c r="J3123" t="str">
        <f>_xlfn.XLOOKUP(branches[[#This Row],[Филиал]], tbl_Filialy[Филиал], tbl_Filialy[Менеджер])</f>
        <v>Дмитрий Волков</v>
      </c>
    </row>
    <row r="3124" spans="1:10" x14ac:dyDescent="0.3">
      <c r="A3124" t="str">
        <f>_xlfn.XLOOKUP(branches[[#This Row],[Филиал]], tbl_Filialy[Филиал], tbl_Filialy[Город])</f>
        <v>Санкт-Петербург</v>
      </c>
      <c r="B3124" s="1" t="s">
        <v>38</v>
      </c>
      <c r="C3124" s="2">
        <v>45847</v>
      </c>
      <c r="D3124" s="2" t="str">
        <f>CHOOSE(MONTH(branches[[#This Row],[Дата]]),"Январь","Февраль","Март","Апрель","Май","Июнь","Июль","Август","Сентябрь","Октябрь","Ноябрь","Декабрь")&amp;" "&amp;YEAR(branches[[#This Row],[Дата]])</f>
        <v>Июль 2025</v>
      </c>
      <c r="E3124" t="s">
        <v>27</v>
      </c>
      <c r="F3124" t="s">
        <v>12</v>
      </c>
      <c r="G3124">
        <v>1</v>
      </c>
      <c r="H3124">
        <v>227</v>
      </c>
      <c r="I3124" t="s">
        <v>21</v>
      </c>
      <c r="J3124" t="str">
        <f>_xlfn.XLOOKUP(branches[[#This Row],[Филиал]], tbl_Filialy[Филиал], tbl_Filialy[Менеджер])</f>
        <v>Дмитрий Волков</v>
      </c>
    </row>
    <row r="3125" spans="1:10" x14ac:dyDescent="0.3">
      <c r="A3125" t="str">
        <f>_xlfn.XLOOKUP(branches[[#This Row],[Филиал]], tbl_Filialy[Филиал], tbl_Filialy[Город])</f>
        <v>Санкт-Петербург</v>
      </c>
      <c r="B3125" s="1" t="s">
        <v>38</v>
      </c>
      <c r="C3125" s="2">
        <v>45694</v>
      </c>
      <c r="D3125" s="2" t="str">
        <f>CHOOSE(MONTH(branches[[#This Row],[Дата]]),"Январь","Февраль","Март","Апрель","Май","Июнь","Июль","Август","Сентябрь","Октябрь","Ноябрь","Декабрь")&amp;" "&amp;YEAR(branches[[#This Row],[Дата]])</f>
        <v>Февраль 2025</v>
      </c>
      <c r="E3125" t="s">
        <v>16</v>
      </c>
      <c r="F3125" t="s">
        <v>17</v>
      </c>
      <c r="G3125">
        <v>2</v>
      </c>
      <c r="H3125">
        <v>640</v>
      </c>
      <c r="I3125" t="s">
        <v>13</v>
      </c>
      <c r="J3125" t="str">
        <f>_xlfn.XLOOKUP(branches[[#This Row],[Филиал]], tbl_Filialy[Филиал], tbl_Filialy[Менеджер])</f>
        <v>Дмитрий Волков</v>
      </c>
    </row>
    <row r="3126" spans="1:10" x14ac:dyDescent="0.3">
      <c r="A3126" t="str">
        <f>_xlfn.XLOOKUP(branches[[#This Row],[Филиал]], tbl_Filialy[Филиал], tbl_Filialy[Город])</f>
        <v>Санкт-Петербург</v>
      </c>
      <c r="B3126" s="1" t="s">
        <v>38</v>
      </c>
      <c r="C3126" s="2">
        <v>46001</v>
      </c>
      <c r="D3126" s="2" t="str">
        <f>CHOOSE(MONTH(branches[[#This Row],[Дата]]),"Январь","Февраль","Март","Апрель","Май","Июнь","Июль","Август","Сентябрь","Октябрь","Ноябрь","Декабрь")&amp;" "&amp;YEAR(branches[[#This Row],[Дата]])</f>
        <v>Декабрь 2025</v>
      </c>
      <c r="E3126" t="s">
        <v>24</v>
      </c>
      <c r="F3126" t="s">
        <v>17</v>
      </c>
      <c r="G3126">
        <v>2</v>
      </c>
      <c r="H3126">
        <v>812</v>
      </c>
      <c r="I3126" t="s">
        <v>19</v>
      </c>
      <c r="J3126" t="str">
        <f>_xlfn.XLOOKUP(branches[[#This Row],[Филиал]], tbl_Filialy[Филиал], tbl_Filialy[Менеджер])</f>
        <v>Дмитрий Волков</v>
      </c>
    </row>
    <row r="3127" spans="1:10" x14ac:dyDescent="0.3">
      <c r="A3127" t="str">
        <f>_xlfn.XLOOKUP(branches[[#This Row],[Филиал]], tbl_Filialy[Филиал], tbl_Filialy[Город])</f>
        <v>Санкт-Петербург</v>
      </c>
      <c r="B3127" s="1" t="s">
        <v>38</v>
      </c>
      <c r="C3127" s="2">
        <v>45662</v>
      </c>
      <c r="D3127" s="2" t="str">
        <f>CHOOSE(MONTH(branches[[#This Row],[Дата]]),"Январь","Февраль","Март","Апрель","Май","Июнь","Июль","Август","Сентябрь","Октябрь","Ноябрь","Декабрь")&amp;" "&amp;YEAR(branches[[#This Row],[Дата]])</f>
        <v>Январь 2025</v>
      </c>
      <c r="E3127" t="s">
        <v>26</v>
      </c>
      <c r="F3127" t="s">
        <v>9</v>
      </c>
      <c r="G3127">
        <v>1</v>
      </c>
      <c r="H3127">
        <v>217</v>
      </c>
      <c r="I3127" t="s">
        <v>13</v>
      </c>
      <c r="J3127" t="str">
        <f>_xlfn.XLOOKUP(branches[[#This Row],[Филиал]], tbl_Filialy[Филиал], tbl_Filialy[Менеджер])</f>
        <v>Дмитрий Волков</v>
      </c>
    </row>
    <row r="3128" spans="1:10" x14ac:dyDescent="0.3">
      <c r="A3128" t="str">
        <f>_xlfn.XLOOKUP(branches[[#This Row],[Филиал]], tbl_Filialy[Филиал], tbl_Filialy[Город])</f>
        <v>Санкт-Петербург</v>
      </c>
      <c r="B3128" s="1" t="s">
        <v>38</v>
      </c>
      <c r="C3128" s="2">
        <v>45700</v>
      </c>
      <c r="D3128" s="2" t="str">
        <f>CHOOSE(MONTH(branches[[#This Row],[Дата]]),"Январь","Февраль","Март","Апрель","Май","Июнь","Июль","Август","Сентябрь","Октябрь","Ноябрь","Декабрь")&amp;" "&amp;YEAR(branches[[#This Row],[Дата]])</f>
        <v>Февраль 2025</v>
      </c>
      <c r="E3128" t="s">
        <v>22</v>
      </c>
      <c r="F3128" t="s">
        <v>9</v>
      </c>
      <c r="G3128">
        <v>2</v>
      </c>
      <c r="H3128">
        <v>382</v>
      </c>
      <c r="I3128" t="s">
        <v>19</v>
      </c>
      <c r="J3128" t="str">
        <f>_xlfn.XLOOKUP(branches[[#This Row],[Филиал]], tbl_Filialy[Филиал], tbl_Filialy[Менеджер])</f>
        <v>Дмитрий Волков</v>
      </c>
    </row>
    <row r="3129" spans="1:10" x14ac:dyDescent="0.3">
      <c r="A3129" t="str">
        <f>_xlfn.XLOOKUP(branches[[#This Row],[Филиал]], tbl_Filialy[Филиал], tbl_Filialy[Город])</f>
        <v>Санкт-Петербург</v>
      </c>
      <c r="B3129" s="1" t="s">
        <v>38</v>
      </c>
      <c r="C3129" s="2">
        <v>45877</v>
      </c>
      <c r="D3129" s="2" t="str">
        <f>CHOOSE(MONTH(branches[[#This Row],[Дата]]),"Январь","Февраль","Март","Апрель","Май","Июнь","Июль","Август","Сентябрь","Октябрь","Ноябрь","Декабрь")&amp;" "&amp;YEAR(branches[[#This Row],[Дата]])</f>
        <v>Август 2025</v>
      </c>
      <c r="E3129" t="s">
        <v>8</v>
      </c>
      <c r="F3129" t="s">
        <v>9</v>
      </c>
      <c r="G3129">
        <v>1</v>
      </c>
      <c r="H3129">
        <v>244</v>
      </c>
      <c r="I3129" t="s">
        <v>19</v>
      </c>
      <c r="J3129" t="str">
        <f>_xlfn.XLOOKUP(branches[[#This Row],[Филиал]], tbl_Filialy[Филиал], tbl_Filialy[Менеджер])</f>
        <v>Дмитрий Волков</v>
      </c>
    </row>
    <row r="3130" spans="1:10" x14ac:dyDescent="0.3">
      <c r="A3130" t="str">
        <f>_xlfn.XLOOKUP(branches[[#This Row],[Филиал]], tbl_Filialy[Филиал], tbl_Filialy[Город])</f>
        <v>Санкт-Петербург</v>
      </c>
      <c r="B3130" s="1" t="s">
        <v>38</v>
      </c>
      <c r="C3130" s="2">
        <v>45956</v>
      </c>
      <c r="D3130" s="2" t="str">
        <f>CHOOSE(MONTH(branches[[#This Row],[Дата]]),"Январь","Февраль","Март","Апрель","Май","Июнь","Июль","Август","Сентябрь","Октябрь","Ноябрь","Декабрь")&amp;" "&amp;YEAR(branches[[#This Row],[Дата]])</f>
        <v>Октябрь 2025</v>
      </c>
      <c r="E3130" t="s">
        <v>8</v>
      </c>
      <c r="F3130" t="s">
        <v>9</v>
      </c>
      <c r="G3130">
        <v>3</v>
      </c>
      <c r="H3130">
        <v>720</v>
      </c>
      <c r="I3130" t="s">
        <v>15</v>
      </c>
      <c r="J3130" t="str">
        <f>_xlfn.XLOOKUP(branches[[#This Row],[Филиал]], tbl_Filialy[Филиал], tbl_Filialy[Менеджер])</f>
        <v>Дмитрий Волков</v>
      </c>
    </row>
    <row r="3131" spans="1:10" x14ac:dyDescent="0.3">
      <c r="A3131" t="str">
        <f>_xlfn.XLOOKUP(branches[[#This Row],[Филиал]], tbl_Filialy[Филиал], tbl_Filialy[Город])</f>
        <v>Санкт-Петербург</v>
      </c>
      <c r="B3131" s="1" t="s">
        <v>38</v>
      </c>
      <c r="C3131" s="2">
        <v>45751</v>
      </c>
      <c r="D3131" s="2" t="str">
        <f>CHOOSE(MONTH(branches[[#This Row],[Дата]]),"Январь","Февраль","Март","Апрель","Май","Июнь","Июль","Август","Сентябрь","Октябрь","Ноябрь","Декабрь")&amp;" "&amp;YEAR(branches[[#This Row],[Дата]])</f>
        <v>Апрель 2025</v>
      </c>
      <c r="E3131" t="s">
        <v>22</v>
      </c>
      <c r="F3131" t="s">
        <v>9</v>
      </c>
      <c r="G3131">
        <v>1</v>
      </c>
      <c r="H3131">
        <v>192</v>
      </c>
      <c r="I3131" t="s">
        <v>13</v>
      </c>
      <c r="J3131" t="str">
        <f>_xlfn.XLOOKUP(branches[[#This Row],[Филиал]], tbl_Filialy[Филиал], tbl_Filialy[Менеджер])</f>
        <v>Дмитрий Волков</v>
      </c>
    </row>
    <row r="3132" spans="1:10" x14ac:dyDescent="0.3">
      <c r="A3132" t="str">
        <f>_xlfn.XLOOKUP(branches[[#This Row],[Филиал]], tbl_Filialy[Филиал], tbl_Filialy[Город])</f>
        <v>Санкт-Петербург</v>
      </c>
      <c r="B3132" s="1" t="s">
        <v>38</v>
      </c>
      <c r="C3132" s="2">
        <v>45707</v>
      </c>
      <c r="D3132" s="2" t="str">
        <f>CHOOSE(MONTH(branches[[#This Row],[Дата]]),"Январь","Февраль","Март","Апрель","Май","Июнь","Июль","Август","Сентябрь","Октябрь","Ноябрь","Декабрь")&amp;" "&amp;YEAR(branches[[#This Row],[Дата]])</f>
        <v>Февраль 2025</v>
      </c>
      <c r="E3132" t="s">
        <v>20</v>
      </c>
      <c r="F3132" t="s">
        <v>12</v>
      </c>
      <c r="G3132">
        <v>3</v>
      </c>
      <c r="H3132">
        <v>870</v>
      </c>
      <c r="I3132" t="s">
        <v>23</v>
      </c>
      <c r="J3132" t="str">
        <f>_xlfn.XLOOKUP(branches[[#This Row],[Филиал]], tbl_Filialy[Филиал], tbl_Filialy[Менеджер])</f>
        <v>Дмитрий Волков</v>
      </c>
    </row>
    <row r="3133" spans="1:10" x14ac:dyDescent="0.3">
      <c r="A3133" t="str">
        <f>_xlfn.XLOOKUP(branches[[#This Row],[Филиал]], tbl_Filialy[Филиал], tbl_Filialy[Город])</f>
        <v>Санкт-Петербург</v>
      </c>
      <c r="B3133" s="1" t="s">
        <v>38</v>
      </c>
      <c r="C3133" s="2">
        <v>46010</v>
      </c>
      <c r="D3133" s="2" t="str">
        <f>CHOOSE(MONTH(branches[[#This Row],[Дата]]),"Январь","Февраль","Март","Апрель","Май","Июнь","Июль","Август","Сентябрь","Октябрь","Ноябрь","Декабрь")&amp;" "&amp;YEAR(branches[[#This Row],[Дата]])</f>
        <v>Декабрь 2025</v>
      </c>
      <c r="E3133" t="s">
        <v>8</v>
      </c>
      <c r="F3133" t="s">
        <v>9</v>
      </c>
      <c r="G3133">
        <v>2</v>
      </c>
      <c r="H3133">
        <v>510</v>
      </c>
      <c r="I3133" t="s">
        <v>19</v>
      </c>
      <c r="J3133" t="str">
        <f>_xlfn.XLOOKUP(branches[[#This Row],[Филиал]], tbl_Filialy[Филиал], tbl_Filialy[Менеджер])</f>
        <v>Дмитрий Волков</v>
      </c>
    </row>
    <row r="3134" spans="1:10" x14ac:dyDescent="0.3">
      <c r="A3134" t="str">
        <f>_xlfn.XLOOKUP(branches[[#This Row],[Филиал]], tbl_Filialy[Филиал], tbl_Filialy[Город])</f>
        <v>Санкт-Петербург</v>
      </c>
      <c r="B3134" s="1" t="s">
        <v>38</v>
      </c>
      <c r="C3134" s="2">
        <v>45717</v>
      </c>
      <c r="D3134" s="2" t="str">
        <f>CHOOSE(MONTH(branches[[#This Row],[Дата]]),"Январь","Февраль","Март","Апрель","Май","Июнь","Июль","Август","Сентябрь","Октябрь","Ноябрь","Декабрь")&amp;" "&amp;YEAR(branches[[#This Row],[Дата]])</f>
        <v>Март 2025</v>
      </c>
      <c r="E3134" t="s">
        <v>11</v>
      </c>
      <c r="F3134" t="s">
        <v>12</v>
      </c>
      <c r="G3134">
        <v>2</v>
      </c>
      <c r="H3134">
        <v>362</v>
      </c>
      <c r="I3134" t="s">
        <v>21</v>
      </c>
      <c r="J3134" t="str">
        <f>_xlfn.XLOOKUP(branches[[#This Row],[Филиал]], tbl_Filialy[Филиал], tbl_Filialy[Менеджер])</f>
        <v>Дмитрий Волков</v>
      </c>
    </row>
    <row r="3135" spans="1:10" x14ac:dyDescent="0.3">
      <c r="A3135" t="str">
        <f>_xlfn.XLOOKUP(branches[[#This Row],[Филиал]], tbl_Filialy[Филиал], tbl_Filialy[Город])</f>
        <v>Санкт-Петербург</v>
      </c>
      <c r="B3135" s="1" t="s">
        <v>38</v>
      </c>
      <c r="C3135" s="2">
        <v>45855</v>
      </c>
      <c r="D3135" s="2" t="str">
        <f>CHOOSE(MONTH(branches[[#This Row],[Дата]]),"Январь","Февраль","Март","Апрель","Май","Июнь","Июль","Август","Сентябрь","Октябрь","Ноябрь","Декабрь")&amp;" "&amp;YEAR(branches[[#This Row],[Дата]])</f>
        <v>Июль 2025</v>
      </c>
      <c r="E3135" t="s">
        <v>24</v>
      </c>
      <c r="F3135" t="s">
        <v>17</v>
      </c>
      <c r="G3135">
        <v>1</v>
      </c>
      <c r="H3135">
        <v>338</v>
      </c>
      <c r="I3135" t="s">
        <v>10</v>
      </c>
      <c r="J3135" t="str">
        <f>_xlfn.XLOOKUP(branches[[#This Row],[Филиал]], tbl_Filialy[Филиал], tbl_Filialy[Менеджер])</f>
        <v>Дмитрий Волков</v>
      </c>
    </row>
    <row r="3136" spans="1:10" x14ac:dyDescent="0.3">
      <c r="A3136" t="str">
        <f>_xlfn.XLOOKUP(branches[[#This Row],[Филиал]], tbl_Filialy[Филиал], tbl_Filialy[Город])</f>
        <v>Санкт-Петербург</v>
      </c>
      <c r="B3136" s="1" t="s">
        <v>38</v>
      </c>
      <c r="C3136" s="2">
        <v>45680</v>
      </c>
      <c r="D3136" s="2" t="str">
        <f>CHOOSE(MONTH(branches[[#This Row],[Дата]]),"Январь","Февраль","Март","Апрель","Май","Июнь","Июль","Август","Сентябрь","Октябрь","Ноябрь","Декабрь")&amp;" "&amp;YEAR(branches[[#This Row],[Дата]])</f>
        <v>Январь 2025</v>
      </c>
      <c r="E3136" t="s">
        <v>16</v>
      </c>
      <c r="F3136" t="s">
        <v>17</v>
      </c>
      <c r="G3136">
        <v>1</v>
      </c>
      <c r="H3136">
        <v>319</v>
      </c>
      <c r="I3136" t="s">
        <v>15</v>
      </c>
      <c r="J3136" t="str">
        <f>_xlfn.XLOOKUP(branches[[#This Row],[Филиал]], tbl_Filialy[Филиал], tbl_Filialy[Менеджер])</f>
        <v>Дмитрий Волков</v>
      </c>
    </row>
    <row r="3137" spans="1:10" x14ac:dyDescent="0.3">
      <c r="A3137" t="str">
        <f>_xlfn.XLOOKUP(branches[[#This Row],[Филиал]], tbl_Filialy[Филиал], tbl_Filialy[Город])</f>
        <v>Санкт-Петербург</v>
      </c>
      <c r="B3137" s="1" t="s">
        <v>38</v>
      </c>
      <c r="C3137" s="2">
        <v>45975</v>
      </c>
      <c r="D3137" s="2" t="str">
        <f>CHOOSE(MONTH(branches[[#This Row],[Дата]]),"Январь","Февраль","Март","Апрель","Май","Июнь","Июль","Август","Сентябрь","Октябрь","Ноябрь","Декабрь")&amp;" "&amp;YEAR(branches[[#This Row],[Дата]])</f>
        <v>Ноябрь 2025</v>
      </c>
      <c r="E3137" t="s">
        <v>24</v>
      </c>
      <c r="F3137" t="s">
        <v>17</v>
      </c>
      <c r="G3137">
        <v>2</v>
      </c>
      <c r="H3137">
        <v>738</v>
      </c>
      <c r="I3137" t="s">
        <v>21</v>
      </c>
      <c r="J3137" t="str">
        <f>_xlfn.XLOOKUP(branches[[#This Row],[Филиал]], tbl_Filialy[Филиал], tbl_Filialy[Менеджер])</f>
        <v>Дмитрий Волков</v>
      </c>
    </row>
    <row r="3138" spans="1:10" x14ac:dyDescent="0.3">
      <c r="A3138" t="str">
        <f>_xlfn.XLOOKUP(branches[[#This Row],[Филиал]], tbl_Filialy[Филиал], tbl_Filialy[Город])</f>
        <v>Санкт-Петербург</v>
      </c>
      <c r="B3138" s="1" t="s">
        <v>38</v>
      </c>
      <c r="C3138" s="2">
        <v>45730</v>
      </c>
      <c r="D3138" s="2" t="str">
        <f>CHOOSE(MONTH(branches[[#This Row],[Дата]]),"Январь","Февраль","Март","Апрель","Май","Июнь","Июль","Август","Сентябрь","Октябрь","Ноябрь","Декабрь")&amp;" "&amp;YEAR(branches[[#This Row],[Дата]])</f>
        <v>Март 2025</v>
      </c>
      <c r="E3138" t="s">
        <v>8</v>
      </c>
      <c r="F3138" t="s">
        <v>9</v>
      </c>
      <c r="G3138">
        <v>1</v>
      </c>
      <c r="H3138">
        <v>276</v>
      </c>
      <c r="I3138" t="s">
        <v>10</v>
      </c>
      <c r="J3138" t="str">
        <f>_xlfn.XLOOKUP(branches[[#This Row],[Филиал]], tbl_Filialy[Филиал], tbl_Filialy[Менеджер])</f>
        <v>Дмитрий Волков</v>
      </c>
    </row>
    <row r="3139" spans="1:10" x14ac:dyDescent="0.3">
      <c r="A3139" t="str">
        <f>_xlfn.XLOOKUP(branches[[#This Row],[Филиал]], tbl_Filialy[Филиал], tbl_Filialy[Город])</f>
        <v>Санкт-Петербург</v>
      </c>
      <c r="B3139" s="1" t="s">
        <v>38</v>
      </c>
      <c r="C3139" s="2">
        <v>45936</v>
      </c>
      <c r="D3139" s="2" t="str">
        <f>CHOOSE(MONTH(branches[[#This Row],[Дата]]),"Январь","Февраль","Март","Апрель","Май","Июнь","Июль","Август","Сентябрь","Октябрь","Ноябрь","Декабрь")&amp;" "&amp;YEAR(branches[[#This Row],[Дата]])</f>
        <v>Октябрь 2025</v>
      </c>
      <c r="E3139" t="s">
        <v>20</v>
      </c>
      <c r="F3139" t="s">
        <v>12</v>
      </c>
      <c r="G3139">
        <v>2</v>
      </c>
      <c r="H3139">
        <v>556</v>
      </c>
      <c r="I3139" t="s">
        <v>19</v>
      </c>
      <c r="J3139" t="str">
        <f>_xlfn.XLOOKUP(branches[[#This Row],[Филиал]], tbl_Filialy[Филиал], tbl_Filialy[Менеджер])</f>
        <v>Дмитрий Волков</v>
      </c>
    </row>
    <row r="3140" spans="1:10" x14ac:dyDescent="0.3">
      <c r="A3140" t="str">
        <f>_xlfn.XLOOKUP(branches[[#This Row],[Филиал]], tbl_Filialy[Филиал], tbl_Filialy[Город])</f>
        <v>Санкт-Петербург</v>
      </c>
      <c r="B3140" s="1" t="s">
        <v>38</v>
      </c>
      <c r="C3140" s="2">
        <v>45676</v>
      </c>
      <c r="D3140" s="2" t="str">
        <f>CHOOSE(MONTH(branches[[#This Row],[Дата]]),"Январь","Февраль","Март","Апрель","Май","Июнь","Июль","Август","Сентябрь","Октябрь","Ноябрь","Декабрь")&amp;" "&amp;YEAR(branches[[#This Row],[Дата]])</f>
        <v>Январь 2025</v>
      </c>
      <c r="E3140" t="s">
        <v>20</v>
      </c>
      <c r="F3140" t="s">
        <v>12</v>
      </c>
      <c r="G3140">
        <v>1</v>
      </c>
      <c r="H3140">
        <v>254</v>
      </c>
      <c r="I3140" t="s">
        <v>10</v>
      </c>
      <c r="J3140" t="str">
        <f>_xlfn.XLOOKUP(branches[[#This Row],[Филиал]], tbl_Filialy[Филиал], tbl_Filialy[Менеджер])</f>
        <v>Дмитрий Волков</v>
      </c>
    </row>
    <row r="3141" spans="1:10" x14ac:dyDescent="0.3">
      <c r="A3141" t="str">
        <f>_xlfn.XLOOKUP(branches[[#This Row],[Филиал]], tbl_Filialy[Филиал], tbl_Filialy[Город])</f>
        <v>Санкт-Петербург</v>
      </c>
      <c r="B3141" s="1" t="s">
        <v>38</v>
      </c>
      <c r="C3141" s="2">
        <v>45743</v>
      </c>
      <c r="D3141" s="2" t="str">
        <f>CHOOSE(MONTH(branches[[#This Row],[Дата]]),"Январь","Февраль","Март","Апрель","Май","Июнь","Июль","Август","Сентябрь","Октябрь","Ноябрь","Декабрь")&amp;" "&amp;YEAR(branches[[#This Row],[Дата]])</f>
        <v>Март 2025</v>
      </c>
      <c r="E3141" t="s">
        <v>22</v>
      </c>
      <c r="F3141" t="s">
        <v>9</v>
      </c>
      <c r="G3141">
        <v>2</v>
      </c>
      <c r="H3141">
        <v>366</v>
      </c>
      <c r="I3141" t="s">
        <v>23</v>
      </c>
      <c r="J3141" t="str">
        <f>_xlfn.XLOOKUP(branches[[#This Row],[Филиал]], tbl_Filialy[Филиал], tbl_Filialy[Менеджер])</f>
        <v>Дмитрий Волков</v>
      </c>
    </row>
    <row r="3142" spans="1:10" x14ac:dyDescent="0.3">
      <c r="A3142" t="str">
        <f>_xlfn.XLOOKUP(branches[[#This Row],[Филиал]], tbl_Filialy[Филиал], tbl_Filialy[Город])</f>
        <v>Санкт-Петербург</v>
      </c>
      <c r="B3142" s="1" t="s">
        <v>38</v>
      </c>
      <c r="C3142" s="2">
        <v>45972</v>
      </c>
      <c r="D3142" s="2" t="str">
        <f>CHOOSE(MONTH(branches[[#This Row],[Дата]]),"Январь","Февраль","Март","Апрель","Май","Июнь","Июль","Август","Сентябрь","Октябрь","Ноябрь","Декабрь")&amp;" "&amp;YEAR(branches[[#This Row],[Дата]])</f>
        <v>Ноябрь 2025</v>
      </c>
      <c r="E3142" t="s">
        <v>11</v>
      </c>
      <c r="F3142" t="s">
        <v>12</v>
      </c>
      <c r="G3142">
        <v>1</v>
      </c>
      <c r="H3142">
        <v>159</v>
      </c>
      <c r="I3142" t="s">
        <v>10</v>
      </c>
      <c r="J3142" t="str">
        <f>_xlfn.XLOOKUP(branches[[#This Row],[Филиал]], tbl_Filialy[Филиал], tbl_Filialy[Менеджер])</f>
        <v>Дмитрий Волков</v>
      </c>
    </row>
    <row r="3143" spans="1:10" x14ac:dyDescent="0.3">
      <c r="A3143" t="str">
        <f>_xlfn.XLOOKUP(branches[[#This Row],[Филиал]], tbl_Filialy[Филиал], tbl_Filialy[Город])</f>
        <v>Санкт-Петербург</v>
      </c>
      <c r="B3143" s="1" t="s">
        <v>38</v>
      </c>
      <c r="C3143" s="2">
        <v>45719</v>
      </c>
      <c r="D3143" s="2" t="str">
        <f>CHOOSE(MONTH(branches[[#This Row],[Дата]]),"Январь","Февраль","Март","Апрель","Май","Июнь","Июль","Август","Сентябрь","Октябрь","Ноябрь","Декабрь")&amp;" "&amp;YEAR(branches[[#This Row],[Дата]])</f>
        <v>Март 2025</v>
      </c>
      <c r="E3143" t="s">
        <v>18</v>
      </c>
      <c r="F3143" t="s">
        <v>12</v>
      </c>
      <c r="G3143">
        <v>2</v>
      </c>
      <c r="H3143">
        <v>278</v>
      </c>
      <c r="I3143" t="s">
        <v>15</v>
      </c>
      <c r="J3143" t="str">
        <f>_xlfn.XLOOKUP(branches[[#This Row],[Филиал]], tbl_Filialy[Филиал], tbl_Filialy[Менеджер])</f>
        <v>Дмитрий Волков</v>
      </c>
    </row>
    <row r="3144" spans="1:10" x14ac:dyDescent="0.3">
      <c r="A3144" t="str">
        <f>_xlfn.XLOOKUP(branches[[#This Row],[Филиал]], tbl_Filialy[Филиал], tbl_Filialy[Город])</f>
        <v>Санкт-Петербург</v>
      </c>
      <c r="B3144" s="1" t="s">
        <v>38</v>
      </c>
      <c r="C3144" s="2">
        <v>45757</v>
      </c>
      <c r="D3144" s="2" t="str">
        <f>CHOOSE(MONTH(branches[[#This Row],[Дата]]),"Январь","Февраль","Март","Апрель","Май","Июнь","Июль","Август","Сентябрь","Октябрь","Ноябрь","Декабрь")&amp;" "&amp;YEAR(branches[[#This Row],[Дата]])</f>
        <v>Апрель 2025</v>
      </c>
      <c r="E3144" t="s">
        <v>14</v>
      </c>
      <c r="F3144" t="s">
        <v>12</v>
      </c>
      <c r="G3144">
        <v>2</v>
      </c>
      <c r="H3144">
        <v>562</v>
      </c>
      <c r="I3144" t="s">
        <v>13</v>
      </c>
      <c r="J3144" t="str">
        <f>_xlfn.XLOOKUP(branches[[#This Row],[Филиал]], tbl_Filialy[Филиал], tbl_Filialy[Менеджер])</f>
        <v>Дмитрий Волков</v>
      </c>
    </row>
    <row r="3145" spans="1:10" x14ac:dyDescent="0.3">
      <c r="A3145" t="str">
        <f>_xlfn.XLOOKUP(branches[[#This Row],[Филиал]], tbl_Filialy[Филиал], tbl_Filialy[Город])</f>
        <v>Санкт-Петербург</v>
      </c>
      <c r="B3145" s="1" t="s">
        <v>38</v>
      </c>
      <c r="C3145" s="2">
        <v>45893</v>
      </c>
      <c r="D3145" s="2" t="str">
        <f>CHOOSE(MONTH(branches[[#This Row],[Дата]]),"Январь","Февраль","Март","Апрель","Май","Июнь","Июль","Август","Сентябрь","Октябрь","Ноябрь","Декабрь")&amp;" "&amp;YEAR(branches[[#This Row],[Дата]])</f>
        <v>Август 2025</v>
      </c>
      <c r="E3145" t="s">
        <v>8</v>
      </c>
      <c r="F3145" t="s">
        <v>9</v>
      </c>
      <c r="G3145">
        <v>1</v>
      </c>
      <c r="H3145">
        <v>236</v>
      </c>
      <c r="I3145" t="s">
        <v>13</v>
      </c>
      <c r="J3145" t="str">
        <f>_xlfn.XLOOKUP(branches[[#This Row],[Филиал]], tbl_Filialy[Филиал], tbl_Filialy[Менеджер])</f>
        <v>Дмитрий Волков</v>
      </c>
    </row>
    <row r="3146" spans="1:10" x14ac:dyDescent="0.3">
      <c r="A3146" t="str">
        <f>_xlfn.XLOOKUP(branches[[#This Row],[Филиал]], tbl_Filialy[Филиал], tbl_Filialy[Город])</f>
        <v>Санкт-Петербург</v>
      </c>
      <c r="B3146" s="1" t="s">
        <v>38</v>
      </c>
      <c r="C3146" s="2">
        <v>45761</v>
      </c>
      <c r="D3146" s="2" t="str">
        <f>CHOOSE(MONTH(branches[[#This Row],[Дата]]),"Январь","Февраль","Март","Апрель","Май","Июнь","Июль","Август","Сентябрь","Октябрь","Ноябрь","Декабрь")&amp;" "&amp;YEAR(branches[[#This Row],[Дата]])</f>
        <v>Апрель 2025</v>
      </c>
      <c r="E3146" t="s">
        <v>26</v>
      </c>
      <c r="F3146" t="s">
        <v>9</v>
      </c>
      <c r="G3146">
        <v>2</v>
      </c>
      <c r="H3146">
        <v>450</v>
      </c>
      <c r="I3146" t="s">
        <v>15</v>
      </c>
      <c r="J3146" t="str">
        <f>_xlfn.XLOOKUP(branches[[#This Row],[Филиал]], tbl_Filialy[Филиал], tbl_Filialy[Менеджер])</f>
        <v>Дмитрий Волков</v>
      </c>
    </row>
    <row r="3147" spans="1:10" x14ac:dyDescent="0.3">
      <c r="A3147" t="str">
        <f>_xlfn.XLOOKUP(branches[[#This Row],[Филиал]], tbl_Filialy[Филиал], tbl_Filialy[Город])</f>
        <v>Санкт-Петербург</v>
      </c>
      <c r="B3147" s="1" t="s">
        <v>38</v>
      </c>
      <c r="C3147" s="2">
        <v>45772</v>
      </c>
      <c r="D3147" s="2" t="str">
        <f>CHOOSE(MONTH(branches[[#This Row],[Дата]]),"Январь","Февраль","Март","Апрель","Май","Июнь","Июль","Август","Сентябрь","Октябрь","Ноябрь","Декабрь")&amp;" "&amp;YEAR(branches[[#This Row],[Дата]])</f>
        <v>Апрель 2025</v>
      </c>
      <c r="E3147" t="s">
        <v>11</v>
      </c>
      <c r="F3147" t="s">
        <v>12</v>
      </c>
      <c r="G3147">
        <v>2</v>
      </c>
      <c r="H3147">
        <v>390</v>
      </c>
      <c r="I3147" t="s">
        <v>23</v>
      </c>
      <c r="J3147" t="str">
        <f>_xlfn.XLOOKUP(branches[[#This Row],[Филиал]], tbl_Filialy[Филиал], tbl_Filialy[Менеджер])</f>
        <v>Дмитрий Волков</v>
      </c>
    </row>
    <row r="3148" spans="1:10" x14ac:dyDescent="0.3">
      <c r="A3148" t="str">
        <f>_xlfn.XLOOKUP(branches[[#This Row],[Филиал]], tbl_Filialy[Филиал], tbl_Filialy[Город])</f>
        <v>Санкт-Петербург</v>
      </c>
      <c r="B3148" s="1" t="s">
        <v>38</v>
      </c>
      <c r="C3148" s="2">
        <v>45906</v>
      </c>
      <c r="D3148" s="2" t="str">
        <f>CHOOSE(MONTH(branches[[#This Row],[Дата]]),"Январь","Февраль","Март","Апрель","Май","Июнь","Июль","Август","Сентябрь","Октябрь","Ноябрь","Декабрь")&amp;" "&amp;YEAR(branches[[#This Row],[Дата]])</f>
        <v>Сентябрь 2025</v>
      </c>
      <c r="E3148" t="s">
        <v>16</v>
      </c>
      <c r="F3148" t="s">
        <v>17</v>
      </c>
      <c r="G3148">
        <v>2</v>
      </c>
      <c r="H3148">
        <v>626</v>
      </c>
      <c r="I3148" t="s">
        <v>13</v>
      </c>
      <c r="J3148" t="str">
        <f>_xlfn.XLOOKUP(branches[[#This Row],[Филиал]], tbl_Filialy[Филиал], tbl_Filialy[Менеджер])</f>
        <v>Дмитрий Волков</v>
      </c>
    </row>
    <row r="3149" spans="1:10" x14ac:dyDescent="0.3">
      <c r="A3149" t="str">
        <f>_xlfn.XLOOKUP(branches[[#This Row],[Филиал]], tbl_Filialy[Филиал], tbl_Filialy[Город])</f>
        <v>Санкт-Петербург</v>
      </c>
      <c r="B3149" s="1" t="s">
        <v>38</v>
      </c>
      <c r="C3149" s="2">
        <v>45772</v>
      </c>
      <c r="D3149" s="2" t="str">
        <f>CHOOSE(MONTH(branches[[#This Row],[Дата]]),"Январь","Февраль","Март","Апрель","Май","Июнь","Июль","Август","Сентябрь","Октябрь","Ноябрь","Декабрь")&amp;" "&amp;YEAR(branches[[#This Row],[Дата]])</f>
        <v>Апрель 2025</v>
      </c>
      <c r="E3149" t="s">
        <v>20</v>
      </c>
      <c r="F3149" t="s">
        <v>12</v>
      </c>
      <c r="G3149">
        <v>3</v>
      </c>
      <c r="H3149">
        <v>804</v>
      </c>
      <c r="I3149" t="s">
        <v>23</v>
      </c>
      <c r="J3149" t="str">
        <f>_xlfn.XLOOKUP(branches[[#This Row],[Филиал]], tbl_Filialy[Филиал], tbl_Filialy[Менеджер])</f>
        <v>Дмитрий Волков</v>
      </c>
    </row>
    <row r="3150" spans="1:10" x14ac:dyDescent="0.3">
      <c r="A3150" t="str">
        <f>_xlfn.XLOOKUP(branches[[#This Row],[Филиал]], tbl_Filialy[Филиал], tbl_Filialy[Город])</f>
        <v>Санкт-Петербург</v>
      </c>
      <c r="B3150" s="1" t="s">
        <v>38</v>
      </c>
      <c r="C3150" s="2">
        <v>46009</v>
      </c>
      <c r="D3150" s="2" t="str">
        <f>CHOOSE(MONTH(branches[[#This Row],[Дата]]),"Январь","Февраль","Март","Апрель","Май","Июнь","Июль","Август","Сентябрь","Октябрь","Ноябрь","Декабрь")&amp;" "&amp;YEAR(branches[[#This Row],[Дата]])</f>
        <v>Декабрь 2025</v>
      </c>
      <c r="E3150" t="s">
        <v>22</v>
      </c>
      <c r="F3150" t="s">
        <v>9</v>
      </c>
      <c r="G3150">
        <v>1</v>
      </c>
      <c r="H3150">
        <v>180</v>
      </c>
      <c r="I3150" t="s">
        <v>10</v>
      </c>
      <c r="J3150" t="str">
        <f>_xlfn.XLOOKUP(branches[[#This Row],[Филиал]], tbl_Filialy[Филиал], tbl_Filialy[Менеджер])</f>
        <v>Дмитрий Волков</v>
      </c>
    </row>
    <row r="3151" spans="1:10" x14ac:dyDescent="0.3">
      <c r="A3151" t="str">
        <f>_xlfn.XLOOKUP(branches[[#This Row],[Филиал]], tbl_Filialy[Филиал], tbl_Filialy[Город])</f>
        <v>Санкт-Петербург</v>
      </c>
      <c r="B3151" s="1" t="s">
        <v>38</v>
      </c>
      <c r="C3151" s="2">
        <v>45696</v>
      </c>
      <c r="D3151" s="2" t="str">
        <f>CHOOSE(MONTH(branches[[#This Row],[Дата]]),"Январь","Февраль","Март","Апрель","Май","Июнь","Июль","Август","Сентябрь","Октябрь","Ноябрь","Декабрь")&amp;" "&amp;YEAR(branches[[#This Row],[Дата]])</f>
        <v>Февраль 2025</v>
      </c>
      <c r="E3151" t="s">
        <v>27</v>
      </c>
      <c r="F3151" t="s">
        <v>12</v>
      </c>
      <c r="G3151">
        <v>1</v>
      </c>
      <c r="H3151">
        <v>183</v>
      </c>
      <c r="I3151" t="s">
        <v>19</v>
      </c>
      <c r="J3151" t="str">
        <f>_xlfn.XLOOKUP(branches[[#This Row],[Филиал]], tbl_Filialy[Филиал], tbl_Filialy[Менеджер])</f>
        <v>Дмитрий Волков</v>
      </c>
    </row>
    <row r="3152" spans="1:10" x14ac:dyDescent="0.3">
      <c r="A3152" t="str">
        <f>_xlfn.XLOOKUP(branches[[#This Row],[Филиал]], tbl_Filialy[Филиал], tbl_Filialy[Город])</f>
        <v>Санкт-Петербург</v>
      </c>
      <c r="B3152" s="1" t="s">
        <v>38</v>
      </c>
      <c r="C3152" s="2">
        <v>45936</v>
      </c>
      <c r="D3152" s="2" t="str">
        <f>CHOOSE(MONTH(branches[[#This Row],[Дата]]),"Январь","Февраль","Март","Апрель","Май","Июнь","Июль","Август","Сентябрь","Октябрь","Ноябрь","Декабрь")&amp;" "&amp;YEAR(branches[[#This Row],[Дата]])</f>
        <v>Октябрь 2025</v>
      </c>
      <c r="E3152" t="s">
        <v>20</v>
      </c>
      <c r="F3152" t="s">
        <v>12</v>
      </c>
      <c r="G3152">
        <v>1</v>
      </c>
      <c r="H3152">
        <v>245</v>
      </c>
      <c r="I3152" t="s">
        <v>23</v>
      </c>
      <c r="J3152" t="str">
        <f>_xlfn.XLOOKUP(branches[[#This Row],[Филиал]], tbl_Filialy[Филиал], tbl_Filialy[Менеджер])</f>
        <v>Дмитрий Волков</v>
      </c>
    </row>
    <row r="3153" spans="1:10" x14ac:dyDescent="0.3">
      <c r="A3153" t="str">
        <f>_xlfn.XLOOKUP(branches[[#This Row],[Филиал]], tbl_Filialy[Филиал], tbl_Filialy[Город])</f>
        <v>Санкт-Петербург</v>
      </c>
      <c r="B3153" s="1" t="s">
        <v>38</v>
      </c>
      <c r="C3153" s="2">
        <v>45784</v>
      </c>
      <c r="D3153" s="2" t="str">
        <f>CHOOSE(MONTH(branches[[#This Row],[Дата]]),"Январь","Февраль","Март","Апрель","Май","Июнь","Июль","Август","Сентябрь","Октябрь","Ноябрь","Декабрь")&amp;" "&amp;YEAR(branches[[#This Row],[Дата]])</f>
        <v>Май 2025</v>
      </c>
      <c r="E3153" t="s">
        <v>22</v>
      </c>
      <c r="F3153" t="s">
        <v>9</v>
      </c>
      <c r="G3153">
        <v>1</v>
      </c>
      <c r="H3153">
        <v>198</v>
      </c>
      <c r="I3153" t="s">
        <v>10</v>
      </c>
      <c r="J3153" t="str">
        <f>_xlfn.XLOOKUP(branches[[#This Row],[Филиал]], tbl_Filialy[Филиал], tbl_Filialy[Менеджер])</f>
        <v>Дмитрий Волков</v>
      </c>
    </row>
    <row r="3154" spans="1:10" x14ac:dyDescent="0.3">
      <c r="A3154" t="str">
        <f>_xlfn.XLOOKUP(branches[[#This Row],[Филиал]], tbl_Filialy[Филиал], tbl_Filialy[Город])</f>
        <v>Санкт-Петербург</v>
      </c>
      <c r="B3154" s="1" t="s">
        <v>38</v>
      </c>
      <c r="C3154" s="2">
        <v>45822</v>
      </c>
      <c r="D3154" s="2" t="str">
        <f>CHOOSE(MONTH(branches[[#This Row],[Дата]]),"Январь","Февраль","Март","Апрель","Май","Июнь","Июль","Август","Сентябрь","Октябрь","Ноябрь","Декабрь")&amp;" "&amp;YEAR(branches[[#This Row],[Дата]])</f>
        <v>Июнь 2025</v>
      </c>
      <c r="E3154" t="s">
        <v>22</v>
      </c>
      <c r="F3154" t="s">
        <v>9</v>
      </c>
      <c r="G3154">
        <v>1</v>
      </c>
      <c r="H3154">
        <v>168</v>
      </c>
      <c r="I3154" t="s">
        <v>19</v>
      </c>
      <c r="J3154" t="str">
        <f>_xlfn.XLOOKUP(branches[[#This Row],[Филиал]], tbl_Filialy[Филиал], tbl_Filialy[Менеджер])</f>
        <v>Дмитрий Волков</v>
      </c>
    </row>
    <row r="3155" spans="1:10" x14ac:dyDescent="0.3">
      <c r="A3155" t="str">
        <f>_xlfn.XLOOKUP(branches[[#This Row],[Филиал]], tbl_Filialy[Филиал], tbl_Filialy[Город])</f>
        <v>Санкт-Петербург</v>
      </c>
      <c r="B3155" s="1" t="s">
        <v>38</v>
      </c>
      <c r="C3155" s="2">
        <v>45755</v>
      </c>
      <c r="D3155" s="2" t="str">
        <f>CHOOSE(MONTH(branches[[#This Row],[Дата]]),"Январь","Февраль","Март","Апрель","Май","Июнь","Июль","Август","Сентябрь","Октябрь","Ноябрь","Декабрь")&amp;" "&amp;YEAR(branches[[#This Row],[Дата]])</f>
        <v>Апрель 2025</v>
      </c>
      <c r="E3155" t="s">
        <v>16</v>
      </c>
      <c r="F3155" t="s">
        <v>17</v>
      </c>
      <c r="G3155">
        <v>1</v>
      </c>
      <c r="H3155">
        <v>291</v>
      </c>
      <c r="I3155" t="s">
        <v>10</v>
      </c>
      <c r="J3155" t="str">
        <f>_xlfn.XLOOKUP(branches[[#This Row],[Филиал]], tbl_Filialy[Филиал], tbl_Filialy[Менеджер])</f>
        <v>Дмитрий Волков</v>
      </c>
    </row>
    <row r="3156" spans="1:10" x14ac:dyDescent="0.3">
      <c r="A3156" t="str">
        <f>_xlfn.XLOOKUP(branches[[#This Row],[Филиал]], tbl_Filialy[Филиал], tbl_Filialy[Город])</f>
        <v>Санкт-Петербург</v>
      </c>
      <c r="B3156" s="1" t="s">
        <v>38</v>
      </c>
      <c r="C3156" s="2">
        <v>46018</v>
      </c>
      <c r="D3156" s="2" t="str">
        <f>CHOOSE(MONTH(branches[[#This Row],[Дата]]),"Январь","Февраль","Март","Апрель","Май","Июнь","Июль","Август","Сентябрь","Октябрь","Ноябрь","Декабрь")&amp;" "&amp;YEAR(branches[[#This Row],[Дата]])</f>
        <v>Декабрь 2025</v>
      </c>
      <c r="E3156" t="s">
        <v>20</v>
      </c>
      <c r="F3156" t="s">
        <v>12</v>
      </c>
      <c r="G3156">
        <v>3</v>
      </c>
      <c r="H3156">
        <v>756</v>
      </c>
      <c r="I3156" t="s">
        <v>19</v>
      </c>
      <c r="J3156" t="str">
        <f>_xlfn.XLOOKUP(branches[[#This Row],[Филиал]], tbl_Filialy[Филиал], tbl_Filialy[Менеджер])</f>
        <v>Дмитрий Волков</v>
      </c>
    </row>
    <row r="3157" spans="1:10" x14ac:dyDescent="0.3">
      <c r="A3157" t="str">
        <f>_xlfn.XLOOKUP(branches[[#This Row],[Филиал]], tbl_Filialy[Филиал], tbl_Filialy[Город])</f>
        <v>Санкт-Петербург</v>
      </c>
      <c r="B3157" s="1" t="s">
        <v>38</v>
      </c>
      <c r="C3157" s="2">
        <v>45847</v>
      </c>
      <c r="D3157" s="2" t="str">
        <f>CHOOSE(MONTH(branches[[#This Row],[Дата]]),"Январь","Февраль","Март","Апрель","Май","Июнь","Июль","Август","Сентябрь","Октябрь","Ноябрь","Декабрь")&amp;" "&amp;YEAR(branches[[#This Row],[Дата]])</f>
        <v>Июль 2025</v>
      </c>
      <c r="E3157" t="s">
        <v>25</v>
      </c>
      <c r="F3157" t="s">
        <v>12</v>
      </c>
      <c r="G3157">
        <v>1</v>
      </c>
      <c r="H3157">
        <v>222</v>
      </c>
      <c r="I3157" t="s">
        <v>19</v>
      </c>
      <c r="J3157" t="str">
        <f>_xlfn.XLOOKUP(branches[[#This Row],[Филиал]], tbl_Filialy[Филиал], tbl_Filialy[Менеджер])</f>
        <v>Дмитрий Волков</v>
      </c>
    </row>
    <row r="3158" spans="1:10" x14ac:dyDescent="0.3">
      <c r="A3158" t="str">
        <f>_xlfn.XLOOKUP(branches[[#This Row],[Филиал]], tbl_Filialy[Филиал], tbl_Filialy[Город])</f>
        <v>Санкт-Петербург</v>
      </c>
      <c r="B3158" s="1" t="s">
        <v>38</v>
      </c>
      <c r="C3158" s="2">
        <v>45734</v>
      </c>
      <c r="D3158" s="2" t="str">
        <f>CHOOSE(MONTH(branches[[#This Row],[Дата]]),"Январь","Февраль","Март","Апрель","Май","Июнь","Июль","Август","Сентябрь","Октябрь","Ноябрь","Декабрь")&amp;" "&amp;YEAR(branches[[#This Row],[Дата]])</f>
        <v>Март 2025</v>
      </c>
      <c r="E3158" t="s">
        <v>25</v>
      </c>
      <c r="F3158" t="s">
        <v>12</v>
      </c>
      <c r="G3158">
        <v>2</v>
      </c>
      <c r="H3158">
        <v>440</v>
      </c>
      <c r="I3158" t="s">
        <v>10</v>
      </c>
      <c r="J3158" t="str">
        <f>_xlfn.XLOOKUP(branches[[#This Row],[Филиал]], tbl_Filialy[Филиал], tbl_Filialy[Менеджер])</f>
        <v>Дмитрий Волков</v>
      </c>
    </row>
    <row r="3159" spans="1:10" x14ac:dyDescent="0.3">
      <c r="A3159" t="str">
        <f>_xlfn.XLOOKUP(branches[[#This Row],[Филиал]], tbl_Filialy[Филиал], tbl_Filialy[Город])</f>
        <v>Санкт-Петербург</v>
      </c>
      <c r="B3159" s="1" t="s">
        <v>38</v>
      </c>
      <c r="C3159" s="2">
        <v>45684</v>
      </c>
      <c r="D3159" s="2" t="str">
        <f>CHOOSE(MONTH(branches[[#This Row],[Дата]]),"Январь","Февраль","Март","Апрель","Май","Июнь","Июль","Август","Сентябрь","Октябрь","Ноябрь","Декабрь")&amp;" "&amp;YEAR(branches[[#This Row],[Дата]])</f>
        <v>Январь 2025</v>
      </c>
      <c r="E3159" t="s">
        <v>8</v>
      </c>
      <c r="F3159" t="s">
        <v>9</v>
      </c>
      <c r="G3159">
        <v>2</v>
      </c>
      <c r="H3159">
        <v>540</v>
      </c>
      <c r="I3159" t="s">
        <v>13</v>
      </c>
      <c r="J3159" t="str">
        <f>_xlfn.XLOOKUP(branches[[#This Row],[Филиал]], tbl_Filialy[Филиал], tbl_Filialy[Менеджер])</f>
        <v>Дмитрий Волков</v>
      </c>
    </row>
    <row r="3160" spans="1:10" x14ac:dyDescent="0.3">
      <c r="A3160" t="str">
        <f>_xlfn.XLOOKUP(branches[[#This Row],[Филиал]], tbl_Filialy[Филиал], tbl_Filialy[Город])</f>
        <v>Санкт-Петербург</v>
      </c>
      <c r="B3160" s="1" t="s">
        <v>38</v>
      </c>
      <c r="C3160" s="2">
        <v>46011</v>
      </c>
      <c r="D3160" s="2" t="str">
        <f>CHOOSE(MONTH(branches[[#This Row],[Дата]]),"Январь","Февраль","Март","Апрель","Май","Июнь","Июль","Август","Сентябрь","Октябрь","Ноябрь","Декабрь")&amp;" "&amp;YEAR(branches[[#This Row],[Дата]])</f>
        <v>Декабрь 2025</v>
      </c>
      <c r="E3160" t="s">
        <v>27</v>
      </c>
      <c r="F3160" t="s">
        <v>12</v>
      </c>
      <c r="G3160">
        <v>1</v>
      </c>
      <c r="H3160">
        <v>194</v>
      </c>
      <c r="I3160" t="s">
        <v>13</v>
      </c>
      <c r="J3160" t="str">
        <f>_xlfn.XLOOKUP(branches[[#This Row],[Филиал]], tbl_Filialy[Филиал], tbl_Filialy[Менеджер])</f>
        <v>Дмитрий Волков</v>
      </c>
    </row>
    <row r="3161" spans="1:10" x14ac:dyDescent="0.3">
      <c r="A3161" t="str">
        <f>_xlfn.XLOOKUP(branches[[#This Row],[Филиал]], tbl_Filialy[Филиал], tbl_Filialy[Город])</f>
        <v>Санкт-Петербург</v>
      </c>
      <c r="B3161" s="1" t="s">
        <v>38</v>
      </c>
      <c r="C3161" s="2">
        <v>45914</v>
      </c>
      <c r="D3161" s="2" t="str">
        <f>CHOOSE(MONTH(branches[[#This Row],[Дата]]),"Январь","Февраль","Март","Апрель","Май","Июнь","Июль","Август","Сентябрь","Октябрь","Ноябрь","Декабрь")&amp;" "&amp;YEAR(branches[[#This Row],[Дата]])</f>
        <v>Сентябрь 2025</v>
      </c>
      <c r="E3161" t="s">
        <v>20</v>
      </c>
      <c r="F3161" t="s">
        <v>12</v>
      </c>
      <c r="G3161">
        <v>1</v>
      </c>
      <c r="H3161">
        <v>264</v>
      </c>
      <c r="I3161" t="s">
        <v>13</v>
      </c>
      <c r="J3161" t="str">
        <f>_xlfn.XLOOKUP(branches[[#This Row],[Филиал]], tbl_Filialy[Филиал], tbl_Filialy[Менеджер])</f>
        <v>Дмитрий Волков</v>
      </c>
    </row>
    <row r="3162" spans="1:10" x14ac:dyDescent="0.3">
      <c r="A3162" t="str">
        <f>_xlfn.XLOOKUP(branches[[#This Row],[Филиал]], tbl_Filialy[Филиал], tbl_Filialy[Город])</f>
        <v>Санкт-Петербург</v>
      </c>
      <c r="B3162" s="1" t="s">
        <v>38</v>
      </c>
      <c r="C3162" s="2">
        <v>45859</v>
      </c>
      <c r="D3162" s="2" t="str">
        <f>CHOOSE(MONTH(branches[[#This Row],[Дата]]),"Январь","Февраль","Март","Апрель","Май","Июнь","Июль","Август","Сентябрь","Октябрь","Ноябрь","Декабрь")&amp;" "&amp;YEAR(branches[[#This Row],[Дата]])</f>
        <v>Июль 2025</v>
      </c>
      <c r="E3162" t="s">
        <v>8</v>
      </c>
      <c r="F3162" t="s">
        <v>9</v>
      </c>
      <c r="G3162">
        <v>2</v>
      </c>
      <c r="H3162">
        <v>440</v>
      </c>
      <c r="I3162" t="s">
        <v>23</v>
      </c>
      <c r="J3162" t="str">
        <f>_xlfn.XLOOKUP(branches[[#This Row],[Филиал]], tbl_Filialy[Филиал], tbl_Filialy[Менеджер])</f>
        <v>Дмитрий Волков</v>
      </c>
    </row>
    <row r="3163" spans="1:10" x14ac:dyDescent="0.3">
      <c r="A3163" t="str">
        <f>_xlfn.XLOOKUP(branches[[#This Row],[Филиал]], tbl_Filialy[Филиал], tbl_Filialy[Город])</f>
        <v>Санкт-Петербург</v>
      </c>
      <c r="B3163" s="1" t="s">
        <v>38</v>
      </c>
      <c r="C3163" s="2">
        <v>45835</v>
      </c>
      <c r="D3163" s="2" t="str">
        <f>CHOOSE(MONTH(branches[[#This Row],[Дата]]),"Январь","Февраль","Март","Апрель","Май","Июнь","Июль","Август","Сентябрь","Октябрь","Ноябрь","Декабрь")&amp;" "&amp;YEAR(branches[[#This Row],[Дата]])</f>
        <v>Июнь 2025</v>
      </c>
      <c r="E3163" t="s">
        <v>22</v>
      </c>
      <c r="F3163" t="s">
        <v>9</v>
      </c>
      <c r="G3163">
        <v>1</v>
      </c>
      <c r="H3163">
        <v>183</v>
      </c>
      <c r="I3163" t="s">
        <v>23</v>
      </c>
      <c r="J3163" t="str">
        <f>_xlfn.XLOOKUP(branches[[#This Row],[Филиал]], tbl_Filialy[Филиал], tbl_Filialy[Менеджер])</f>
        <v>Дмитрий Волков</v>
      </c>
    </row>
    <row r="3164" spans="1:10" x14ac:dyDescent="0.3">
      <c r="A3164" t="str">
        <f>_xlfn.XLOOKUP(branches[[#This Row],[Филиал]], tbl_Filialy[Филиал], tbl_Filialy[Город])</f>
        <v>Санкт-Петербург</v>
      </c>
      <c r="B3164" s="1" t="s">
        <v>38</v>
      </c>
      <c r="C3164" s="2">
        <v>45827</v>
      </c>
      <c r="D3164" s="2" t="str">
        <f>CHOOSE(MONTH(branches[[#This Row],[Дата]]),"Январь","Февраль","Март","Апрель","Май","Июнь","Июль","Август","Сентябрь","Октябрь","Ноябрь","Декабрь")&amp;" "&amp;YEAR(branches[[#This Row],[Дата]])</f>
        <v>Июнь 2025</v>
      </c>
      <c r="E3164" t="s">
        <v>8</v>
      </c>
      <c r="F3164" t="s">
        <v>9</v>
      </c>
      <c r="G3164">
        <v>2</v>
      </c>
      <c r="H3164">
        <v>514</v>
      </c>
      <c r="I3164" t="s">
        <v>13</v>
      </c>
      <c r="J3164" t="str">
        <f>_xlfn.XLOOKUP(branches[[#This Row],[Филиал]], tbl_Filialy[Филиал], tbl_Filialy[Менеджер])</f>
        <v>Дмитрий Волков</v>
      </c>
    </row>
    <row r="3165" spans="1:10" x14ac:dyDescent="0.3">
      <c r="A3165" t="str">
        <f>_xlfn.XLOOKUP(branches[[#This Row],[Филиал]], tbl_Filialy[Филиал], tbl_Filialy[Город])</f>
        <v>Санкт-Петербург</v>
      </c>
      <c r="B3165" s="1" t="s">
        <v>38</v>
      </c>
      <c r="C3165" s="2">
        <v>45725</v>
      </c>
      <c r="D3165" s="2" t="str">
        <f>CHOOSE(MONTH(branches[[#This Row],[Дата]]),"Январь","Февраль","Март","Апрель","Май","Июнь","Июль","Август","Сентябрь","Октябрь","Ноябрь","Декабрь")&amp;" "&amp;YEAR(branches[[#This Row],[Дата]])</f>
        <v>Март 2025</v>
      </c>
      <c r="E3165" t="s">
        <v>14</v>
      </c>
      <c r="F3165" t="s">
        <v>12</v>
      </c>
      <c r="G3165">
        <v>1</v>
      </c>
      <c r="H3165">
        <v>250</v>
      </c>
      <c r="I3165" t="s">
        <v>23</v>
      </c>
      <c r="J3165" t="str">
        <f>_xlfn.XLOOKUP(branches[[#This Row],[Филиал]], tbl_Filialy[Филиал], tbl_Filialy[Менеджер])</f>
        <v>Дмитрий Волков</v>
      </c>
    </row>
    <row r="3166" spans="1:10" x14ac:dyDescent="0.3">
      <c r="A3166" t="str">
        <f>_xlfn.XLOOKUP(branches[[#This Row],[Филиал]], tbl_Filialy[Филиал], tbl_Filialy[Город])</f>
        <v>Санкт-Петербург</v>
      </c>
      <c r="B3166" s="1" t="s">
        <v>38</v>
      </c>
      <c r="C3166" s="2">
        <v>45703</v>
      </c>
      <c r="D3166" s="2" t="str">
        <f>CHOOSE(MONTH(branches[[#This Row],[Дата]]),"Январь","Февраль","Март","Апрель","Май","Июнь","Июль","Август","Сентябрь","Октябрь","Ноябрь","Декабрь")&amp;" "&amp;YEAR(branches[[#This Row],[Дата]])</f>
        <v>Февраль 2025</v>
      </c>
      <c r="E3166" t="s">
        <v>16</v>
      </c>
      <c r="F3166" t="s">
        <v>17</v>
      </c>
      <c r="G3166">
        <v>3</v>
      </c>
      <c r="H3166">
        <v>966</v>
      </c>
      <c r="I3166" t="s">
        <v>23</v>
      </c>
      <c r="J3166" t="str">
        <f>_xlfn.XLOOKUP(branches[[#This Row],[Филиал]], tbl_Filialy[Филиал], tbl_Filialy[Менеджер])</f>
        <v>Дмитрий Волков</v>
      </c>
    </row>
    <row r="3167" spans="1:10" x14ac:dyDescent="0.3">
      <c r="A3167" t="str">
        <f>_xlfn.XLOOKUP(branches[[#This Row],[Филиал]], tbl_Filialy[Филиал], tbl_Filialy[Город])</f>
        <v>Санкт-Петербург</v>
      </c>
      <c r="B3167" s="1" t="s">
        <v>38</v>
      </c>
      <c r="C3167" s="2">
        <v>45993</v>
      </c>
      <c r="D3167" s="2" t="str">
        <f>CHOOSE(MONTH(branches[[#This Row],[Дата]]),"Январь","Февраль","Март","Апрель","Май","Июнь","Июль","Август","Сентябрь","Октябрь","Ноябрь","Декабрь")&amp;" "&amp;YEAR(branches[[#This Row],[Дата]])</f>
        <v>Декабрь 2025</v>
      </c>
      <c r="E3167" t="s">
        <v>26</v>
      </c>
      <c r="F3167" t="s">
        <v>9</v>
      </c>
      <c r="G3167">
        <v>3</v>
      </c>
      <c r="H3167">
        <v>612</v>
      </c>
      <c r="I3167" t="s">
        <v>13</v>
      </c>
      <c r="J3167" t="str">
        <f>_xlfn.XLOOKUP(branches[[#This Row],[Филиал]], tbl_Filialy[Филиал], tbl_Filialy[Менеджер])</f>
        <v>Дмитрий Волков</v>
      </c>
    </row>
    <row r="3168" spans="1:10" x14ac:dyDescent="0.3">
      <c r="A3168" t="str">
        <f>_xlfn.XLOOKUP(branches[[#This Row],[Филиал]], tbl_Filialy[Филиал], tbl_Filialy[Город])</f>
        <v>Санкт-Петербург</v>
      </c>
      <c r="B3168" s="1" t="s">
        <v>38</v>
      </c>
      <c r="C3168" s="2">
        <v>45866</v>
      </c>
      <c r="D3168" s="2" t="str">
        <f>CHOOSE(MONTH(branches[[#This Row],[Дата]]),"Январь","Февраль","Март","Апрель","Май","Июнь","Июль","Август","Сентябрь","Октябрь","Ноябрь","Декабрь")&amp;" "&amp;YEAR(branches[[#This Row],[Дата]])</f>
        <v>Июль 2025</v>
      </c>
      <c r="E3168" t="s">
        <v>11</v>
      </c>
      <c r="F3168" t="s">
        <v>12</v>
      </c>
      <c r="G3168">
        <v>1</v>
      </c>
      <c r="H3168">
        <v>182</v>
      </c>
      <c r="I3168" t="s">
        <v>10</v>
      </c>
      <c r="J3168" t="str">
        <f>_xlfn.XLOOKUP(branches[[#This Row],[Филиал]], tbl_Filialy[Филиал], tbl_Filialy[Менеджер])</f>
        <v>Дмитрий Волков</v>
      </c>
    </row>
    <row r="3169" spans="1:10" x14ac:dyDescent="0.3">
      <c r="A3169" t="str">
        <f>_xlfn.XLOOKUP(branches[[#This Row],[Филиал]], tbl_Filialy[Филиал], tbl_Filialy[Город])</f>
        <v>Санкт-Петербург</v>
      </c>
      <c r="B3169" s="1" t="s">
        <v>38</v>
      </c>
      <c r="C3169" s="2">
        <v>45876</v>
      </c>
      <c r="D3169" s="2" t="str">
        <f>CHOOSE(MONTH(branches[[#This Row],[Дата]]),"Январь","Февраль","Март","Апрель","Май","Июнь","Июль","Август","Сентябрь","Октябрь","Ноябрь","Декабрь")&amp;" "&amp;YEAR(branches[[#This Row],[Дата]])</f>
        <v>Август 2025</v>
      </c>
      <c r="E3169" t="s">
        <v>8</v>
      </c>
      <c r="F3169" t="s">
        <v>9</v>
      </c>
      <c r="G3169">
        <v>1</v>
      </c>
      <c r="H3169">
        <v>239</v>
      </c>
      <c r="I3169" t="s">
        <v>13</v>
      </c>
      <c r="J3169" t="str">
        <f>_xlfn.XLOOKUP(branches[[#This Row],[Филиал]], tbl_Filialy[Филиал], tbl_Filialy[Менеджер])</f>
        <v>Дмитрий Волков</v>
      </c>
    </row>
    <row r="3170" spans="1:10" x14ac:dyDescent="0.3">
      <c r="A3170" t="str">
        <f>_xlfn.XLOOKUP(branches[[#This Row],[Филиал]], tbl_Filialy[Филиал], tbl_Filialy[Город])</f>
        <v>Санкт-Петербург</v>
      </c>
      <c r="B3170" s="1" t="s">
        <v>38</v>
      </c>
      <c r="C3170" s="2">
        <v>45821</v>
      </c>
      <c r="D3170" s="2" t="str">
        <f>CHOOSE(MONTH(branches[[#This Row],[Дата]]),"Январь","Февраль","Март","Апрель","Май","Июнь","Июль","Август","Сентябрь","Октябрь","Ноябрь","Декабрь")&amp;" "&amp;YEAR(branches[[#This Row],[Дата]])</f>
        <v>Июнь 2025</v>
      </c>
      <c r="E3170" t="s">
        <v>26</v>
      </c>
      <c r="F3170" t="s">
        <v>9</v>
      </c>
      <c r="G3170">
        <v>1</v>
      </c>
      <c r="H3170">
        <v>217</v>
      </c>
      <c r="I3170" t="s">
        <v>15</v>
      </c>
      <c r="J3170" t="str">
        <f>_xlfn.XLOOKUP(branches[[#This Row],[Филиал]], tbl_Filialy[Филиал], tbl_Filialy[Менеджер])</f>
        <v>Дмитрий Волков</v>
      </c>
    </row>
    <row r="3171" spans="1:10" x14ac:dyDescent="0.3">
      <c r="A3171" t="str">
        <f>_xlfn.XLOOKUP(branches[[#This Row],[Филиал]], tbl_Filialy[Филиал], tbl_Filialy[Город])</f>
        <v>Санкт-Петербург</v>
      </c>
      <c r="B3171" s="1" t="s">
        <v>38</v>
      </c>
      <c r="C3171" s="2">
        <v>45754</v>
      </c>
      <c r="D3171" s="2" t="str">
        <f>CHOOSE(MONTH(branches[[#This Row],[Дата]]),"Январь","Февраль","Март","Апрель","Май","Июнь","Июль","Август","Сентябрь","Октябрь","Ноябрь","Декабрь")&amp;" "&amp;YEAR(branches[[#This Row],[Дата]])</f>
        <v>Апрель 2025</v>
      </c>
      <c r="E3171" t="s">
        <v>16</v>
      </c>
      <c r="F3171" t="s">
        <v>17</v>
      </c>
      <c r="G3171">
        <v>3</v>
      </c>
      <c r="H3171">
        <v>954</v>
      </c>
      <c r="I3171" t="s">
        <v>21</v>
      </c>
      <c r="J3171" t="str">
        <f>_xlfn.XLOOKUP(branches[[#This Row],[Филиал]], tbl_Filialy[Филиал], tbl_Filialy[Менеджер])</f>
        <v>Дмитрий Волков</v>
      </c>
    </row>
    <row r="3172" spans="1:10" x14ac:dyDescent="0.3">
      <c r="A3172" t="str">
        <f>_xlfn.XLOOKUP(branches[[#This Row],[Филиал]], tbl_Filialy[Филиал], tbl_Filialy[Город])</f>
        <v>Санкт-Петербург</v>
      </c>
      <c r="B3172" s="1" t="s">
        <v>38</v>
      </c>
      <c r="C3172" s="2">
        <v>45669</v>
      </c>
      <c r="D3172" s="2" t="str">
        <f>CHOOSE(MONTH(branches[[#This Row],[Дата]]),"Январь","Февраль","Март","Апрель","Май","Июнь","Июль","Август","Сентябрь","Октябрь","Ноябрь","Декабрь")&amp;" "&amp;YEAR(branches[[#This Row],[Дата]])</f>
        <v>Январь 2025</v>
      </c>
      <c r="E3172" t="s">
        <v>25</v>
      </c>
      <c r="F3172" t="s">
        <v>12</v>
      </c>
      <c r="G3172">
        <v>1</v>
      </c>
      <c r="H3172">
        <v>229</v>
      </c>
      <c r="I3172" t="s">
        <v>21</v>
      </c>
      <c r="J3172" t="str">
        <f>_xlfn.XLOOKUP(branches[[#This Row],[Филиал]], tbl_Filialy[Филиал], tbl_Filialy[Менеджер])</f>
        <v>Дмитрий Волков</v>
      </c>
    </row>
    <row r="3173" spans="1:10" x14ac:dyDescent="0.3">
      <c r="A3173" t="str">
        <f>_xlfn.XLOOKUP(branches[[#This Row],[Филиал]], tbl_Filialy[Филиал], tbl_Filialy[Город])</f>
        <v>Санкт-Петербург</v>
      </c>
      <c r="B3173" s="1" t="s">
        <v>38</v>
      </c>
      <c r="C3173" s="2">
        <v>45923</v>
      </c>
      <c r="D3173" s="2" t="str">
        <f>CHOOSE(MONTH(branches[[#This Row],[Дата]]),"Январь","Февраль","Март","Апрель","Май","Июнь","Июль","Август","Сентябрь","Октябрь","Ноябрь","Декабрь")&amp;" "&amp;YEAR(branches[[#This Row],[Дата]])</f>
        <v>Сентябрь 2025</v>
      </c>
      <c r="E3173" t="s">
        <v>25</v>
      </c>
      <c r="F3173" t="s">
        <v>12</v>
      </c>
      <c r="G3173">
        <v>3</v>
      </c>
      <c r="H3173">
        <v>624</v>
      </c>
      <c r="I3173" t="s">
        <v>10</v>
      </c>
      <c r="J3173" t="str">
        <f>_xlfn.XLOOKUP(branches[[#This Row],[Филиал]], tbl_Filialy[Филиал], tbl_Filialy[Менеджер])</f>
        <v>Дмитрий Волков</v>
      </c>
    </row>
    <row r="3174" spans="1:10" x14ac:dyDescent="0.3">
      <c r="A3174" t="str">
        <f>_xlfn.XLOOKUP(branches[[#This Row],[Филиал]], tbl_Filialy[Филиал], tbl_Filialy[Город])</f>
        <v>Санкт-Петербург</v>
      </c>
      <c r="B3174" s="1" t="s">
        <v>38</v>
      </c>
      <c r="C3174" s="2">
        <v>45817</v>
      </c>
      <c r="D3174" s="2" t="str">
        <f>CHOOSE(MONTH(branches[[#This Row],[Дата]]),"Январь","Февраль","Март","Апрель","Май","Июнь","Июль","Август","Сентябрь","Октябрь","Ноябрь","Декабрь")&amp;" "&amp;YEAR(branches[[#This Row],[Дата]])</f>
        <v>Июнь 2025</v>
      </c>
      <c r="E3174" t="s">
        <v>11</v>
      </c>
      <c r="F3174" t="s">
        <v>12</v>
      </c>
      <c r="G3174">
        <v>1</v>
      </c>
      <c r="H3174">
        <v>188</v>
      </c>
      <c r="I3174" t="s">
        <v>21</v>
      </c>
      <c r="J3174" t="str">
        <f>_xlfn.XLOOKUP(branches[[#This Row],[Филиал]], tbl_Filialy[Филиал], tbl_Filialy[Менеджер])</f>
        <v>Дмитрий Волков</v>
      </c>
    </row>
    <row r="3175" spans="1:10" x14ac:dyDescent="0.3">
      <c r="A3175" t="str">
        <f>_xlfn.XLOOKUP(branches[[#This Row],[Филиал]], tbl_Filialy[Филиал], tbl_Filialy[Город])</f>
        <v>Санкт-Петербург</v>
      </c>
      <c r="B3175" s="1" t="s">
        <v>38</v>
      </c>
      <c r="C3175" s="2">
        <v>45798</v>
      </c>
      <c r="D3175" s="2" t="str">
        <f>CHOOSE(MONTH(branches[[#This Row],[Дата]]),"Январь","Февраль","Март","Апрель","Май","Июнь","Июль","Август","Сентябрь","Октябрь","Ноябрь","Декабрь")&amp;" "&amp;YEAR(branches[[#This Row],[Дата]])</f>
        <v>Май 2025</v>
      </c>
      <c r="E3175" t="s">
        <v>27</v>
      </c>
      <c r="F3175" t="s">
        <v>12</v>
      </c>
      <c r="G3175">
        <v>3</v>
      </c>
      <c r="H3175">
        <v>558</v>
      </c>
      <c r="I3175" t="s">
        <v>23</v>
      </c>
      <c r="J3175" t="str">
        <f>_xlfn.XLOOKUP(branches[[#This Row],[Филиал]], tbl_Filialy[Филиал], tbl_Filialy[Менеджер])</f>
        <v>Дмитрий Волков</v>
      </c>
    </row>
    <row r="3176" spans="1:10" x14ac:dyDescent="0.3">
      <c r="A3176" t="str">
        <f>_xlfn.XLOOKUP(branches[[#This Row],[Филиал]], tbl_Filialy[Филиал], tbl_Filialy[Город])</f>
        <v>Санкт-Петербург</v>
      </c>
      <c r="B3176" s="1" t="s">
        <v>38</v>
      </c>
      <c r="C3176" s="2">
        <v>45734</v>
      </c>
      <c r="D3176" s="2" t="str">
        <f>CHOOSE(MONTH(branches[[#This Row],[Дата]]),"Январь","Февраль","Март","Апрель","Май","Июнь","Июль","Август","Сентябрь","Октябрь","Ноябрь","Декабрь")&amp;" "&amp;YEAR(branches[[#This Row],[Дата]])</f>
        <v>Март 2025</v>
      </c>
      <c r="E3176" t="s">
        <v>25</v>
      </c>
      <c r="F3176" t="s">
        <v>12</v>
      </c>
      <c r="G3176">
        <v>2</v>
      </c>
      <c r="H3176">
        <v>418</v>
      </c>
      <c r="I3176" t="s">
        <v>23</v>
      </c>
      <c r="J3176" t="str">
        <f>_xlfn.XLOOKUP(branches[[#This Row],[Филиал]], tbl_Filialy[Филиал], tbl_Filialy[Менеджер])</f>
        <v>Дмитрий Волков</v>
      </c>
    </row>
    <row r="3177" spans="1:10" x14ac:dyDescent="0.3">
      <c r="A3177" t="str">
        <f>_xlfn.XLOOKUP(branches[[#This Row],[Филиал]], tbl_Filialy[Филиал], tbl_Filialy[Город])</f>
        <v>Санкт-Петербург</v>
      </c>
      <c r="B3177" s="1" t="s">
        <v>38</v>
      </c>
      <c r="C3177" s="2">
        <v>45778</v>
      </c>
      <c r="D3177" s="2" t="str">
        <f>CHOOSE(MONTH(branches[[#This Row],[Дата]]),"Январь","Февраль","Март","Апрель","Май","Июнь","Июль","Август","Сентябрь","Октябрь","Ноябрь","Декабрь")&amp;" "&amp;YEAR(branches[[#This Row],[Дата]])</f>
        <v>Май 2025</v>
      </c>
      <c r="E3177" t="s">
        <v>24</v>
      </c>
      <c r="F3177" t="s">
        <v>17</v>
      </c>
      <c r="G3177">
        <v>3</v>
      </c>
      <c r="H3177">
        <v>1245</v>
      </c>
      <c r="I3177" t="s">
        <v>10</v>
      </c>
      <c r="J3177" t="str">
        <f>_xlfn.XLOOKUP(branches[[#This Row],[Филиал]], tbl_Filialy[Филиал], tbl_Filialy[Менеджер])</f>
        <v>Дмитрий Волков</v>
      </c>
    </row>
    <row r="3178" spans="1:10" x14ac:dyDescent="0.3">
      <c r="A3178" t="str">
        <f>_xlfn.XLOOKUP(branches[[#This Row],[Филиал]], tbl_Filialy[Филиал], tbl_Filialy[Город])</f>
        <v>Санкт-Петербург</v>
      </c>
      <c r="B3178" s="1" t="s">
        <v>38</v>
      </c>
      <c r="C3178" s="2">
        <v>45871</v>
      </c>
      <c r="D3178" s="2" t="str">
        <f>CHOOSE(MONTH(branches[[#This Row],[Дата]]),"Январь","Февраль","Март","Апрель","Май","Июнь","Июль","Август","Сентябрь","Октябрь","Ноябрь","Декабрь")&amp;" "&amp;YEAR(branches[[#This Row],[Дата]])</f>
        <v>Август 2025</v>
      </c>
      <c r="E3178" t="s">
        <v>22</v>
      </c>
      <c r="F3178" t="s">
        <v>9</v>
      </c>
      <c r="G3178">
        <v>2</v>
      </c>
      <c r="H3178">
        <v>324</v>
      </c>
      <c r="I3178" t="s">
        <v>13</v>
      </c>
      <c r="J3178" t="str">
        <f>_xlfn.XLOOKUP(branches[[#This Row],[Филиал]], tbl_Filialy[Филиал], tbl_Filialy[Менеджер])</f>
        <v>Дмитрий Волков</v>
      </c>
    </row>
    <row r="3179" spans="1:10" x14ac:dyDescent="0.3">
      <c r="A3179" t="str">
        <f>_xlfn.XLOOKUP(branches[[#This Row],[Филиал]], tbl_Filialy[Филиал], tbl_Filialy[Город])</f>
        <v>Санкт-Петербург</v>
      </c>
      <c r="B3179" s="1" t="s">
        <v>38</v>
      </c>
      <c r="C3179" s="2">
        <v>46019</v>
      </c>
      <c r="D3179" s="2" t="str">
        <f>CHOOSE(MONTH(branches[[#This Row],[Дата]]),"Январь","Февраль","Март","Апрель","Май","Июнь","Июль","Август","Сентябрь","Октябрь","Ноябрь","Декабрь")&amp;" "&amp;YEAR(branches[[#This Row],[Дата]])</f>
        <v>Декабрь 2025</v>
      </c>
      <c r="E3179" t="s">
        <v>25</v>
      </c>
      <c r="F3179" t="s">
        <v>12</v>
      </c>
      <c r="G3179">
        <v>2</v>
      </c>
      <c r="H3179">
        <v>404</v>
      </c>
      <c r="I3179" t="s">
        <v>21</v>
      </c>
      <c r="J3179" t="str">
        <f>_xlfn.XLOOKUP(branches[[#This Row],[Филиал]], tbl_Filialy[Филиал], tbl_Filialy[Менеджер])</f>
        <v>Дмитрий Волков</v>
      </c>
    </row>
    <row r="3180" spans="1:10" x14ac:dyDescent="0.3">
      <c r="A3180" t="str">
        <f>_xlfn.XLOOKUP(branches[[#This Row],[Филиал]], tbl_Filialy[Филиал], tbl_Filialy[Город])</f>
        <v>Санкт-Петербург</v>
      </c>
      <c r="B3180" s="1" t="s">
        <v>38</v>
      </c>
      <c r="C3180" s="2">
        <v>46009</v>
      </c>
      <c r="D3180" s="2" t="str">
        <f>CHOOSE(MONTH(branches[[#This Row],[Дата]]),"Январь","Февраль","Март","Апрель","Май","Июнь","Июль","Август","Сентябрь","Октябрь","Ноябрь","Декабрь")&amp;" "&amp;YEAR(branches[[#This Row],[Дата]])</f>
        <v>Декабрь 2025</v>
      </c>
      <c r="E3180" t="s">
        <v>26</v>
      </c>
      <c r="F3180" t="s">
        <v>9</v>
      </c>
      <c r="G3180">
        <v>1</v>
      </c>
      <c r="H3180">
        <v>221</v>
      </c>
      <c r="I3180" t="s">
        <v>21</v>
      </c>
      <c r="J3180" t="str">
        <f>_xlfn.XLOOKUP(branches[[#This Row],[Филиал]], tbl_Filialy[Филиал], tbl_Filialy[Менеджер])</f>
        <v>Дмитрий Волков</v>
      </c>
    </row>
    <row r="3181" spans="1:10" x14ac:dyDescent="0.3">
      <c r="A3181" t="str">
        <f>_xlfn.XLOOKUP(branches[[#This Row],[Филиал]], tbl_Filialy[Филиал], tbl_Filialy[Город])</f>
        <v>Санкт-Петербург</v>
      </c>
      <c r="B3181" s="1" t="s">
        <v>38</v>
      </c>
      <c r="C3181" s="2">
        <v>45992</v>
      </c>
      <c r="D3181" s="2" t="str">
        <f>CHOOSE(MONTH(branches[[#This Row],[Дата]]),"Январь","Февраль","Март","Апрель","Май","Июнь","Июль","Август","Сентябрь","Октябрь","Ноябрь","Декабрь")&amp;" "&amp;YEAR(branches[[#This Row],[Дата]])</f>
        <v>Декабрь 2025</v>
      </c>
      <c r="E3181" t="s">
        <v>18</v>
      </c>
      <c r="F3181" t="s">
        <v>12</v>
      </c>
      <c r="G3181">
        <v>1</v>
      </c>
      <c r="H3181">
        <v>140</v>
      </c>
      <c r="I3181" t="s">
        <v>13</v>
      </c>
      <c r="J3181" t="str">
        <f>_xlfn.XLOOKUP(branches[[#This Row],[Филиал]], tbl_Filialy[Филиал], tbl_Filialy[Менеджер])</f>
        <v>Дмитрий Волков</v>
      </c>
    </row>
    <row r="3182" spans="1:10" x14ac:dyDescent="0.3">
      <c r="A3182" t="str">
        <f>_xlfn.XLOOKUP(branches[[#This Row],[Филиал]], tbl_Filialy[Филиал], tbl_Filialy[Город])</f>
        <v>Санкт-Петербург</v>
      </c>
      <c r="B3182" s="1" t="s">
        <v>38</v>
      </c>
      <c r="C3182" s="2">
        <v>45975</v>
      </c>
      <c r="D3182" s="2" t="str">
        <f>CHOOSE(MONTH(branches[[#This Row],[Дата]]),"Январь","Февраль","Март","Апрель","Май","Июнь","Июль","Август","Сентябрь","Октябрь","Ноябрь","Декабрь")&amp;" "&amp;YEAR(branches[[#This Row],[Дата]])</f>
        <v>Ноябрь 2025</v>
      </c>
      <c r="E3182" t="s">
        <v>16</v>
      </c>
      <c r="F3182" t="s">
        <v>17</v>
      </c>
      <c r="G3182">
        <v>3</v>
      </c>
      <c r="H3182">
        <v>1056</v>
      </c>
      <c r="I3182" t="s">
        <v>19</v>
      </c>
      <c r="J3182" t="str">
        <f>_xlfn.XLOOKUP(branches[[#This Row],[Филиал]], tbl_Filialy[Филиал], tbl_Filialy[Менеджер])</f>
        <v>Дмитрий Волков</v>
      </c>
    </row>
    <row r="3183" spans="1:10" x14ac:dyDescent="0.3">
      <c r="A3183" t="str">
        <f>_xlfn.XLOOKUP(branches[[#This Row],[Филиал]], tbl_Filialy[Филиал], tbl_Filialy[Город])</f>
        <v>Санкт-Петербург</v>
      </c>
      <c r="B3183" s="1" t="s">
        <v>38</v>
      </c>
      <c r="C3183" s="2">
        <v>45768</v>
      </c>
      <c r="D3183" s="2" t="str">
        <f>CHOOSE(MONTH(branches[[#This Row],[Дата]]),"Январь","Февраль","Март","Апрель","Май","Июнь","Июль","Август","Сентябрь","Октябрь","Ноябрь","Декабрь")&amp;" "&amp;YEAR(branches[[#This Row],[Дата]])</f>
        <v>Апрель 2025</v>
      </c>
      <c r="E3183" t="s">
        <v>27</v>
      </c>
      <c r="F3183" t="s">
        <v>12</v>
      </c>
      <c r="G3183">
        <v>3</v>
      </c>
      <c r="H3183">
        <v>540</v>
      </c>
      <c r="I3183" t="s">
        <v>13</v>
      </c>
      <c r="J3183" t="str">
        <f>_xlfn.XLOOKUP(branches[[#This Row],[Филиал]], tbl_Filialy[Филиал], tbl_Filialy[Менеджер])</f>
        <v>Дмитрий Волков</v>
      </c>
    </row>
    <row r="3184" spans="1:10" x14ac:dyDescent="0.3">
      <c r="A3184" t="str">
        <f>_xlfn.XLOOKUP(branches[[#This Row],[Филиал]], tbl_Filialy[Филиал], tbl_Filialy[Город])</f>
        <v>Санкт-Петербург</v>
      </c>
      <c r="B3184" s="1" t="s">
        <v>38</v>
      </c>
      <c r="C3184" s="2">
        <v>45920</v>
      </c>
      <c r="D3184" s="2" t="str">
        <f>CHOOSE(MONTH(branches[[#This Row],[Дата]]),"Январь","Февраль","Март","Апрель","Май","Июнь","Июль","Август","Сентябрь","Октябрь","Ноябрь","Декабрь")&amp;" "&amp;YEAR(branches[[#This Row],[Дата]])</f>
        <v>Сентябрь 2025</v>
      </c>
      <c r="E3184" t="s">
        <v>20</v>
      </c>
      <c r="F3184" t="s">
        <v>12</v>
      </c>
      <c r="G3184">
        <v>2</v>
      </c>
      <c r="H3184">
        <v>612</v>
      </c>
      <c r="I3184" t="s">
        <v>23</v>
      </c>
      <c r="J3184" t="str">
        <f>_xlfn.XLOOKUP(branches[[#This Row],[Филиал]], tbl_Filialy[Филиал], tbl_Filialy[Менеджер])</f>
        <v>Дмитрий Волков</v>
      </c>
    </row>
    <row r="3185" spans="1:10" x14ac:dyDescent="0.3">
      <c r="A3185" t="str">
        <f>_xlfn.XLOOKUP(branches[[#This Row],[Филиал]], tbl_Filialy[Филиал], tbl_Filialy[Город])</f>
        <v>Санкт-Петербург</v>
      </c>
      <c r="B3185" s="1" t="s">
        <v>38</v>
      </c>
      <c r="C3185" s="2">
        <v>45964</v>
      </c>
      <c r="D3185" s="2" t="str">
        <f>CHOOSE(MONTH(branches[[#This Row],[Дата]]),"Январь","Февраль","Март","Апрель","Май","Июнь","Июль","Август","Сентябрь","Октябрь","Ноябрь","Декабрь")&amp;" "&amp;YEAR(branches[[#This Row],[Дата]])</f>
        <v>Ноябрь 2025</v>
      </c>
      <c r="E3185" t="s">
        <v>14</v>
      </c>
      <c r="F3185" t="s">
        <v>12</v>
      </c>
      <c r="G3185">
        <v>2</v>
      </c>
      <c r="H3185">
        <v>478</v>
      </c>
      <c r="I3185" t="s">
        <v>13</v>
      </c>
      <c r="J3185" t="str">
        <f>_xlfn.XLOOKUP(branches[[#This Row],[Филиал]], tbl_Filialy[Филиал], tbl_Filialy[Менеджер])</f>
        <v>Дмитрий Волков</v>
      </c>
    </row>
    <row r="3186" spans="1:10" x14ac:dyDescent="0.3">
      <c r="A3186" t="str">
        <f>_xlfn.XLOOKUP(branches[[#This Row],[Филиал]], tbl_Filialy[Филиал], tbl_Filialy[Город])</f>
        <v>Санкт-Петербург</v>
      </c>
      <c r="B3186" s="1" t="s">
        <v>38</v>
      </c>
      <c r="C3186" s="2">
        <v>46000</v>
      </c>
      <c r="D3186" s="2" t="str">
        <f>CHOOSE(MONTH(branches[[#This Row],[Дата]]),"Январь","Февраль","Март","Апрель","Май","Июнь","Июль","Август","Сентябрь","Октябрь","Ноябрь","Декабрь")&amp;" "&amp;YEAR(branches[[#This Row],[Дата]])</f>
        <v>Декабрь 2025</v>
      </c>
      <c r="E3186" t="s">
        <v>27</v>
      </c>
      <c r="F3186" t="s">
        <v>12</v>
      </c>
      <c r="G3186">
        <v>1</v>
      </c>
      <c r="H3186">
        <v>230</v>
      </c>
      <c r="I3186" t="s">
        <v>19</v>
      </c>
      <c r="J3186" t="str">
        <f>_xlfn.XLOOKUP(branches[[#This Row],[Филиал]], tbl_Filialy[Филиал], tbl_Filialy[Менеджер])</f>
        <v>Дмитрий Волков</v>
      </c>
    </row>
    <row r="3187" spans="1:10" x14ac:dyDescent="0.3">
      <c r="A3187" t="str">
        <f>_xlfn.XLOOKUP(branches[[#This Row],[Филиал]], tbl_Filialy[Филиал], tbl_Filialy[Город])</f>
        <v>Санкт-Петербург</v>
      </c>
      <c r="B3187" s="1" t="s">
        <v>38</v>
      </c>
      <c r="C3187" s="2">
        <v>45972</v>
      </c>
      <c r="D3187" s="2" t="str">
        <f>CHOOSE(MONTH(branches[[#This Row],[Дата]]),"Январь","Февраль","Март","Апрель","Май","Июнь","Июль","Август","Сентябрь","Октябрь","Ноябрь","Декабрь")&amp;" "&amp;YEAR(branches[[#This Row],[Дата]])</f>
        <v>Ноябрь 2025</v>
      </c>
      <c r="E3187" t="s">
        <v>27</v>
      </c>
      <c r="F3187" t="s">
        <v>12</v>
      </c>
      <c r="G3187">
        <v>2</v>
      </c>
      <c r="H3187">
        <v>386</v>
      </c>
      <c r="I3187" t="s">
        <v>15</v>
      </c>
      <c r="J3187" t="str">
        <f>_xlfn.XLOOKUP(branches[[#This Row],[Филиал]], tbl_Filialy[Филиал], tbl_Filialy[Менеджер])</f>
        <v>Дмитрий Волков</v>
      </c>
    </row>
    <row r="3188" spans="1:10" x14ac:dyDescent="0.3">
      <c r="A3188" t="str">
        <f>_xlfn.XLOOKUP(branches[[#This Row],[Филиал]], tbl_Filialy[Филиал], tbl_Filialy[Город])</f>
        <v>Санкт-Петербург</v>
      </c>
      <c r="B3188" s="1" t="s">
        <v>38</v>
      </c>
      <c r="C3188" s="2">
        <v>45908</v>
      </c>
      <c r="D3188" s="2" t="str">
        <f>CHOOSE(MONTH(branches[[#This Row],[Дата]]),"Январь","Февраль","Март","Апрель","Май","Июнь","Июль","Август","Сентябрь","Октябрь","Ноябрь","Декабрь")&amp;" "&amp;YEAR(branches[[#This Row],[Дата]])</f>
        <v>Сентябрь 2025</v>
      </c>
      <c r="E3188" t="s">
        <v>11</v>
      </c>
      <c r="F3188" t="s">
        <v>12</v>
      </c>
      <c r="G3188">
        <v>2</v>
      </c>
      <c r="H3188">
        <v>310</v>
      </c>
      <c r="I3188" t="s">
        <v>23</v>
      </c>
      <c r="J3188" t="str">
        <f>_xlfn.XLOOKUP(branches[[#This Row],[Филиал]], tbl_Filialy[Филиал], tbl_Filialy[Менеджер])</f>
        <v>Дмитрий Волков</v>
      </c>
    </row>
    <row r="3189" spans="1:10" x14ac:dyDescent="0.3">
      <c r="A3189" t="str">
        <f>_xlfn.XLOOKUP(branches[[#This Row],[Филиал]], tbl_Filialy[Филиал], tbl_Filialy[Город])</f>
        <v>Санкт-Петербург</v>
      </c>
      <c r="B3189" s="1" t="s">
        <v>38</v>
      </c>
      <c r="C3189" s="2">
        <v>45786</v>
      </c>
      <c r="D3189" s="2" t="str">
        <f>CHOOSE(MONTH(branches[[#This Row],[Дата]]),"Январь","Февраль","Март","Апрель","Май","Июнь","Июль","Август","Сентябрь","Октябрь","Ноябрь","Декабрь")&amp;" "&amp;YEAR(branches[[#This Row],[Дата]])</f>
        <v>Май 2025</v>
      </c>
      <c r="E3189" t="s">
        <v>16</v>
      </c>
      <c r="F3189" t="s">
        <v>17</v>
      </c>
      <c r="G3189">
        <v>1</v>
      </c>
      <c r="H3189">
        <v>346</v>
      </c>
      <c r="I3189" t="s">
        <v>19</v>
      </c>
      <c r="J3189" t="str">
        <f>_xlfn.XLOOKUP(branches[[#This Row],[Филиал]], tbl_Filialy[Филиал], tbl_Filialy[Менеджер])</f>
        <v>Дмитрий Волков</v>
      </c>
    </row>
    <row r="3190" spans="1:10" x14ac:dyDescent="0.3">
      <c r="A3190" t="str">
        <f>_xlfn.XLOOKUP(branches[[#This Row],[Филиал]], tbl_Filialy[Филиал], tbl_Filialy[Город])</f>
        <v>Санкт-Петербург</v>
      </c>
      <c r="B3190" s="1" t="s">
        <v>38</v>
      </c>
      <c r="C3190" s="2">
        <v>45675</v>
      </c>
      <c r="D3190" s="2" t="str">
        <f>CHOOSE(MONTH(branches[[#This Row],[Дата]]),"Январь","Февраль","Март","Апрель","Май","Июнь","Июль","Август","Сентябрь","Октябрь","Ноябрь","Декабрь")&amp;" "&amp;YEAR(branches[[#This Row],[Дата]])</f>
        <v>Январь 2025</v>
      </c>
      <c r="E3190" t="s">
        <v>14</v>
      </c>
      <c r="F3190" t="s">
        <v>12</v>
      </c>
      <c r="G3190">
        <v>1</v>
      </c>
      <c r="H3190">
        <v>235</v>
      </c>
      <c r="I3190" t="s">
        <v>15</v>
      </c>
      <c r="J3190" t="str">
        <f>_xlfn.XLOOKUP(branches[[#This Row],[Филиал]], tbl_Filialy[Филиал], tbl_Filialy[Менеджер])</f>
        <v>Дмитрий Волков</v>
      </c>
    </row>
    <row r="3191" spans="1:10" x14ac:dyDescent="0.3">
      <c r="A3191" t="str">
        <f>_xlfn.XLOOKUP(branches[[#This Row],[Филиал]], tbl_Filialy[Филиал], tbl_Filialy[Город])</f>
        <v>Санкт-Петербург</v>
      </c>
      <c r="B3191" s="1" t="s">
        <v>38</v>
      </c>
      <c r="C3191" s="2">
        <v>45673</v>
      </c>
      <c r="D3191" s="2" t="str">
        <f>CHOOSE(MONTH(branches[[#This Row],[Дата]]),"Январь","Февраль","Март","Апрель","Май","Июнь","Июль","Август","Сентябрь","Октябрь","Ноябрь","Декабрь")&amp;" "&amp;YEAR(branches[[#This Row],[Дата]])</f>
        <v>Январь 2025</v>
      </c>
      <c r="E3191" t="s">
        <v>16</v>
      </c>
      <c r="F3191" t="s">
        <v>17</v>
      </c>
      <c r="G3191">
        <v>1</v>
      </c>
      <c r="H3191">
        <v>310</v>
      </c>
      <c r="I3191" t="s">
        <v>15</v>
      </c>
      <c r="J3191" t="str">
        <f>_xlfn.XLOOKUP(branches[[#This Row],[Филиал]], tbl_Filialy[Филиал], tbl_Filialy[Менеджер])</f>
        <v>Дмитрий Волков</v>
      </c>
    </row>
    <row r="3192" spans="1:10" x14ac:dyDescent="0.3">
      <c r="A3192" t="str">
        <f>_xlfn.XLOOKUP(branches[[#This Row],[Филиал]], tbl_Filialy[Филиал], tbl_Filialy[Город])</f>
        <v>Санкт-Петербург</v>
      </c>
      <c r="B3192" s="1" t="s">
        <v>38</v>
      </c>
      <c r="C3192" s="2">
        <v>45888</v>
      </c>
      <c r="D3192" s="2" t="str">
        <f>CHOOSE(MONTH(branches[[#This Row],[Дата]]),"Январь","Февраль","Март","Апрель","Май","Июнь","Июль","Август","Сентябрь","Октябрь","Ноябрь","Декабрь")&amp;" "&amp;YEAR(branches[[#This Row],[Дата]])</f>
        <v>Август 2025</v>
      </c>
      <c r="E3192" t="s">
        <v>16</v>
      </c>
      <c r="F3192" t="s">
        <v>17</v>
      </c>
      <c r="G3192">
        <v>2</v>
      </c>
      <c r="H3192">
        <v>652</v>
      </c>
      <c r="I3192" t="s">
        <v>13</v>
      </c>
      <c r="J3192" t="str">
        <f>_xlfn.XLOOKUP(branches[[#This Row],[Филиал]], tbl_Filialy[Филиал], tbl_Filialy[Менеджер])</f>
        <v>Дмитрий Волков</v>
      </c>
    </row>
    <row r="3193" spans="1:10" x14ac:dyDescent="0.3">
      <c r="A3193" t="str">
        <f>_xlfn.XLOOKUP(branches[[#This Row],[Филиал]], tbl_Filialy[Филиал], tbl_Filialy[Город])</f>
        <v>Санкт-Петербург</v>
      </c>
      <c r="B3193" s="1" t="s">
        <v>38</v>
      </c>
      <c r="C3193" s="2">
        <v>45825</v>
      </c>
      <c r="D3193" s="2" t="str">
        <f>CHOOSE(MONTH(branches[[#This Row],[Дата]]),"Январь","Февраль","Март","Апрель","Май","Июнь","Июль","Август","Сентябрь","Октябрь","Ноябрь","Декабрь")&amp;" "&amp;YEAR(branches[[#This Row],[Дата]])</f>
        <v>Июнь 2025</v>
      </c>
      <c r="E3193" t="s">
        <v>16</v>
      </c>
      <c r="F3193" t="s">
        <v>17</v>
      </c>
      <c r="G3193">
        <v>1</v>
      </c>
      <c r="H3193">
        <v>350</v>
      </c>
      <c r="I3193" t="s">
        <v>10</v>
      </c>
      <c r="J3193" t="str">
        <f>_xlfn.XLOOKUP(branches[[#This Row],[Филиал]], tbl_Filialy[Филиал], tbl_Filialy[Менеджер])</f>
        <v>Дмитрий Волков</v>
      </c>
    </row>
    <row r="3194" spans="1:10" x14ac:dyDescent="0.3">
      <c r="A3194" t="str">
        <f>_xlfn.XLOOKUP(branches[[#This Row],[Филиал]], tbl_Filialy[Филиал], tbl_Filialy[Город])</f>
        <v>Санкт-Петербург</v>
      </c>
      <c r="B3194" s="1" t="s">
        <v>38</v>
      </c>
      <c r="C3194" s="2">
        <v>45659</v>
      </c>
      <c r="D3194" s="2" t="str">
        <f>CHOOSE(MONTH(branches[[#This Row],[Дата]]),"Январь","Февраль","Март","Апрель","Май","Июнь","Июль","Август","Сентябрь","Октябрь","Ноябрь","Декабрь")&amp;" "&amp;YEAR(branches[[#This Row],[Дата]])</f>
        <v>Январь 2025</v>
      </c>
      <c r="E3194" t="s">
        <v>24</v>
      </c>
      <c r="F3194" t="s">
        <v>17</v>
      </c>
      <c r="G3194">
        <v>2</v>
      </c>
      <c r="H3194">
        <v>670</v>
      </c>
      <c r="I3194" t="s">
        <v>23</v>
      </c>
      <c r="J3194" t="str">
        <f>_xlfn.XLOOKUP(branches[[#This Row],[Филиал]], tbl_Filialy[Филиал], tbl_Filialy[Менеджер])</f>
        <v>Дмитрий Волков</v>
      </c>
    </row>
    <row r="3195" spans="1:10" x14ac:dyDescent="0.3">
      <c r="A3195" t="str">
        <f>_xlfn.XLOOKUP(branches[[#This Row],[Филиал]], tbl_Filialy[Филиал], tbl_Filialy[Город])</f>
        <v>Санкт-Петербург</v>
      </c>
      <c r="B3195" s="1" t="s">
        <v>38</v>
      </c>
      <c r="C3195" s="2">
        <v>45740</v>
      </c>
      <c r="D3195" s="2" t="str">
        <f>CHOOSE(MONTH(branches[[#This Row],[Дата]]),"Январь","Февраль","Март","Апрель","Май","Июнь","Июль","Август","Сентябрь","Октябрь","Ноябрь","Декабрь")&amp;" "&amp;YEAR(branches[[#This Row],[Дата]])</f>
        <v>Март 2025</v>
      </c>
      <c r="E3195" t="s">
        <v>18</v>
      </c>
      <c r="F3195" t="s">
        <v>12</v>
      </c>
      <c r="G3195">
        <v>1</v>
      </c>
      <c r="H3195">
        <v>139</v>
      </c>
      <c r="I3195" t="s">
        <v>15</v>
      </c>
      <c r="J3195" t="str">
        <f>_xlfn.XLOOKUP(branches[[#This Row],[Филиал]], tbl_Filialy[Филиал], tbl_Filialy[Менеджер])</f>
        <v>Дмитрий Волков</v>
      </c>
    </row>
    <row r="3196" spans="1:10" x14ac:dyDescent="0.3">
      <c r="A3196" t="str">
        <f>_xlfn.XLOOKUP(branches[[#This Row],[Филиал]], tbl_Filialy[Филиал], tbl_Filialy[Город])</f>
        <v>Санкт-Петербург</v>
      </c>
      <c r="B3196" s="1" t="s">
        <v>38</v>
      </c>
      <c r="C3196" s="2">
        <v>45878</v>
      </c>
      <c r="D3196" s="2" t="str">
        <f>CHOOSE(MONTH(branches[[#This Row],[Дата]]),"Январь","Февраль","Март","Апрель","Май","Июнь","Июль","Август","Сентябрь","Октябрь","Ноябрь","Декабрь")&amp;" "&amp;YEAR(branches[[#This Row],[Дата]])</f>
        <v>Август 2025</v>
      </c>
      <c r="E3196" t="s">
        <v>18</v>
      </c>
      <c r="F3196" t="s">
        <v>12</v>
      </c>
      <c r="G3196">
        <v>1</v>
      </c>
      <c r="H3196">
        <v>147</v>
      </c>
      <c r="I3196" t="s">
        <v>10</v>
      </c>
      <c r="J3196" t="str">
        <f>_xlfn.XLOOKUP(branches[[#This Row],[Филиал]], tbl_Filialy[Филиал], tbl_Filialy[Менеджер])</f>
        <v>Дмитрий Волков</v>
      </c>
    </row>
    <row r="3197" spans="1:10" x14ac:dyDescent="0.3">
      <c r="A3197" t="str">
        <f>_xlfn.XLOOKUP(branches[[#This Row],[Филиал]], tbl_Filialy[Филиал], tbl_Filialy[Город])</f>
        <v>Санкт-Петербург</v>
      </c>
      <c r="B3197" s="1" t="s">
        <v>38</v>
      </c>
      <c r="C3197" s="2">
        <v>45949</v>
      </c>
      <c r="D3197" s="2" t="str">
        <f>CHOOSE(MONTH(branches[[#This Row],[Дата]]),"Январь","Февраль","Март","Апрель","Май","Июнь","Июль","Август","Сентябрь","Октябрь","Ноябрь","Декабрь")&amp;" "&amp;YEAR(branches[[#This Row],[Дата]])</f>
        <v>Октябрь 2025</v>
      </c>
      <c r="E3197" t="s">
        <v>25</v>
      </c>
      <c r="F3197" t="s">
        <v>12</v>
      </c>
      <c r="G3197">
        <v>1</v>
      </c>
      <c r="H3197">
        <v>243</v>
      </c>
      <c r="I3197" t="s">
        <v>21</v>
      </c>
      <c r="J3197" t="str">
        <f>_xlfn.XLOOKUP(branches[[#This Row],[Филиал]], tbl_Filialy[Филиал], tbl_Filialy[Менеджер])</f>
        <v>Дмитрий Волков</v>
      </c>
    </row>
    <row r="3198" spans="1:10" x14ac:dyDescent="0.3">
      <c r="A3198" t="str">
        <f>_xlfn.XLOOKUP(branches[[#This Row],[Филиал]], tbl_Filialy[Филиал], tbl_Filialy[Город])</f>
        <v>Санкт-Петербург</v>
      </c>
      <c r="B3198" s="1" t="s">
        <v>38</v>
      </c>
      <c r="C3198" s="2">
        <v>45722</v>
      </c>
      <c r="D3198" s="2" t="str">
        <f>CHOOSE(MONTH(branches[[#This Row],[Дата]]),"Январь","Февраль","Март","Апрель","Май","Июнь","Июль","Август","Сентябрь","Октябрь","Ноябрь","Декабрь")&amp;" "&amp;YEAR(branches[[#This Row],[Дата]])</f>
        <v>Март 2025</v>
      </c>
      <c r="E3198" t="s">
        <v>20</v>
      </c>
      <c r="F3198" t="s">
        <v>12</v>
      </c>
      <c r="G3198">
        <v>1</v>
      </c>
      <c r="H3198">
        <v>293</v>
      </c>
      <c r="I3198" t="s">
        <v>13</v>
      </c>
      <c r="J3198" t="str">
        <f>_xlfn.XLOOKUP(branches[[#This Row],[Филиал]], tbl_Filialy[Филиал], tbl_Filialy[Менеджер])</f>
        <v>Дмитрий Волков</v>
      </c>
    </row>
    <row r="3199" spans="1:10" x14ac:dyDescent="0.3">
      <c r="A3199" t="str">
        <f>_xlfn.XLOOKUP(branches[[#This Row],[Филиал]], tbl_Filialy[Филиал], tbl_Filialy[Город])</f>
        <v>Санкт-Петербург</v>
      </c>
      <c r="B3199" s="1" t="s">
        <v>38</v>
      </c>
      <c r="C3199" s="2">
        <v>45725</v>
      </c>
      <c r="D3199" s="2" t="str">
        <f>CHOOSE(MONTH(branches[[#This Row],[Дата]]),"Январь","Февраль","Март","Апрель","Май","Июнь","Июль","Август","Сентябрь","Октябрь","Ноябрь","Декабрь")&amp;" "&amp;YEAR(branches[[#This Row],[Дата]])</f>
        <v>Март 2025</v>
      </c>
      <c r="E3199" t="s">
        <v>20</v>
      </c>
      <c r="F3199" t="s">
        <v>12</v>
      </c>
      <c r="G3199">
        <v>3</v>
      </c>
      <c r="H3199">
        <v>810</v>
      </c>
      <c r="I3199" t="s">
        <v>10</v>
      </c>
      <c r="J3199" t="str">
        <f>_xlfn.XLOOKUP(branches[[#This Row],[Филиал]], tbl_Filialy[Филиал], tbl_Filialy[Менеджер])</f>
        <v>Дмитрий Волков</v>
      </c>
    </row>
    <row r="3200" spans="1:10" x14ac:dyDescent="0.3">
      <c r="A3200" t="str">
        <f>_xlfn.XLOOKUP(branches[[#This Row],[Филиал]], tbl_Filialy[Филиал], tbl_Filialy[Город])</f>
        <v>Санкт-Петербург</v>
      </c>
      <c r="B3200" s="1" t="s">
        <v>38</v>
      </c>
      <c r="C3200" s="2">
        <v>45665</v>
      </c>
      <c r="D3200" s="2" t="str">
        <f>CHOOSE(MONTH(branches[[#This Row],[Дата]]),"Январь","Февраль","Март","Апрель","Май","Июнь","Июль","Август","Сентябрь","Октябрь","Ноябрь","Декабрь")&amp;" "&amp;YEAR(branches[[#This Row],[Дата]])</f>
        <v>Январь 2025</v>
      </c>
      <c r="E3200" t="s">
        <v>25</v>
      </c>
      <c r="F3200" t="s">
        <v>12</v>
      </c>
      <c r="G3200">
        <v>1</v>
      </c>
      <c r="H3200">
        <v>215</v>
      </c>
      <c r="I3200" t="s">
        <v>15</v>
      </c>
      <c r="J3200" t="str">
        <f>_xlfn.XLOOKUP(branches[[#This Row],[Филиал]], tbl_Filialy[Филиал], tbl_Filialy[Менеджер])</f>
        <v>Дмитрий Волков</v>
      </c>
    </row>
    <row r="3201" spans="1:10" x14ac:dyDescent="0.3">
      <c r="A3201" t="str">
        <f>_xlfn.XLOOKUP(branches[[#This Row],[Филиал]], tbl_Filialy[Филиал], tbl_Filialy[Город])</f>
        <v>Санкт-Петербург</v>
      </c>
      <c r="B3201" s="1" t="s">
        <v>38</v>
      </c>
      <c r="C3201" s="2">
        <v>45741</v>
      </c>
      <c r="D3201" s="2" t="str">
        <f>CHOOSE(MONTH(branches[[#This Row],[Дата]]),"Январь","Февраль","Март","Апрель","Май","Июнь","Июль","Август","Сентябрь","Октябрь","Ноябрь","Декабрь")&amp;" "&amp;YEAR(branches[[#This Row],[Дата]])</f>
        <v>Март 2025</v>
      </c>
      <c r="E3201" t="s">
        <v>28</v>
      </c>
      <c r="F3201" t="s">
        <v>12</v>
      </c>
      <c r="G3201">
        <v>1</v>
      </c>
      <c r="H3201">
        <v>236</v>
      </c>
      <c r="I3201" t="s">
        <v>23</v>
      </c>
      <c r="J3201" t="str">
        <f>_xlfn.XLOOKUP(branches[[#This Row],[Филиал]], tbl_Filialy[Филиал], tbl_Filialy[Менеджер])</f>
        <v>Дмитрий Волков</v>
      </c>
    </row>
    <row r="3202" spans="1:10" x14ac:dyDescent="0.3">
      <c r="A3202" t="str">
        <f>_xlfn.XLOOKUP(branches[[#This Row],[Филиал]], tbl_Filialy[Филиал], tbl_Filialy[Город])</f>
        <v>Санкт-Петербург</v>
      </c>
      <c r="B3202" s="1" t="s">
        <v>38</v>
      </c>
      <c r="C3202" s="2">
        <v>45683</v>
      </c>
      <c r="D3202" s="2" t="str">
        <f>CHOOSE(MONTH(branches[[#This Row],[Дата]]),"Январь","Февраль","Март","Апрель","Май","Июнь","Июль","Август","Сентябрь","Октябрь","Ноябрь","Декабрь")&amp;" "&amp;YEAR(branches[[#This Row],[Дата]])</f>
        <v>Январь 2025</v>
      </c>
      <c r="E3202" t="s">
        <v>28</v>
      </c>
      <c r="F3202" t="s">
        <v>12</v>
      </c>
      <c r="G3202">
        <v>1</v>
      </c>
      <c r="H3202">
        <v>221</v>
      </c>
      <c r="I3202" t="s">
        <v>15</v>
      </c>
      <c r="J3202" t="str">
        <f>_xlfn.XLOOKUP(branches[[#This Row],[Филиал]], tbl_Filialy[Филиал], tbl_Filialy[Менеджер])</f>
        <v>Дмитрий Волков</v>
      </c>
    </row>
    <row r="3203" spans="1:10" x14ac:dyDescent="0.3">
      <c r="A3203" t="str">
        <f>_xlfn.XLOOKUP(branches[[#This Row],[Филиал]], tbl_Filialy[Филиал], tbl_Filialy[Город])</f>
        <v>Санкт-Петербург</v>
      </c>
      <c r="B3203" s="1" t="s">
        <v>38</v>
      </c>
      <c r="C3203" s="2">
        <v>45853</v>
      </c>
      <c r="D3203" s="2" t="str">
        <f>CHOOSE(MONTH(branches[[#This Row],[Дата]]),"Январь","Февраль","Март","Апрель","Май","Июнь","Июль","Август","Сентябрь","Октябрь","Ноябрь","Декабрь")&amp;" "&amp;YEAR(branches[[#This Row],[Дата]])</f>
        <v>Июль 2025</v>
      </c>
      <c r="E3203" t="s">
        <v>24</v>
      </c>
      <c r="F3203" t="s">
        <v>17</v>
      </c>
      <c r="G3203">
        <v>1</v>
      </c>
      <c r="H3203">
        <v>372</v>
      </c>
      <c r="I3203" t="s">
        <v>21</v>
      </c>
      <c r="J3203" t="str">
        <f>_xlfn.XLOOKUP(branches[[#This Row],[Филиал]], tbl_Filialy[Филиал], tbl_Filialy[Менеджер])</f>
        <v>Дмитрий Волков</v>
      </c>
    </row>
    <row r="3204" spans="1:10" x14ac:dyDescent="0.3">
      <c r="A3204" t="str">
        <f>_xlfn.XLOOKUP(branches[[#This Row],[Филиал]], tbl_Filialy[Филиал], tbl_Filialy[Город])</f>
        <v>Санкт-Петербург</v>
      </c>
      <c r="B3204" s="1" t="s">
        <v>38</v>
      </c>
      <c r="C3204" s="2">
        <v>45905</v>
      </c>
      <c r="D3204" s="2" t="str">
        <f>CHOOSE(MONTH(branches[[#This Row],[Дата]]),"Январь","Февраль","Март","Апрель","Май","Июнь","Июль","Август","Сентябрь","Октябрь","Ноябрь","Декабрь")&amp;" "&amp;YEAR(branches[[#This Row],[Дата]])</f>
        <v>Сентябрь 2025</v>
      </c>
      <c r="E3204" t="s">
        <v>16</v>
      </c>
      <c r="F3204" t="s">
        <v>17</v>
      </c>
      <c r="G3204">
        <v>1</v>
      </c>
      <c r="H3204">
        <v>307</v>
      </c>
      <c r="I3204" t="s">
        <v>21</v>
      </c>
      <c r="J3204" t="str">
        <f>_xlfn.XLOOKUP(branches[[#This Row],[Филиал]], tbl_Filialy[Филиал], tbl_Filialy[Менеджер])</f>
        <v>Дмитрий Волков</v>
      </c>
    </row>
    <row r="3205" spans="1:10" x14ac:dyDescent="0.3">
      <c r="A3205" t="str">
        <f>_xlfn.XLOOKUP(branches[[#This Row],[Филиал]], tbl_Filialy[Филиал], tbl_Filialy[Город])</f>
        <v>Санкт-Петербург</v>
      </c>
      <c r="B3205" s="1" t="s">
        <v>38</v>
      </c>
      <c r="C3205" s="2">
        <v>45984</v>
      </c>
      <c r="D3205" s="2" t="str">
        <f>CHOOSE(MONTH(branches[[#This Row],[Дата]]),"Январь","Февраль","Март","Апрель","Май","Июнь","Июль","Август","Сентябрь","Октябрь","Ноябрь","Декабрь")&amp;" "&amp;YEAR(branches[[#This Row],[Дата]])</f>
        <v>Ноябрь 2025</v>
      </c>
      <c r="E3205" t="s">
        <v>27</v>
      </c>
      <c r="F3205" t="s">
        <v>12</v>
      </c>
      <c r="G3205">
        <v>1</v>
      </c>
      <c r="H3205">
        <v>229</v>
      </c>
      <c r="I3205" t="s">
        <v>21</v>
      </c>
      <c r="J3205" t="str">
        <f>_xlfn.XLOOKUP(branches[[#This Row],[Филиал]], tbl_Filialy[Филиал], tbl_Filialy[Менеджер])</f>
        <v>Дмитрий Волков</v>
      </c>
    </row>
    <row r="3206" spans="1:10" x14ac:dyDescent="0.3">
      <c r="A3206" t="str">
        <f>_xlfn.XLOOKUP(branches[[#This Row],[Филиал]], tbl_Filialy[Филиал], tbl_Filialy[Город])</f>
        <v>Санкт-Петербург</v>
      </c>
      <c r="B3206" s="1" t="s">
        <v>38</v>
      </c>
      <c r="C3206" s="2">
        <v>45860</v>
      </c>
      <c r="D3206" s="2" t="str">
        <f>CHOOSE(MONTH(branches[[#This Row],[Дата]]),"Январь","Февраль","Март","Апрель","Май","Июнь","Июль","Август","Сентябрь","Октябрь","Ноябрь","Декабрь")&amp;" "&amp;YEAR(branches[[#This Row],[Дата]])</f>
        <v>Июль 2025</v>
      </c>
      <c r="E3206" t="s">
        <v>28</v>
      </c>
      <c r="F3206" t="s">
        <v>12</v>
      </c>
      <c r="G3206">
        <v>1</v>
      </c>
      <c r="H3206">
        <v>250</v>
      </c>
      <c r="I3206" t="s">
        <v>10</v>
      </c>
      <c r="J3206" t="str">
        <f>_xlfn.XLOOKUP(branches[[#This Row],[Филиал]], tbl_Filialy[Филиал], tbl_Filialy[Менеджер])</f>
        <v>Дмитрий Волков</v>
      </c>
    </row>
    <row r="3207" spans="1:10" x14ac:dyDescent="0.3">
      <c r="A3207" t="str">
        <f>_xlfn.XLOOKUP(branches[[#This Row],[Филиал]], tbl_Filialy[Филиал], tbl_Filialy[Город])</f>
        <v>Санкт-Петербург</v>
      </c>
      <c r="B3207" s="1" t="s">
        <v>38</v>
      </c>
      <c r="C3207" s="2">
        <v>45798</v>
      </c>
      <c r="D3207" s="2" t="str">
        <f>CHOOSE(MONTH(branches[[#This Row],[Дата]]),"Январь","Февраль","Март","Апрель","Май","Июнь","Июль","Август","Сентябрь","Октябрь","Ноябрь","Декабрь")&amp;" "&amp;YEAR(branches[[#This Row],[Дата]])</f>
        <v>Май 2025</v>
      </c>
      <c r="E3207" t="s">
        <v>28</v>
      </c>
      <c r="F3207" t="s">
        <v>12</v>
      </c>
      <c r="G3207">
        <v>1</v>
      </c>
      <c r="H3207">
        <v>245</v>
      </c>
      <c r="I3207" t="s">
        <v>23</v>
      </c>
      <c r="J3207" t="str">
        <f>_xlfn.XLOOKUP(branches[[#This Row],[Филиал]], tbl_Filialy[Филиал], tbl_Filialy[Менеджер])</f>
        <v>Дмитрий Волков</v>
      </c>
    </row>
    <row r="3208" spans="1:10" x14ac:dyDescent="0.3">
      <c r="A3208" t="str">
        <f>_xlfn.XLOOKUP(branches[[#This Row],[Филиал]], tbl_Filialy[Филиал], tbl_Filialy[Город])</f>
        <v>Санкт-Петербург</v>
      </c>
      <c r="B3208" s="1" t="s">
        <v>38</v>
      </c>
      <c r="C3208" s="2">
        <v>45659</v>
      </c>
      <c r="D3208" s="2" t="str">
        <f>CHOOSE(MONTH(branches[[#This Row],[Дата]]),"Январь","Февраль","Март","Апрель","Май","Июнь","Июль","Август","Сентябрь","Октябрь","Ноябрь","Декабрь")&amp;" "&amp;YEAR(branches[[#This Row],[Дата]])</f>
        <v>Январь 2025</v>
      </c>
      <c r="E3208" t="s">
        <v>14</v>
      </c>
      <c r="F3208" t="s">
        <v>12</v>
      </c>
      <c r="G3208">
        <v>1</v>
      </c>
      <c r="H3208">
        <v>232</v>
      </c>
      <c r="I3208" t="s">
        <v>15</v>
      </c>
      <c r="J3208" t="str">
        <f>_xlfn.XLOOKUP(branches[[#This Row],[Филиал]], tbl_Filialy[Филиал], tbl_Filialy[Менеджер])</f>
        <v>Дмитрий Волков</v>
      </c>
    </row>
    <row r="3209" spans="1:10" x14ac:dyDescent="0.3">
      <c r="A3209" t="str">
        <f>_xlfn.XLOOKUP(branches[[#This Row],[Филиал]], tbl_Filialy[Филиал], tbl_Filialy[Город])</f>
        <v>Санкт-Петербург</v>
      </c>
      <c r="B3209" s="1" t="s">
        <v>38</v>
      </c>
      <c r="C3209" s="2">
        <v>45906</v>
      </c>
      <c r="D3209" s="2" t="str">
        <f>CHOOSE(MONTH(branches[[#This Row],[Дата]]),"Январь","Февраль","Март","Апрель","Май","Июнь","Июль","Август","Сентябрь","Октябрь","Ноябрь","Декабрь")&amp;" "&amp;YEAR(branches[[#This Row],[Дата]])</f>
        <v>Сентябрь 2025</v>
      </c>
      <c r="E3209" t="s">
        <v>22</v>
      </c>
      <c r="F3209" t="s">
        <v>9</v>
      </c>
      <c r="G3209">
        <v>1</v>
      </c>
      <c r="H3209">
        <v>197</v>
      </c>
      <c r="I3209" t="s">
        <v>13</v>
      </c>
      <c r="J3209" t="str">
        <f>_xlfn.XLOOKUP(branches[[#This Row],[Филиал]], tbl_Filialy[Филиал], tbl_Filialy[Менеджер])</f>
        <v>Дмитрий Волков</v>
      </c>
    </row>
    <row r="3210" spans="1:10" x14ac:dyDescent="0.3">
      <c r="A3210" t="str">
        <f>_xlfn.XLOOKUP(branches[[#This Row],[Филиал]], tbl_Filialy[Филиал], tbl_Filialy[Город])</f>
        <v>Санкт-Петербург</v>
      </c>
      <c r="B3210" s="1" t="s">
        <v>38</v>
      </c>
      <c r="C3210" s="2">
        <v>45912</v>
      </c>
      <c r="D3210" s="2" t="str">
        <f>CHOOSE(MONTH(branches[[#This Row],[Дата]]),"Январь","Февраль","Март","Апрель","Май","Июнь","Июль","Август","Сентябрь","Октябрь","Ноябрь","Декабрь")&amp;" "&amp;YEAR(branches[[#This Row],[Дата]])</f>
        <v>Сентябрь 2025</v>
      </c>
      <c r="E3210" t="s">
        <v>25</v>
      </c>
      <c r="F3210" t="s">
        <v>12</v>
      </c>
      <c r="G3210">
        <v>2</v>
      </c>
      <c r="H3210">
        <v>442</v>
      </c>
      <c r="I3210" t="s">
        <v>23</v>
      </c>
      <c r="J3210" t="str">
        <f>_xlfn.XLOOKUP(branches[[#This Row],[Филиал]], tbl_Filialy[Филиал], tbl_Filialy[Менеджер])</f>
        <v>Дмитрий Волков</v>
      </c>
    </row>
    <row r="3211" spans="1:10" x14ac:dyDescent="0.3">
      <c r="A3211" t="str">
        <f>_xlfn.XLOOKUP(branches[[#This Row],[Филиал]], tbl_Filialy[Филиал], tbl_Filialy[Город])</f>
        <v>Санкт-Петербург</v>
      </c>
      <c r="B3211" s="1" t="s">
        <v>38</v>
      </c>
      <c r="C3211" s="2">
        <v>45998</v>
      </c>
      <c r="D3211" s="2" t="str">
        <f>CHOOSE(MONTH(branches[[#This Row],[Дата]]),"Январь","Февраль","Март","Апрель","Май","Июнь","Июль","Август","Сентябрь","Октябрь","Ноябрь","Декабрь")&amp;" "&amp;YEAR(branches[[#This Row],[Дата]])</f>
        <v>Декабрь 2025</v>
      </c>
      <c r="E3211" t="s">
        <v>8</v>
      </c>
      <c r="F3211" t="s">
        <v>9</v>
      </c>
      <c r="G3211">
        <v>2</v>
      </c>
      <c r="H3211">
        <v>464</v>
      </c>
      <c r="I3211" t="s">
        <v>19</v>
      </c>
      <c r="J3211" t="str">
        <f>_xlfn.XLOOKUP(branches[[#This Row],[Филиал]], tbl_Filialy[Филиал], tbl_Filialy[Менеджер])</f>
        <v>Дмитрий Волков</v>
      </c>
    </row>
    <row r="3212" spans="1:10" x14ac:dyDescent="0.3">
      <c r="A3212" t="str">
        <f>_xlfn.XLOOKUP(branches[[#This Row],[Филиал]], tbl_Filialy[Филиал], tbl_Filialy[Город])</f>
        <v>Санкт-Петербург</v>
      </c>
      <c r="B3212" s="1" t="s">
        <v>38</v>
      </c>
      <c r="C3212" s="2">
        <v>45714</v>
      </c>
      <c r="D3212" s="2" t="str">
        <f>CHOOSE(MONTH(branches[[#This Row],[Дата]]),"Январь","Февраль","Март","Апрель","Май","Июнь","Июль","Август","Сентябрь","Октябрь","Ноябрь","Декабрь")&amp;" "&amp;YEAR(branches[[#This Row],[Дата]])</f>
        <v>Февраль 2025</v>
      </c>
      <c r="E3212" t="s">
        <v>26</v>
      </c>
      <c r="F3212" t="s">
        <v>9</v>
      </c>
      <c r="G3212">
        <v>1</v>
      </c>
      <c r="H3212">
        <v>186</v>
      </c>
      <c r="I3212" t="s">
        <v>10</v>
      </c>
      <c r="J3212" t="str">
        <f>_xlfn.XLOOKUP(branches[[#This Row],[Филиал]], tbl_Filialy[Филиал], tbl_Filialy[Менеджер])</f>
        <v>Дмитрий Волков</v>
      </c>
    </row>
    <row r="3213" spans="1:10" x14ac:dyDescent="0.3">
      <c r="A3213" t="str">
        <f>_xlfn.XLOOKUP(branches[[#This Row],[Филиал]], tbl_Filialy[Филиал], tbl_Filialy[Город])</f>
        <v>Санкт-Петербург</v>
      </c>
      <c r="B3213" s="1" t="s">
        <v>38</v>
      </c>
      <c r="C3213" s="2">
        <v>45926</v>
      </c>
      <c r="D3213" s="2" t="str">
        <f>CHOOSE(MONTH(branches[[#This Row],[Дата]]),"Январь","Февраль","Март","Апрель","Май","Июнь","Июль","Август","Сентябрь","Октябрь","Ноябрь","Декабрь")&amp;" "&amp;YEAR(branches[[#This Row],[Дата]])</f>
        <v>Сентябрь 2025</v>
      </c>
      <c r="E3213" t="s">
        <v>25</v>
      </c>
      <c r="F3213" t="s">
        <v>12</v>
      </c>
      <c r="G3213">
        <v>3</v>
      </c>
      <c r="H3213">
        <v>585</v>
      </c>
      <c r="I3213" t="s">
        <v>23</v>
      </c>
      <c r="J3213" t="str">
        <f>_xlfn.XLOOKUP(branches[[#This Row],[Филиал]], tbl_Filialy[Филиал], tbl_Filialy[Менеджер])</f>
        <v>Дмитрий Волков</v>
      </c>
    </row>
    <row r="3214" spans="1:10" x14ac:dyDescent="0.3">
      <c r="A3214" t="str">
        <f>_xlfn.XLOOKUP(branches[[#This Row],[Филиал]], tbl_Filialy[Филиал], tbl_Filialy[Город])</f>
        <v>Санкт-Петербург</v>
      </c>
      <c r="B3214" s="1" t="s">
        <v>38</v>
      </c>
      <c r="C3214" s="2">
        <v>45887</v>
      </c>
      <c r="D3214" s="2" t="str">
        <f>CHOOSE(MONTH(branches[[#This Row],[Дата]]),"Январь","Февраль","Март","Апрель","Май","Июнь","Июль","Август","Сентябрь","Октябрь","Ноябрь","Декабрь")&amp;" "&amp;YEAR(branches[[#This Row],[Дата]])</f>
        <v>Август 2025</v>
      </c>
      <c r="E3214" t="s">
        <v>20</v>
      </c>
      <c r="F3214" t="s">
        <v>12</v>
      </c>
      <c r="G3214">
        <v>1</v>
      </c>
      <c r="H3214">
        <v>307</v>
      </c>
      <c r="I3214" t="s">
        <v>23</v>
      </c>
      <c r="J3214" t="str">
        <f>_xlfn.XLOOKUP(branches[[#This Row],[Филиал]], tbl_Filialy[Филиал], tbl_Filialy[Менеджер])</f>
        <v>Дмитрий Волков</v>
      </c>
    </row>
    <row r="3215" spans="1:10" x14ac:dyDescent="0.3">
      <c r="A3215" t="str">
        <f>_xlfn.XLOOKUP(branches[[#This Row],[Филиал]], tbl_Filialy[Филиал], tbl_Filialy[Город])</f>
        <v>Санкт-Петербург</v>
      </c>
      <c r="B3215" s="1" t="s">
        <v>38</v>
      </c>
      <c r="C3215" s="2">
        <v>45821</v>
      </c>
      <c r="D3215" s="2" t="str">
        <f>CHOOSE(MONTH(branches[[#This Row],[Дата]]),"Январь","Февраль","Март","Апрель","Май","Июнь","Июль","Август","Сентябрь","Октябрь","Ноябрь","Декабрь")&amp;" "&amp;YEAR(branches[[#This Row],[Дата]])</f>
        <v>Июнь 2025</v>
      </c>
      <c r="E3215" t="s">
        <v>24</v>
      </c>
      <c r="F3215" t="s">
        <v>17</v>
      </c>
      <c r="G3215">
        <v>1</v>
      </c>
      <c r="H3215">
        <v>348</v>
      </c>
      <c r="I3215" t="s">
        <v>13</v>
      </c>
      <c r="J3215" t="str">
        <f>_xlfn.XLOOKUP(branches[[#This Row],[Филиал]], tbl_Filialy[Филиал], tbl_Filialy[Менеджер])</f>
        <v>Дмитрий Волков</v>
      </c>
    </row>
    <row r="3216" spans="1:10" x14ac:dyDescent="0.3">
      <c r="A3216" t="str">
        <f>_xlfn.XLOOKUP(branches[[#This Row],[Филиал]], tbl_Filialy[Филиал], tbl_Filialy[Город])</f>
        <v>Санкт-Петербург</v>
      </c>
      <c r="B3216" s="1" t="s">
        <v>38</v>
      </c>
      <c r="C3216" s="2">
        <v>45854</v>
      </c>
      <c r="D3216" s="2" t="str">
        <f>CHOOSE(MONTH(branches[[#This Row],[Дата]]),"Январь","Февраль","Март","Апрель","Май","Июнь","Июль","Август","Сентябрь","Октябрь","Ноябрь","Декабрь")&amp;" "&amp;YEAR(branches[[#This Row],[Дата]])</f>
        <v>Июль 2025</v>
      </c>
      <c r="E3216" t="s">
        <v>18</v>
      </c>
      <c r="F3216" t="s">
        <v>12</v>
      </c>
      <c r="G3216">
        <v>2</v>
      </c>
      <c r="H3216">
        <v>306</v>
      </c>
      <c r="I3216" t="s">
        <v>19</v>
      </c>
      <c r="J3216" t="str">
        <f>_xlfn.XLOOKUP(branches[[#This Row],[Филиал]], tbl_Filialy[Филиал], tbl_Filialy[Менеджер])</f>
        <v>Дмитрий Волков</v>
      </c>
    </row>
    <row r="3217" spans="1:10" x14ac:dyDescent="0.3">
      <c r="A3217" t="str">
        <f>_xlfn.XLOOKUP(branches[[#This Row],[Филиал]], tbl_Filialy[Филиал], tbl_Filialy[Город])</f>
        <v>Санкт-Петербург</v>
      </c>
      <c r="B3217" s="1" t="s">
        <v>38</v>
      </c>
      <c r="C3217" s="2">
        <v>45736</v>
      </c>
      <c r="D3217" s="2" t="str">
        <f>CHOOSE(MONTH(branches[[#This Row],[Дата]]),"Январь","Февраль","Март","Апрель","Май","Июнь","Июль","Август","Сентябрь","Октябрь","Ноябрь","Декабрь")&amp;" "&amp;YEAR(branches[[#This Row],[Дата]])</f>
        <v>Март 2025</v>
      </c>
      <c r="E3217" t="s">
        <v>16</v>
      </c>
      <c r="F3217" t="s">
        <v>17</v>
      </c>
      <c r="G3217">
        <v>2</v>
      </c>
      <c r="H3217">
        <v>706</v>
      </c>
      <c r="I3217" t="s">
        <v>15</v>
      </c>
      <c r="J3217" t="str">
        <f>_xlfn.XLOOKUP(branches[[#This Row],[Филиал]], tbl_Filialy[Филиал], tbl_Filialy[Менеджер])</f>
        <v>Дмитрий Волков</v>
      </c>
    </row>
    <row r="3218" spans="1:10" x14ac:dyDescent="0.3">
      <c r="A3218" t="str">
        <f>_xlfn.XLOOKUP(branches[[#This Row],[Филиал]], tbl_Filialy[Филиал], tbl_Filialy[Город])</f>
        <v>Санкт-Петербург</v>
      </c>
      <c r="B3218" s="1" t="s">
        <v>38</v>
      </c>
      <c r="C3218" s="2">
        <v>45954</v>
      </c>
      <c r="D3218" s="2" t="str">
        <f>CHOOSE(MONTH(branches[[#This Row],[Дата]]),"Январь","Февраль","Март","Апрель","Май","Июнь","Июль","Август","Сентябрь","Октябрь","Ноябрь","Декабрь")&amp;" "&amp;YEAR(branches[[#This Row],[Дата]])</f>
        <v>Октябрь 2025</v>
      </c>
      <c r="E3218" t="s">
        <v>28</v>
      </c>
      <c r="F3218" t="s">
        <v>12</v>
      </c>
      <c r="G3218">
        <v>2</v>
      </c>
      <c r="H3218">
        <v>436</v>
      </c>
      <c r="I3218" t="s">
        <v>19</v>
      </c>
      <c r="J3218" t="str">
        <f>_xlfn.XLOOKUP(branches[[#This Row],[Филиал]], tbl_Filialy[Филиал], tbl_Filialy[Менеджер])</f>
        <v>Дмитрий Волков</v>
      </c>
    </row>
    <row r="3219" spans="1:10" x14ac:dyDescent="0.3">
      <c r="A3219" t="str">
        <f>_xlfn.XLOOKUP(branches[[#This Row],[Филиал]], tbl_Filialy[Филиал], tbl_Filialy[Город])</f>
        <v>Санкт-Петербург</v>
      </c>
      <c r="B3219" s="1" t="s">
        <v>38</v>
      </c>
      <c r="C3219" s="2">
        <v>45861</v>
      </c>
      <c r="D3219" s="2" t="str">
        <f>CHOOSE(MONTH(branches[[#This Row],[Дата]]),"Январь","Февраль","Март","Апрель","Май","Июнь","Июль","Август","Сентябрь","Октябрь","Ноябрь","Декабрь")&amp;" "&amp;YEAR(branches[[#This Row],[Дата]])</f>
        <v>Июль 2025</v>
      </c>
      <c r="E3219" t="s">
        <v>22</v>
      </c>
      <c r="F3219" t="s">
        <v>9</v>
      </c>
      <c r="G3219">
        <v>1</v>
      </c>
      <c r="H3219">
        <v>200</v>
      </c>
      <c r="I3219" t="s">
        <v>13</v>
      </c>
      <c r="J3219" t="str">
        <f>_xlfn.XLOOKUP(branches[[#This Row],[Филиал]], tbl_Filialy[Филиал], tbl_Filialy[Менеджер])</f>
        <v>Дмитрий Волков</v>
      </c>
    </row>
    <row r="3220" spans="1:10" x14ac:dyDescent="0.3">
      <c r="A3220" t="str">
        <f>_xlfn.XLOOKUP(branches[[#This Row],[Филиал]], tbl_Filialy[Филиал], tbl_Filialy[Город])</f>
        <v>Санкт-Петербург</v>
      </c>
      <c r="B3220" s="1" t="s">
        <v>38</v>
      </c>
      <c r="C3220" s="2">
        <v>45849</v>
      </c>
      <c r="D3220" s="2" t="str">
        <f>CHOOSE(MONTH(branches[[#This Row],[Дата]]),"Январь","Февраль","Март","Апрель","Май","Июнь","Июль","Август","Сентябрь","Октябрь","Ноябрь","Декабрь")&amp;" "&amp;YEAR(branches[[#This Row],[Дата]])</f>
        <v>Июль 2025</v>
      </c>
      <c r="E3220" t="s">
        <v>18</v>
      </c>
      <c r="F3220" t="s">
        <v>12</v>
      </c>
      <c r="G3220">
        <v>3</v>
      </c>
      <c r="H3220">
        <v>423</v>
      </c>
      <c r="I3220" t="s">
        <v>10</v>
      </c>
      <c r="J3220" t="str">
        <f>_xlfn.XLOOKUP(branches[[#This Row],[Филиал]], tbl_Filialy[Филиал], tbl_Filialy[Менеджер])</f>
        <v>Дмитрий Волков</v>
      </c>
    </row>
    <row r="3221" spans="1:10" x14ac:dyDescent="0.3">
      <c r="A3221" t="str">
        <f>_xlfn.XLOOKUP(branches[[#This Row],[Филиал]], tbl_Filialy[Филиал], tbl_Filialy[Город])</f>
        <v>Санкт-Петербург</v>
      </c>
      <c r="B3221" s="1" t="s">
        <v>38</v>
      </c>
      <c r="C3221" s="2">
        <v>45737</v>
      </c>
      <c r="D3221" s="2" t="str">
        <f>CHOOSE(MONTH(branches[[#This Row],[Дата]]),"Январь","Февраль","Март","Апрель","Май","Июнь","Июль","Август","Сентябрь","Октябрь","Ноябрь","Декабрь")&amp;" "&amp;YEAR(branches[[#This Row],[Дата]])</f>
        <v>Март 2025</v>
      </c>
      <c r="E3221" t="s">
        <v>24</v>
      </c>
      <c r="F3221" t="s">
        <v>17</v>
      </c>
      <c r="G3221">
        <v>1</v>
      </c>
      <c r="H3221">
        <v>390</v>
      </c>
      <c r="I3221" t="s">
        <v>21</v>
      </c>
      <c r="J3221" t="str">
        <f>_xlfn.XLOOKUP(branches[[#This Row],[Филиал]], tbl_Filialy[Филиал], tbl_Filialy[Менеджер])</f>
        <v>Дмитрий Волков</v>
      </c>
    </row>
    <row r="3222" spans="1:10" x14ac:dyDescent="0.3">
      <c r="A3222" t="str">
        <f>_xlfn.XLOOKUP(branches[[#This Row],[Филиал]], tbl_Filialy[Филиал], tbl_Filialy[Город])</f>
        <v>Санкт-Петербург</v>
      </c>
      <c r="B3222" s="1" t="s">
        <v>38</v>
      </c>
      <c r="C3222" s="2">
        <v>45734</v>
      </c>
      <c r="D3222" s="2" t="str">
        <f>CHOOSE(MONTH(branches[[#This Row],[Дата]]),"Январь","Февраль","Март","Апрель","Май","Июнь","Июль","Август","Сентябрь","Октябрь","Ноябрь","Декабрь")&amp;" "&amp;YEAR(branches[[#This Row],[Дата]])</f>
        <v>Март 2025</v>
      </c>
      <c r="E3222" t="s">
        <v>27</v>
      </c>
      <c r="F3222" t="s">
        <v>12</v>
      </c>
      <c r="G3222">
        <v>2</v>
      </c>
      <c r="H3222">
        <v>432</v>
      </c>
      <c r="I3222" t="s">
        <v>15</v>
      </c>
      <c r="J3222" t="str">
        <f>_xlfn.XLOOKUP(branches[[#This Row],[Филиал]], tbl_Filialy[Филиал], tbl_Filialy[Менеджер])</f>
        <v>Дмитрий Волков</v>
      </c>
    </row>
    <row r="3223" spans="1:10" x14ac:dyDescent="0.3">
      <c r="A3223" t="str">
        <f>_xlfn.XLOOKUP(branches[[#This Row],[Филиал]], tbl_Filialy[Филиал], tbl_Filialy[Город])</f>
        <v>Санкт-Петербург</v>
      </c>
      <c r="B3223" s="1" t="s">
        <v>38</v>
      </c>
      <c r="C3223" s="2">
        <v>45857</v>
      </c>
      <c r="D3223" s="2" t="str">
        <f>CHOOSE(MONTH(branches[[#This Row],[Дата]]),"Январь","Февраль","Март","Апрель","Май","Июнь","Июль","Август","Сентябрь","Октябрь","Ноябрь","Декабрь")&amp;" "&amp;YEAR(branches[[#This Row],[Дата]])</f>
        <v>Июль 2025</v>
      </c>
      <c r="E3223" t="s">
        <v>14</v>
      </c>
      <c r="F3223" t="s">
        <v>12</v>
      </c>
      <c r="G3223">
        <v>2</v>
      </c>
      <c r="H3223">
        <v>560</v>
      </c>
      <c r="I3223" t="s">
        <v>19</v>
      </c>
      <c r="J3223" t="str">
        <f>_xlfn.XLOOKUP(branches[[#This Row],[Филиал]], tbl_Filialy[Филиал], tbl_Filialy[Менеджер])</f>
        <v>Дмитрий Волков</v>
      </c>
    </row>
    <row r="3224" spans="1:10" x14ac:dyDescent="0.3">
      <c r="A3224" t="str">
        <f>_xlfn.XLOOKUP(branches[[#This Row],[Филиал]], tbl_Filialy[Филиал], tbl_Filialy[Город])</f>
        <v>Санкт-Петербург</v>
      </c>
      <c r="B3224" s="1" t="s">
        <v>38</v>
      </c>
      <c r="C3224" s="2">
        <v>45907</v>
      </c>
      <c r="D3224" s="2" t="str">
        <f>CHOOSE(MONTH(branches[[#This Row],[Дата]]),"Январь","Февраль","Март","Апрель","Май","Июнь","Июль","Август","Сентябрь","Октябрь","Ноябрь","Декабрь")&amp;" "&amp;YEAR(branches[[#This Row],[Дата]])</f>
        <v>Сентябрь 2025</v>
      </c>
      <c r="E3224" t="s">
        <v>22</v>
      </c>
      <c r="F3224" t="s">
        <v>9</v>
      </c>
      <c r="G3224">
        <v>2</v>
      </c>
      <c r="H3224">
        <v>320</v>
      </c>
      <c r="I3224" t="s">
        <v>13</v>
      </c>
      <c r="J3224" t="str">
        <f>_xlfn.XLOOKUP(branches[[#This Row],[Филиал]], tbl_Filialy[Филиал], tbl_Filialy[Менеджер])</f>
        <v>Дмитрий Волков</v>
      </c>
    </row>
    <row r="3225" spans="1:10" x14ac:dyDescent="0.3">
      <c r="A3225" t="str">
        <f>_xlfn.XLOOKUP(branches[[#This Row],[Филиал]], tbl_Filialy[Филиал], tbl_Filialy[Город])</f>
        <v>Санкт-Петербург</v>
      </c>
      <c r="B3225" s="1" t="s">
        <v>38</v>
      </c>
      <c r="C3225" s="2">
        <v>45726</v>
      </c>
      <c r="D3225" s="2" t="str">
        <f>CHOOSE(MONTH(branches[[#This Row],[Дата]]),"Январь","Февраль","Март","Апрель","Май","Июнь","Июль","Август","Сентябрь","Октябрь","Ноябрь","Декабрь")&amp;" "&amp;YEAR(branches[[#This Row],[Дата]])</f>
        <v>Март 2025</v>
      </c>
      <c r="E3225" t="s">
        <v>14</v>
      </c>
      <c r="F3225" t="s">
        <v>12</v>
      </c>
      <c r="G3225">
        <v>3</v>
      </c>
      <c r="H3225">
        <v>744</v>
      </c>
      <c r="I3225" t="s">
        <v>21</v>
      </c>
      <c r="J3225" t="str">
        <f>_xlfn.XLOOKUP(branches[[#This Row],[Филиал]], tbl_Filialy[Филиал], tbl_Filialy[Менеджер])</f>
        <v>Дмитрий Волков</v>
      </c>
    </row>
    <row r="3226" spans="1:10" x14ac:dyDescent="0.3">
      <c r="A3226" t="str">
        <f>_xlfn.XLOOKUP(branches[[#This Row],[Филиал]], tbl_Filialy[Филиал], tbl_Filialy[Город])</f>
        <v>Санкт-Петербург</v>
      </c>
      <c r="B3226" s="1" t="s">
        <v>38</v>
      </c>
      <c r="C3226" s="2">
        <v>45771</v>
      </c>
      <c r="D3226" s="2" t="str">
        <f>CHOOSE(MONTH(branches[[#This Row],[Дата]]),"Январь","Февраль","Март","Апрель","Май","Июнь","Июль","Август","Сентябрь","Октябрь","Ноябрь","Декабрь")&amp;" "&amp;YEAR(branches[[#This Row],[Дата]])</f>
        <v>Апрель 2025</v>
      </c>
      <c r="E3226" t="s">
        <v>11</v>
      </c>
      <c r="F3226" t="s">
        <v>12</v>
      </c>
      <c r="G3226">
        <v>3</v>
      </c>
      <c r="H3226">
        <v>483</v>
      </c>
      <c r="I3226" t="s">
        <v>19</v>
      </c>
      <c r="J3226" t="str">
        <f>_xlfn.XLOOKUP(branches[[#This Row],[Филиал]], tbl_Filialy[Филиал], tbl_Filialy[Менеджер])</f>
        <v>Дмитрий Волков</v>
      </c>
    </row>
    <row r="3227" spans="1:10" x14ac:dyDescent="0.3">
      <c r="A3227" t="str">
        <f>_xlfn.XLOOKUP(branches[[#This Row],[Филиал]], tbl_Filialy[Филиал], tbl_Filialy[Город])</f>
        <v>Санкт-Петербург</v>
      </c>
      <c r="B3227" s="1" t="s">
        <v>38</v>
      </c>
      <c r="C3227" s="2">
        <v>45678</v>
      </c>
      <c r="D3227" s="2" t="str">
        <f>CHOOSE(MONTH(branches[[#This Row],[Дата]]),"Январь","Февраль","Март","Апрель","Май","Июнь","Июль","Август","Сентябрь","Октябрь","Ноябрь","Декабрь")&amp;" "&amp;YEAR(branches[[#This Row],[Дата]])</f>
        <v>Январь 2025</v>
      </c>
      <c r="E3227" t="s">
        <v>24</v>
      </c>
      <c r="F3227" t="s">
        <v>17</v>
      </c>
      <c r="G3227">
        <v>2</v>
      </c>
      <c r="H3227">
        <v>690</v>
      </c>
      <c r="I3227" t="s">
        <v>19</v>
      </c>
      <c r="J3227" t="str">
        <f>_xlfn.XLOOKUP(branches[[#This Row],[Филиал]], tbl_Filialy[Филиал], tbl_Filialy[Менеджер])</f>
        <v>Дмитрий Волков</v>
      </c>
    </row>
    <row r="3228" spans="1:10" x14ac:dyDescent="0.3">
      <c r="A3228" t="str">
        <f>_xlfn.XLOOKUP(branches[[#This Row],[Филиал]], tbl_Filialy[Филиал], tbl_Filialy[Город])</f>
        <v>Санкт-Петербург</v>
      </c>
      <c r="B3228" s="1" t="s">
        <v>38</v>
      </c>
      <c r="C3228" s="2">
        <v>45836</v>
      </c>
      <c r="D3228" s="2" t="str">
        <f>CHOOSE(MONTH(branches[[#This Row],[Дата]]),"Январь","Февраль","Март","Апрель","Май","Июнь","Июль","Август","Сентябрь","Октябрь","Ноябрь","Декабрь")&amp;" "&amp;YEAR(branches[[#This Row],[Дата]])</f>
        <v>Июнь 2025</v>
      </c>
      <c r="E3228" t="s">
        <v>18</v>
      </c>
      <c r="F3228" t="s">
        <v>12</v>
      </c>
      <c r="G3228">
        <v>1</v>
      </c>
      <c r="H3228">
        <v>127</v>
      </c>
      <c r="I3228" t="s">
        <v>15</v>
      </c>
      <c r="J3228" t="str">
        <f>_xlfn.XLOOKUP(branches[[#This Row],[Филиал]], tbl_Filialy[Филиал], tbl_Filialy[Менеджер])</f>
        <v>Дмитрий Волков</v>
      </c>
    </row>
    <row r="3229" spans="1:10" x14ac:dyDescent="0.3">
      <c r="A3229" t="str">
        <f>_xlfn.XLOOKUP(branches[[#This Row],[Филиал]], tbl_Filialy[Филиал], tbl_Filialy[Город])</f>
        <v>Санкт-Петербург</v>
      </c>
      <c r="B3229" s="1" t="s">
        <v>38</v>
      </c>
      <c r="C3229" s="2">
        <v>45832</v>
      </c>
      <c r="D3229" s="2" t="str">
        <f>CHOOSE(MONTH(branches[[#This Row],[Дата]]),"Январь","Февраль","Март","Апрель","Май","Июнь","Июль","Август","Сентябрь","Октябрь","Ноябрь","Декабрь")&amp;" "&amp;YEAR(branches[[#This Row],[Дата]])</f>
        <v>Июнь 2025</v>
      </c>
      <c r="E3229" t="s">
        <v>20</v>
      </c>
      <c r="F3229" t="s">
        <v>12</v>
      </c>
      <c r="G3229">
        <v>1</v>
      </c>
      <c r="H3229">
        <v>308</v>
      </c>
      <c r="I3229" t="s">
        <v>13</v>
      </c>
      <c r="J3229" t="str">
        <f>_xlfn.XLOOKUP(branches[[#This Row],[Филиал]], tbl_Filialy[Филиал], tbl_Filialy[Менеджер])</f>
        <v>Дмитрий Волков</v>
      </c>
    </row>
    <row r="3230" spans="1:10" x14ac:dyDescent="0.3">
      <c r="A3230" t="str">
        <f>_xlfn.XLOOKUP(branches[[#This Row],[Филиал]], tbl_Filialy[Филиал], tbl_Filialy[Город])</f>
        <v>Санкт-Петербург</v>
      </c>
      <c r="B3230" s="1" t="s">
        <v>38</v>
      </c>
      <c r="C3230" s="2">
        <v>45757</v>
      </c>
      <c r="D3230" s="2" t="str">
        <f>CHOOSE(MONTH(branches[[#This Row],[Дата]]),"Январь","Февраль","Март","Апрель","Май","Июнь","Июль","Август","Сентябрь","Октябрь","Ноябрь","Декабрь")&amp;" "&amp;YEAR(branches[[#This Row],[Дата]])</f>
        <v>Апрель 2025</v>
      </c>
      <c r="E3230" t="s">
        <v>14</v>
      </c>
      <c r="F3230" t="s">
        <v>12</v>
      </c>
      <c r="G3230">
        <v>1</v>
      </c>
      <c r="H3230">
        <v>259</v>
      </c>
      <c r="I3230" t="s">
        <v>13</v>
      </c>
      <c r="J3230" t="str">
        <f>_xlfn.XLOOKUP(branches[[#This Row],[Филиал]], tbl_Filialy[Филиал], tbl_Filialy[Менеджер])</f>
        <v>Дмитрий Волков</v>
      </c>
    </row>
    <row r="3231" spans="1:10" x14ac:dyDescent="0.3">
      <c r="A3231" t="str">
        <f>_xlfn.XLOOKUP(branches[[#This Row],[Филиал]], tbl_Filialy[Филиал], tbl_Filialy[Город])</f>
        <v>Санкт-Петербург</v>
      </c>
      <c r="B3231" s="1" t="s">
        <v>38</v>
      </c>
      <c r="C3231" s="2">
        <v>45681</v>
      </c>
      <c r="D3231" s="2" t="str">
        <f>CHOOSE(MONTH(branches[[#This Row],[Дата]]),"Январь","Февраль","Март","Апрель","Май","Июнь","Июль","Август","Сентябрь","Октябрь","Ноябрь","Декабрь")&amp;" "&amp;YEAR(branches[[#This Row],[Дата]])</f>
        <v>Январь 2025</v>
      </c>
      <c r="E3231" t="s">
        <v>25</v>
      </c>
      <c r="F3231" t="s">
        <v>12</v>
      </c>
      <c r="G3231">
        <v>2</v>
      </c>
      <c r="H3231">
        <v>460</v>
      </c>
      <c r="I3231" t="s">
        <v>19</v>
      </c>
      <c r="J3231" t="str">
        <f>_xlfn.XLOOKUP(branches[[#This Row],[Филиал]], tbl_Filialy[Филиал], tbl_Filialy[Менеджер])</f>
        <v>Дмитрий Волков</v>
      </c>
    </row>
    <row r="3232" spans="1:10" x14ac:dyDescent="0.3">
      <c r="A3232" t="str">
        <f>_xlfn.XLOOKUP(branches[[#This Row],[Филиал]], tbl_Filialy[Филиал], tbl_Filialy[Город])</f>
        <v>Санкт-Петербург</v>
      </c>
      <c r="B3232" s="1" t="s">
        <v>38</v>
      </c>
      <c r="C3232" s="2">
        <v>45937</v>
      </c>
      <c r="D3232" s="2" t="str">
        <f>CHOOSE(MONTH(branches[[#This Row],[Дата]]),"Январь","Февраль","Март","Апрель","Май","Июнь","Июль","Август","Сентябрь","Октябрь","Ноябрь","Декабрь")&amp;" "&amp;YEAR(branches[[#This Row],[Дата]])</f>
        <v>Октябрь 2025</v>
      </c>
      <c r="E3232" t="s">
        <v>11</v>
      </c>
      <c r="F3232" t="s">
        <v>12</v>
      </c>
      <c r="G3232">
        <v>2</v>
      </c>
      <c r="H3232">
        <v>344</v>
      </c>
      <c r="I3232" t="s">
        <v>15</v>
      </c>
      <c r="J3232" t="str">
        <f>_xlfn.XLOOKUP(branches[[#This Row],[Филиал]], tbl_Filialy[Филиал], tbl_Filialy[Менеджер])</f>
        <v>Дмитрий Волков</v>
      </c>
    </row>
    <row r="3233" spans="1:10" x14ac:dyDescent="0.3">
      <c r="A3233" t="str">
        <f>_xlfn.XLOOKUP(branches[[#This Row],[Филиал]], tbl_Filialy[Филиал], tbl_Filialy[Город])</f>
        <v>Санкт-Петербург</v>
      </c>
      <c r="B3233" s="1" t="s">
        <v>38</v>
      </c>
      <c r="C3233" s="2">
        <v>45922</v>
      </c>
      <c r="D3233" s="2" t="str">
        <f>CHOOSE(MONTH(branches[[#This Row],[Дата]]),"Январь","Февраль","Март","Апрель","Май","Июнь","Июль","Август","Сентябрь","Октябрь","Ноябрь","Декабрь")&amp;" "&amp;YEAR(branches[[#This Row],[Дата]])</f>
        <v>Сентябрь 2025</v>
      </c>
      <c r="E3233" t="s">
        <v>28</v>
      </c>
      <c r="F3233" t="s">
        <v>12</v>
      </c>
      <c r="G3233">
        <v>1</v>
      </c>
      <c r="H3233">
        <v>230</v>
      </c>
      <c r="I3233" t="s">
        <v>21</v>
      </c>
      <c r="J3233" t="str">
        <f>_xlfn.XLOOKUP(branches[[#This Row],[Филиал]], tbl_Filialy[Филиал], tbl_Filialy[Менеджер])</f>
        <v>Дмитрий Волков</v>
      </c>
    </row>
    <row r="3234" spans="1:10" x14ac:dyDescent="0.3">
      <c r="A3234" t="str">
        <f>_xlfn.XLOOKUP(branches[[#This Row],[Филиал]], tbl_Filialy[Филиал], tbl_Filialy[Город])</f>
        <v>Санкт-Петербург</v>
      </c>
      <c r="B3234" s="1" t="s">
        <v>38</v>
      </c>
      <c r="C3234" s="2">
        <v>45749</v>
      </c>
      <c r="D3234" s="2" t="str">
        <f>CHOOSE(MONTH(branches[[#This Row],[Дата]]),"Январь","Февраль","Март","Апрель","Май","Июнь","Июль","Август","Сентябрь","Октябрь","Ноябрь","Декабрь")&amp;" "&amp;YEAR(branches[[#This Row],[Дата]])</f>
        <v>Апрель 2025</v>
      </c>
      <c r="E3234" t="s">
        <v>8</v>
      </c>
      <c r="F3234" t="s">
        <v>9</v>
      </c>
      <c r="G3234">
        <v>1</v>
      </c>
      <c r="H3234">
        <v>246</v>
      </c>
      <c r="I3234" t="s">
        <v>21</v>
      </c>
      <c r="J3234" t="str">
        <f>_xlfn.XLOOKUP(branches[[#This Row],[Филиал]], tbl_Filialy[Филиал], tbl_Filialy[Менеджер])</f>
        <v>Дмитрий Волков</v>
      </c>
    </row>
    <row r="3235" spans="1:10" x14ac:dyDescent="0.3">
      <c r="A3235" t="str">
        <f>_xlfn.XLOOKUP(branches[[#This Row],[Филиал]], tbl_Filialy[Филиал], tbl_Filialy[Город])</f>
        <v>Санкт-Петербург</v>
      </c>
      <c r="B3235" s="1" t="s">
        <v>38</v>
      </c>
      <c r="C3235" s="2">
        <v>45675</v>
      </c>
      <c r="D3235" s="2" t="str">
        <f>CHOOSE(MONTH(branches[[#This Row],[Дата]]),"Январь","Февраль","Март","Апрель","Май","Июнь","Июль","Август","Сентябрь","Октябрь","Ноябрь","Декабрь")&amp;" "&amp;YEAR(branches[[#This Row],[Дата]])</f>
        <v>Январь 2025</v>
      </c>
      <c r="E3235" t="s">
        <v>26</v>
      </c>
      <c r="F3235" t="s">
        <v>9</v>
      </c>
      <c r="G3235">
        <v>2</v>
      </c>
      <c r="H3235">
        <v>416</v>
      </c>
      <c r="I3235" t="s">
        <v>13</v>
      </c>
      <c r="J3235" t="str">
        <f>_xlfn.XLOOKUP(branches[[#This Row],[Филиал]], tbl_Filialy[Филиал], tbl_Filialy[Менеджер])</f>
        <v>Дмитрий Волков</v>
      </c>
    </row>
    <row r="3236" spans="1:10" x14ac:dyDescent="0.3">
      <c r="A3236" t="str">
        <f>_xlfn.XLOOKUP(branches[[#This Row],[Филиал]], tbl_Filialy[Филиал], tbl_Filialy[Город])</f>
        <v>Санкт-Петербург</v>
      </c>
      <c r="B3236" s="1" t="s">
        <v>38</v>
      </c>
      <c r="C3236" s="2">
        <v>45753</v>
      </c>
      <c r="D3236" s="2" t="str">
        <f>CHOOSE(MONTH(branches[[#This Row],[Дата]]),"Январь","Февраль","Март","Апрель","Май","Июнь","Июль","Август","Сентябрь","Октябрь","Ноябрь","Декабрь")&amp;" "&amp;YEAR(branches[[#This Row],[Дата]])</f>
        <v>Апрель 2025</v>
      </c>
      <c r="E3236" t="s">
        <v>20</v>
      </c>
      <c r="F3236" t="s">
        <v>12</v>
      </c>
      <c r="G3236">
        <v>2</v>
      </c>
      <c r="H3236">
        <v>604</v>
      </c>
      <c r="I3236" t="s">
        <v>15</v>
      </c>
      <c r="J3236" t="str">
        <f>_xlfn.XLOOKUP(branches[[#This Row],[Филиал]], tbl_Filialy[Филиал], tbl_Filialy[Менеджер])</f>
        <v>Дмитрий Волков</v>
      </c>
    </row>
    <row r="3237" spans="1:10" x14ac:dyDescent="0.3">
      <c r="A3237" t="str">
        <f>_xlfn.XLOOKUP(branches[[#This Row],[Филиал]], tbl_Filialy[Филиал], tbl_Filialy[Город])</f>
        <v>Санкт-Петербург</v>
      </c>
      <c r="B3237" s="1" t="s">
        <v>38</v>
      </c>
      <c r="C3237" s="2">
        <v>45932</v>
      </c>
      <c r="D3237" s="2" t="str">
        <f>CHOOSE(MONTH(branches[[#This Row],[Дата]]),"Январь","Февраль","Март","Апрель","Май","Июнь","Июль","Август","Сентябрь","Октябрь","Ноябрь","Декабрь")&amp;" "&amp;YEAR(branches[[#This Row],[Дата]])</f>
        <v>Октябрь 2025</v>
      </c>
      <c r="E3237" t="s">
        <v>28</v>
      </c>
      <c r="F3237" t="s">
        <v>12</v>
      </c>
      <c r="G3237">
        <v>3</v>
      </c>
      <c r="H3237">
        <v>630</v>
      </c>
      <c r="I3237" t="s">
        <v>21</v>
      </c>
      <c r="J3237" t="str">
        <f>_xlfn.XLOOKUP(branches[[#This Row],[Филиал]], tbl_Filialy[Филиал], tbl_Filialy[Менеджер])</f>
        <v>Дмитрий Волков</v>
      </c>
    </row>
    <row r="3238" spans="1:10" x14ac:dyDescent="0.3">
      <c r="A3238" t="str">
        <f>_xlfn.XLOOKUP(branches[[#This Row],[Филиал]], tbl_Filialy[Филиал], tbl_Filialy[Город])</f>
        <v>Санкт-Петербург</v>
      </c>
      <c r="B3238" s="1" t="s">
        <v>38</v>
      </c>
      <c r="C3238" s="2">
        <v>45989</v>
      </c>
      <c r="D3238" s="2" t="str">
        <f>CHOOSE(MONTH(branches[[#This Row],[Дата]]),"Январь","Февраль","Март","Апрель","Май","Июнь","Июль","Август","Сентябрь","Октябрь","Ноябрь","Декабрь")&amp;" "&amp;YEAR(branches[[#This Row],[Дата]])</f>
        <v>Ноябрь 2025</v>
      </c>
      <c r="E3238" t="s">
        <v>22</v>
      </c>
      <c r="F3238" t="s">
        <v>9</v>
      </c>
      <c r="G3238">
        <v>3</v>
      </c>
      <c r="H3238">
        <v>507</v>
      </c>
      <c r="I3238" t="s">
        <v>21</v>
      </c>
      <c r="J3238" t="str">
        <f>_xlfn.XLOOKUP(branches[[#This Row],[Филиал]], tbl_Filialy[Филиал], tbl_Filialy[Менеджер])</f>
        <v>Дмитрий Волков</v>
      </c>
    </row>
    <row r="3239" spans="1:10" x14ac:dyDescent="0.3">
      <c r="A3239" t="str">
        <f>_xlfn.XLOOKUP(branches[[#This Row],[Филиал]], tbl_Filialy[Филиал], tbl_Filialy[Город])</f>
        <v>Санкт-Петербург</v>
      </c>
      <c r="B3239" s="1" t="s">
        <v>38</v>
      </c>
      <c r="C3239" s="2">
        <v>45713</v>
      </c>
      <c r="D3239" s="2" t="str">
        <f>CHOOSE(MONTH(branches[[#This Row],[Дата]]),"Январь","Февраль","Март","Апрель","Май","Июнь","Июль","Август","Сентябрь","Октябрь","Ноябрь","Декабрь")&amp;" "&amp;YEAR(branches[[#This Row],[Дата]])</f>
        <v>Февраль 2025</v>
      </c>
      <c r="E3239" t="s">
        <v>8</v>
      </c>
      <c r="F3239" t="s">
        <v>9</v>
      </c>
      <c r="G3239">
        <v>3</v>
      </c>
      <c r="H3239">
        <v>669</v>
      </c>
      <c r="I3239" t="s">
        <v>21</v>
      </c>
      <c r="J3239" t="str">
        <f>_xlfn.XLOOKUP(branches[[#This Row],[Филиал]], tbl_Filialy[Филиал], tbl_Filialy[Менеджер])</f>
        <v>Дмитрий Волков</v>
      </c>
    </row>
    <row r="3240" spans="1:10" x14ac:dyDescent="0.3">
      <c r="A3240" t="str">
        <f>_xlfn.XLOOKUP(branches[[#This Row],[Филиал]], tbl_Filialy[Филиал], tbl_Filialy[Город])</f>
        <v>Санкт-Петербург</v>
      </c>
      <c r="B3240" s="1" t="s">
        <v>38</v>
      </c>
      <c r="C3240" s="2">
        <v>45993</v>
      </c>
      <c r="D3240" s="2" t="str">
        <f>CHOOSE(MONTH(branches[[#This Row],[Дата]]),"Январь","Февраль","Март","Апрель","Май","Июнь","Июль","Август","Сентябрь","Октябрь","Ноябрь","Декабрь")&amp;" "&amp;YEAR(branches[[#This Row],[Дата]])</f>
        <v>Декабрь 2025</v>
      </c>
      <c r="E3240" t="s">
        <v>20</v>
      </c>
      <c r="F3240" t="s">
        <v>12</v>
      </c>
      <c r="G3240">
        <v>3</v>
      </c>
      <c r="H3240">
        <v>756</v>
      </c>
      <c r="I3240" t="s">
        <v>10</v>
      </c>
      <c r="J3240" t="str">
        <f>_xlfn.XLOOKUP(branches[[#This Row],[Филиал]], tbl_Filialy[Филиал], tbl_Filialy[Менеджер])</f>
        <v>Дмитрий Волков</v>
      </c>
    </row>
    <row r="3241" spans="1:10" x14ac:dyDescent="0.3">
      <c r="A3241" t="str">
        <f>_xlfn.XLOOKUP(branches[[#This Row],[Филиал]], tbl_Filialy[Филиал], tbl_Filialy[Город])</f>
        <v>Санкт-Петербург</v>
      </c>
      <c r="B3241" s="1" t="s">
        <v>38</v>
      </c>
      <c r="C3241" s="2">
        <v>45885</v>
      </c>
      <c r="D3241" s="2" t="str">
        <f>CHOOSE(MONTH(branches[[#This Row],[Дата]]),"Январь","Февраль","Март","Апрель","Май","Июнь","Июль","Август","Сентябрь","Октябрь","Ноябрь","Декабрь")&amp;" "&amp;YEAR(branches[[#This Row],[Дата]])</f>
        <v>Август 2025</v>
      </c>
      <c r="E3241" t="s">
        <v>16</v>
      </c>
      <c r="F3241" t="s">
        <v>17</v>
      </c>
      <c r="G3241">
        <v>3</v>
      </c>
      <c r="H3241">
        <v>966</v>
      </c>
      <c r="I3241" t="s">
        <v>15</v>
      </c>
      <c r="J3241" t="str">
        <f>_xlfn.XLOOKUP(branches[[#This Row],[Филиал]], tbl_Filialy[Филиал], tbl_Filialy[Менеджер])</f>
        <v>Дмитрий Волков</v>
      </c>
    </row>
    <row r="3242" spans="1:10" x14ac:dyDescent="0.3">
      <c r="A3242" t="str">
        <f>_xlfn.XLOOKUP(branches[[#This Row],[Филиал]], tbl_Filialy[Филиал], tbl_Filialy[Город])</f>
        <v>Санкт-Петербург</v>
      </c>
      <c r="B3242" s="1" t="s">
        <v>38</v>
      </c>
      <c r="C3242" s="2">
        <v>46002</v>
      </c>
      <c r="D3242" s="2" t="str">
        <f>CHOOSE(MONTH(branches[[#This Row],[Дата]]),"Январь","Февраль","Март","Апрель","Май","Июнь","Июль","Август","Сентябрь","Октябрь","Ноябрь","Декабрь")&amp;" "&amp;YEAR(branches[[#This Row],[Дата]])</f>
        <v>Декабрь 2025</v>
      </c>
      <c r="E3242" t="s">
        <v>20</v>
      </c>
      <c r="F3242" t="s">
        <v>12</v>
      </c>
      <c r="G3242">
        <v>2</v>
      </c>
      <c r="H3242">
        <v>550</v>
      </c>
      <c r="I3242" t="s">
        <v>13</v>
      </c>
      <c r="J3242" t="str">
        <f>_xlfn.XLOOKUP(branches[[#This Row],[Филиал]], tbl_Filialy[Филиал], tbl_Filialy[Менеджер])</f>
        <v>Дмитрий Волков</v>
      </c>
    </row>
    <row r="3243" spans="1:10" x14ac:dyDescent="0.3">
      <c r="A3243" t="str">
        <f>_xlfn.XLOOKUP(branches[[#This Row],[Филиал]], tbl_Filialy[Филиал], tbl_Filialy[Город])</f>
        <v>Санкт-Петербург</v>
      </c>
      <c r="B3243" s="1" t="s">
        <v>38</v>
      </c>
      <c r="C3243" s="2">
        <v>45723</v>
      </c>
      <c r="D3243" s="2" t="str">
        <f>CHOOSE(MONTH(branches[[#This Row],[Дата]]),"Январь","Февраль","Март","Апрель","Май","Июнь","Июль","Август","Сентябрь","Октябрь","Ноябрь","Декабрь")&amp;" "&amp;YEAR(branches[[#This Row],[Дата]])</f>
        <v>Март 2025</v>
      </c>
      <c r="E3243" t="s">
        <v>28</v>
      </c>
      <c r="F3243" t="s">
        <v>12</v>
      </c>
      <c r="G3243">
        <v>3</v>
      </c>
      <c r="H3243">
        <v>681</v>
      </c>
      <c r="I3243" t="s">
        <v>13</v>
      </c>
      <c r="J3243" t="str">
        <f>_xlfn.XLOOKUP(branches[[#This Row],[Филиал]], tbl_Filialy[Филиал], tbl_Filialy[Менеджер])</f>
        <v>Дмитрий Волков</v>
      </c>
    </row>
    <row r="3244" spans="1:10" x14ac:dyDescent="0.3">
      <c r="A3244" t="str">
        <f>_xlfn.XLOOKUP(branches[[#This Row],[Филиал]], tbl_Filialy[Филиал], tbl_Filialy[Город])</f>
        <v>Санкт-Петербург</v>
      </c>
      <c r="B3244" s="1" t="s">
        <v>38</v>
      </c>
      <c r="C3244" s="2">
        <v>45666</v>
      </c>
      <c r="D3244" s="2" t="str">
        <f>CHOOSE(MONTH(branches[[#This Row],[Дата]]),"Январь","Февраль","Март","Апрель","Май","Июнь","Июль","Август","Сентябрь","Октябрь","Ноябрь","Декабрь")&amp;" "&amp;YEAR(branches[[#This Row],[Дата]])</f>
        <v>Январь 2025</v>
      </c>
      <c r="E3244" t="s">
        <v>27</v>
      </c>
      <c r="F3244" t="s">
        <v>12</v>
      </c>
      <c r="G3244">
        <v>3</v>
      </c>
      <c r="H3244">
        <v>597</v>
      </c>
      <c r="I3244" t="s">
        <v>21</v>
      </c>
      <c r="J3244" t="str">
        <f>_xlfn.XLOOKUP(branches[[#This Row],[Филиал]], tbl_Filialy[Филиал], tbl_Filialy[Менеджер])</f>
        <v>Дмитрий Волков</v>
      </c>
    </row>
    <row r="3245" spans="1:10" x14ac:dyDescent="0.3">
      <c r="A3245" t="str">
        <f>_xlfn.XLOOKUP(branches[[#This Row],[Филиал]], tbl_Filialy[Филиал], tbl_Filialy[Город])</f>
        <v>Санкт-Петербург</v>
      </c>
      <c r="B3245" s="1" t="s">
        <v>38</v>
      </c>
      <c r="C3245" s="2">
        <v>45751</v>
      </c>
      <c r="D3245" s="2" t="str">
        <f>CHOOSE(MONTH(branches[[#This Row],[Дата]]),"Январь","Февраль","Март","Апрель","Май","Июнь","Июль","Август","Сентябрь","Октябрь","Ноябрь","Декабрь")&amp;" "&amp;YEAR(branches[[#This Row],[Дата]])</f>
        <v>Апрель 2025</v>
      </c>
      <c r="E3245" t="s">
        <v>14</v>
      </c>
      <c r="F3245" t="s">
        <v>12</v>
      </c>
      <c r="G3245">
        <v>1</v>
      </c>
      <c r="H3245">
        <v>273</v>
      </c>
      <c r="I3245" t="s">
        <v>15</v>
      </c>
      <c r="J3245" t="str">
        <f>_xlfn.XLOOKUP(branches[[#This Row],[Филиал]], tbl_Filialy[Филиал], tbl_Filialy[Менеджер])</f>
        <v>Дмитрий Волков</v>
      </c>
    </row>
    <row r="3246" spans="1:10" x14ac:dyDescent="0.3">
      <c r="A3246" t="str">
        <f>_xlfn.XLOOKUP(branches[[#This Row],[Филиал]], tbl_Filialy[Филиал], tbl_Filialy[Город])</f>
        <v>Санкт-Петербург</v>
      </c>
      <c r="B3246" s="1" t="s">
        <v>38</v>
      </c>
      <c r="C3246" s="2">
        <v>45943</v>
      </c>
      <c r="D3246" s="2" t="str">
        <f>CHOOSE(MONTH(branches[[#This Row],[Дата]]),"Январь","Февраль","Март","Апрель","Май","Июнь","Июль","Август","Сентябрь","Октябрь","Ноябрь","Декабрь")&amp;" "&amp;YEAR(branches[[#This Row],[Дата]])</f>
        <v>Октябрь 2025</v>
      </c>
      <c r="E3246" t="s">
        <v>25</v>
      </c>
      <c r="F3246" t="s">
        <v>12</v>
      </c>
      <c r="G3246">
        <v>1</v>
      </c>
      <c r="H3246">
        <v>237</v>
      </c>
      <c r="I3246" t="s">
        <v>15</v>
      </c>
      <c r="J3246" t="str">
        <f>_xlfn.XLOOKUP(branches[[#This Row],[Филиал]], tbl_Filialy[Филиал], tbl_Filialy[Менеджер])</f>
        <v>Дмитрий Волков</v>
      </c>
    </row>
    <row r="3247" spans="1:10" x14ac:dyDescent="0.3">
      <c r="A3247" t="str">
        <f>_xlfn.XLOOKUP(branches[[#This Row],[Филиал]], tbl_Filialy[Филиал], tbl_Filialy[Город])</f>
        <v>Санкт-Петербург</v>
      </c>
      <c r="B3247" s="1" t="s">
        <v>38</v>
      </c>
      <c r="C3247" s="2">
        <v>45778</v>
      </c>
      <c r="D3247" s="2" t="str">
        <f>CHOOSE(MONTH(branches[[#This Row],[Дата]]),"Январь","Февраль","Март","Апрель","Май","Июнь","Июль","Август","Сентябрь","Октябрь","Ноябрь","Декабрь")&amp;" "&amp;YEAR(branches[[#This Row],[Дата]])</f>
        <v>Май 2025</v>
      </c>
      <c r="E3247" t="s">
        <v>20</v>
      </c>
      <c r="F3247" t="s">
        <v>12</v>
      </c>
      <c r="G3247">
        <v>1</v>
      </c>
      <c r="H3247">
        <v>245</v>
      </c>
      <c r="I3247" t="s">
        <v>13</v>
      </c>
      <c r="J3247" t="str">
        <f>_xlfn.XLOOKUP(branches[[#This Row],[Филиал]], tbl_Filialy[Филиал], tbl_Filialy[Менеджер])</f>
        <v>Дмитрий Волков</v>
      </c>
    </row>
    <row r="3248" spans="1:10" x14ac:dyDescent="0.3">
      <c r="A3248" t="str">
        <f>_xlfn.XLOOKUP(branches[[#This Row],[Филиал]], tbl_Filialy[Филиал], tbl_Filialy[Город])</f>
        <v>Санкт-Петербург</v>
      </c>
      <c r="B3248" s="1" t="s">
        <v>38</v>
      </c>
      <c r="C3248" s="2">
        <v>45814</v>
      </c>
      <c r="D3248" s="2" t="str">
        <f>CHOOSE(MONTH(branches[[#This Row],[Дата]]),"Январь","Февраль","Март","Апрель","Май","Июнь","Июль","Август","Сентябрь","Октябрь","Ноябрь","Декабрь")&amp;" "&amp;YEAR(branches[[#This Row],[Дата]])</f>
        <v>Июнь 2025</v>
      </c>
      <c r="E3248" t="s">
        <v>28</v>
      </c>
      <c r="F3248" t="s">
        <v>12</v>
      </c>
      <c r="G3248">
        <v>1</v>
      </c>
      <c r="H3248">
        <v>257</v>
      </c>
      <c r="I3248" t="s">
        <v>15</v>
      </c>
      <c r="J3248" t="str">
        <f>_xlfn.XLOOKUP(branches[[#This Row],[Филиал]], tbl_Filialy[Филиал], tbl_Filialy[Менеджер])</f>
        <v>Дмитрий Волков</v>
      </c>
    </row>
    <row r="3249" spans="1:10" x14ac:dyDescent="0.3">
      <c r="A3249" t="str">
        <f>_xlfn.XLOOKUP(branches[[#This Row],[Филиал]], tbl_Filialy[Филиал], tbl_Filialy[Город])</f>
        <v>Санкт-Петербург</v>
      </c>
      <c r="B3249" s="1" t="s">
        <v>38</v>
      </c>
      <c r="C3249" s="2">
        <v>45659</v>
      </c>
      <c r="D3249" s="2" t="str">
        <f>CHOOSE(MONTH(branches[[#This Row],[Дата]]),"Январь","Февраль","Март","Апрель","Май","Июнь","Июль","Август","Сентябрь","Октябрь","Ноябрь","Декабрь")&amp;" "&amp;YEAR(branches[[#This Row],[Дата]])</f>
        <v>Январь 2025</v>
      </c>
      <c r="E3249" t="s">
        <v>28</v>
      </c>
      <c r="F3249" t="s">
        <v>12</v>
      </c>
      <c r="G3249">
        <v>2</v>
      </c>
      <c r="H3249">
        <v>472</v>
      </c>
      <c r="I3249" t="s">
        <v>15</v>
      </c>
      <c r="J3249" t="str">
        <f>_xlfn.XLOOKUP(branches[[#This Row],[Филиал]], tbl_Filialy[Филиал], tbl_Filialy[Менеджер])</f>
        <v>Дмитрий Волков</v>
      </c>
    </row>
    <row r="3250" spans="1:10" x14ac:dyDescent="0.3">
      <c r="A3250" t="str">
        <f>_xlfn.XLOOKUP(branches[[#This Row],[Филиал]], tbl_Filialy[Филиал], tbl_Filialy[Город])</f>
        <v>Санкт-Петербург</v>
      </c>
      <c r="B3250" s="1" t="s">
        <v>38</v>
      </c>
      <c r="C3250" s="2">
        <v>45982</v>
      </c>
      <c r="D3250" s="2" t="str">
        <f>CHOOSE(MONTH(branches[[#This Row],[Дата]]),"Январь","Февраль","Март","Апрель","Май","Июнь","Июль","Август","Сентябрь","Октябрь","Ноябрь","Декабрь")&amp;" "&amp;YEAR(branches[[#This Row],[Дата]])</f>
        <v>Ноябрь 2025</v>
      </c>
      <c r="E3250" t="s">
        <v>14</v>
      </c>
      <c r="F3250" t="s">
        <v>12</v>
      </c>
      <c r="G3250">
        <v>1</v>
      </c>
      <c r="H3250">
        <v>257</v>
      </c>
      <c r="I3250" t="s">
        <v>21</v>
      </c>
      <c r="J3250" t="str">
        <f>_xlfn.XLOOKUP(branches[[#This Row],[Филиал]], tbl_Filialy[Филиал], tbl_Filialy[Менеджер])</f>
        <v>Дмитрий Волков</v>
      </c>
    </row>
    <row r="3251" spans="1:10" x14ac:dyDescent="0.3">
      <c r="A3251" t="str">
        <f>_xlfn.XLOOKUP(branches[[#This Row],[Филиал]], tbl_Filialy[Филиал], tbl_Filialy[Город])</f>
        <v>Санкт-Петербург</v>
      </c>
      <c r="B3251" s="1" t="s">
        <v>38</v>
      </c>
      <c r="C3251" s="2">
        <v>45748</v>
      </c>
      <c r="D3251" s="2" t="str">
        <f>CHOOSE(MONTH(branches[[#This Row],[Дата]]),"Январь","Февраль","Март","Апрель","Май","Июнь","Июль","Август","Сентябрь","Октябрь","Ноябрь","Декабрь")&amp;" "&amp;YEAR(branches[[#This Row],[Дата]])</f>
        <v>Апрель 2025</v>
      </c>
      <c r="E3251" t="s">
        <v>24</v>
      </c>
      <c r="F3251" t="s">
        <v>17</v>
      </c>
      <c r="G3251">
        <v>1</v>
      </c>
      <c r="H3251">
        <v>371</v>
      </c>
      <c r="I3251" t="s">
        <v>15</v>
      </c>
      <c r="J3251" t="str">
        <f>_xlfn.XLOOKUP(branches[[#This Row],[Филиал]], tbl_Filialy[Филиал], tbl_Filialy[Менеджер])</f>
        <v>Дмитрий Волков</v>
      </c>
    </row>
    <row r="3252" spans="1:10" x14ac:dyDescent="0.3">
      <c r="A3252" t="str">
        <f>_xlfn.XLOOKUP(branches[[#This Row],[Филиал]], tbl_Filialy[Филиал], tbl_Filialy[Город])</f>
        <v>Санкт-Петербург</v>
      </c>
      <c r="B3252" s="1" t="s">
        <v>38</v>
      </c>
      <c r="C3252" s="2">
        <v>45970</v>
      </c>
      <c r="D3252" s="2" t="str">
        <f>CHOOSE(MONTH(branches[[#This Row],[Дата]]),"Январь","Февраль","Март","Апрель","Май","Июнь","Июль","Август","Сентябрь","Октябрь","Ноябрь","Декабрь")&amp;" "&amp;YEAR(branches[[#This Row],[Дата]])</f>
        <v>Ноябрь 2025</v>
      </c>
      <c r="E3252" t="s">
        <v>26</v>
      </c>
      <c r="F3252" t="s">
        <v>9</v>
      </c>
      <c r="G3252">
        <v>3</v>
      </c>
      <c r="H3252">
        <v>684</v>
      </c>
      <c r="I3252" t="s">
        <v>10</v>
      </c>
      <c r="J3252" t="str">
        <f>_xlfn.XLOOKUP(branches[[#This Row],[Филиал]], tbl_Filialy[Филиал], tbl_Filialy[Менеджер])</f>
        <v>Дмитрий Волков</v>
      </c>
    </row>
    <row r="3253" spans="1:10" x14ac:dyDescent="0.3">
      <c r="A3253" t="str">
        <f>_xlfn.XLOOKUP(branches[[#This Row],[Филиал]], tbl_Filialy[Филиал], tbl_Filialy[Город])</f>
        <v>Санкт-Петербург</v>
      </c>
      <c r="B3253" s="1" t="s">
        <v>38</v>
      </c>
      <c r="C3253" s="2">
        <v>45926</v>
      </c>
      <c r="D3253" s="2" t="str">
        <f>CHOOSE(MONTH(branches[[#This Row],[Дата]]),"Январь","Февраль","Март","Апрель","Май","Июнь","Июль","Август","Сентябрь","Октябрь","Ноябрь","Декабрь")&amp;" "&amp;YEAR(branches[[#This Row],[Дата]])</f>
        <v>Сентябрь 2025</v>
      </c>
      <c r="E3253" t="s">
        <v>8</v>
      </c>
      <c r="F3253" t="s">
        <v>9</v>
      </c>
      <c r="G3253">
        <v>2</v>
      </c>
      <c r="H3253">
        <v>468</v>
      </c>
      <c r="I3253" t="s">
        <v>15</v>
      </c>
      <c r="J3253" t="str">
        <f>_xlfn.XLOOKUP(branches[[#This Row],[Филиал]], tbl_Filialy[Филиал], tbl_Filialy[Менеджер])</f>
        <v>Дмитрий Волков</v>
      </c>
    </row>
    <row r="3254" spans="1:10" x14ac:dyDescent="0.3">
      <c r="A3254" t="str">
        <f>_xlfn.XLOOKUP(branches[[#This Row],[Филиал]], tbl_Filialy[Филиал], tbl_Filialy[Город])</f>
        <v>Санкт-Петербург</v>
      </c>
      <c r="B3254" s="1" t="s">
        <v>38</v>
      </c>
      <c r="C3254" s="2">
        <v>45766</v>
      </c>
      <c r="D3254" s="2" t="str">
        <f>CHOOSE(MONTH(branches[[#This Row],[Дата]]),"Январь","Февраль","Март","Апрель","Май","Июнь","Июль","Август","Сентябрь","Октябрь","Ноябрь","Декабрь")&amp;" "&amp;YEAR(branches[[#This Row],[Дата]])</f>
        <v>Апрель 2025</v>
      </c>
      <c r="E3254" t="s">
        <v>27</v>
      </c>
      <c r="F3254" t="s">
        <v>12</v>
      </c>
      <c r="G3254">
        <v>3</v>
      </c>
      <c r="H3254">
        <v>651</v>
      </c>
      <c r="I3254" t="s">
        <v>19</v>
      </c>
      <c r="J3254" t="str">
        <f>_xlfn.XLOOKUP(branches[[#This Row],[Филиал]], tbl_Filialy[Филиал], tbl_Filialy[Менеджер])</f>
        <v>Дмитрий Волков</v>
      </c>
    </row>
    <row r="3255" spans="1:10" x14ac:dyDescent="0.3">
      <c r="A3255" t="str">
        <f>_xlfn.XLOOKUP(branches[[#This Row],[Филиал]], tbl_Filialy[Филиал], tbl_Filialy[Город])</f>
        <v>Санкт-Петербург</v>
      </c>
      <c r="B3255" s="1" t="s">
        <v>38</v>
      </c>
      <c r="C3255" s="2">
        <v>45879</v>
      </c>
      <c r="D3255" s="2" t="str">
        <f>CHOOSE(MONTH(branches[[#This Row],[Дата]]),"Январь","Февраль","Март","Апрель","Май","Июнь","Июль","Август","Сентябрь","Октябрь","Ноябрь","Декабрь")&amp;" "&amp;YEAR(branches[[#This Row],[Дата]])</f>
        <v>Август 2025</v>
      </c>
      <c r="E3255" t="s">
        <v>16</v>
      </c>
      <c r="F3255" t="s">
        <v>17</v>
      </c>
      <c r="G3255">
        <v>1</v>
      </c>
      <c r="H3255">
        <v>292</v>
      </c>
      <c r="I3255" t="s">
        <v>19</v>
      </c>
      <c r="J3255" t="str">
        <f>_xlfn.XLOOKUP(branches[[#This Row],[Филиал]], tbl_Filialy[Филиал], tbl_Filialy[Менеджер])</f>
        <v>Дмитрий Волков</v>
      </c>
    </row>
    <row r="3256" spans="1:10" x14ac:dyDescent="0.3">
      <c r="A3256" t="str">
        <f>_xlfn.XLOOKUP(branches[[#This Row],[Филиал]], tbl_Filialy[Филиал], tbl_Filialy[Город])</f>
        <v>Санкт-Петербург</v>
      </c>
      <c r="B3256" s="1" t="s">
        <v>38</v>
      </c>
      <c r="C3256" s="2">
        <v>45674</v>
      </c>
      <c r="D3256" s="2" t="str">
        <f>CHOOSE(MONTH(branches[[#This Row],[Дата]]),"Январь","Февраль","Март","Апрель","Май","Июнь","Июль","Август","Сентябрь","Октябрь","Ноябрь","Декабрь")&amp;" "&amp;YEAR(branches[[#This Row],[Дата]])</f>
        <v>Январь 2025</v>
      </c>
      <c r="E3256" t="s">
        <v>28</v>
      </c>
      <c r="F3256" t="s">
        <v>12</v>
      </c>
      <c r="G3256">
        <v>2</v>
      </c>
      <c r="H3256">
        <v>458</v>
      </c>
      <c r="I3256" t="s">
        <v>10</v>
      </c>
      <c r="J3256" t="str">
        <f>_xlfn.XLOOKUP(branches[[#This Row],[Филиал]], tbl_Filialy[Филиал], tbl_Filialy[Менеджер])</f>
        <v>Дмитрий Волков</v>
      </c>
    </row>
    <row r="3257" spans="1:10" x14ac:dyDescent="0.3">
      <c r="A3257" t="str">
        <f>_xlfn.XLOOKUP(branches[[#This Row],[Филиал]], tbl_Filialy[Филиал], tbl_Filialy[Город])</f>
        <v>Санкт-Петербург</v>
      </c>
      <c r="B3257" s="1" t="s">
        <v>38</v>
      </c>
      <c r="C3257" s="2">
        <v>45907</v>
      </c>
      <c r="D3257" s="2" t="str">
        <f>CHOOSE(MONTH(branches[[#This Row],[Дата]]),"Январь","Февраль","Март","Апрель","Май","Июнь","Июль","Август","Сентябрь","Октябрь","Ноябрь","Декабрь")&amp;" "&amp;YEAR(branches[[#This Row],[Дата]])</f>
        <v>Сентябрь 2025</v>
      </c>
      <c r="E3257" t="s">
        <v>11</v>
      </c>
      <c r="F3257" t="s">
        <v>12</v>
      </c>
      <c r="G3257">
        <v>1</v>
      </c>
      <c r="H3257">
        <v>146</v>
      </c>
      <c r="I3257" t="s">
        <v>19</v>
      </c>
      <c r="J3257" t="str">
        <f>_xlfn.XLOOKUP(branches[[#This Row],[Филиал]], tbl_Filialy[Филиал], tbl_Filialy[Менеджер])</f>
        <v>Дмитрий Волков</v>
      </c>
    </row>
    <row r="3258" spans="1:10" x14ac:dyDescent="0.3">
      <c r="A3258" t="str">
        <f>_xlfn.XLOOKUP(branches[[#This Row],[Филиал]], tbl_Filialy[Филиал], tbl_Filialy[Город])</f>
        <v>Санкт-Петербург</v>
      </c>
      <c r="B3258" s="1" t="s">
        <v>38</v>
      </c>
      <c r="C3258" s="2">
        <v>45888</v>
      </c>
      <c r="D3258" s="2" t="str">
        <f>CHOOSE(MONTH(branches[[#This Row],[Дата]]),"Январь","Февраль","Март","Апрель","Май","Июнь","Июль","Август","Сентябрь","Октябрь","Ноябрь","Декабрь")&amp;" "&amp;YEAR(branches[[#This Row],[Дата]])</f>
        <v>Август 2025</v>
      </c>
      <c r="E3258" t="s">
        <v>22</v>
      </c>
      <c r="F3258" t="s">
        <v>9</v>
      </c>
      <c r="G3258">
        <v>1</v>
      </c>
      <c r="H3258">
        <v>171</v>
      </c>
      <c r="I3258" t="s">
        <v>19</v>
      </c>
      <c r="J3258" t="str">
        <f>_xlfn.XLOOKUP(branches[[#This Row],[Филиал]], tbl_Filialy[Филиал], tbl_Filialy[Менеджер])</f>
        <v>Дмитрий Волков</v>
      </c>
    </row>
    <row r="3259" spans="1:10" x14ac:dyDescent="0.3">
      <c r="A3259" t="str">
        <f>_xlfn.XLOOKUP(branches[[#This Row],[Филиал]], tbl_Filialy[Филиал], tbl_Filialy[Город])</f>
        <v>Санкт-Петербург</v>
      </c>
      <c r="B3259" s="1" t="s">
        <v>38</v>
      </c>
      <c r="C3259" s="2">
        <v>45792</v>
      </c>
      <c r="D3259" s="2" t="str">
        <f>CHOOSE(MONTH(branches[[#This Row],[Дата]]),"Январь","Февраль","Март","Апрель","Май","Июнь","Июль","Август","Сентябрь","Октябрь","Ноябрь","Декабрь")&amp;" "&amp;YEAR(branches[[#This Row],[Дата]])</f>
        <v>Май 2025</v>
      </c>
      <c r="E3259" t="s">
        <v>24</v>
      </c>
      <c r="F3259" t="s">
        <v>17</v>
      </c>
      <c r="G3259">
        <v>1</v>
      </c>
      <c r="H3259">
        <v>388</v>
      </c>
      <c r="I3259" t="s">
        <v>15</v>
      </c>
      <c r="J3259" t="str">
        <f>_xlfn.XLOOKUP(branches[[#This Row],[Филиал]], tbl_Filialy[Филиал], tbl_Filialy[Менеджер])</f>
        <v>Дмитрий Волков</v>
      </c>
    </row>
    <row r="3260" spans="1:10" x14ac:dyDescent="0.3">
      <c r="A3260" t="str">
        <f>_xlfn.XLOOKUP(branches[[#This Row],[Филиал]], tbl_Filialy[Филиал], tbl_Filialy[Город])</f>
        <v>Санкт-Петербург</v>
      </c>
      <c r="B3260" s="1" t="s">
        <v>38</v>
      </c>
      <c r="C3260" s="2">
        <v>45925</v>
      </c>
      <c r="D3260" s="2" t="str">
        <f>CHOOSE(MONTH(branches[[#This Row],[Дата]]),"Январь","Февраль","Март","Апрель","Май","Июнь","Июль","Август","Сентябрь","Октябрь","Ноябрь","Декабрь")&amp;" "&amp;YEAR(branches[[#This Row],[Дата]])</f>
        <v>Сентябрь 2025</v>
      </c>
      <c r="E3260" t="s">
        <v>8</v>
      </c>
      <c r="F3260" t="s">
        <v>9</v>
      </c>
      <c r="G3260">
        <v>1</v>
      </c>
      <c r="H3260">
        <v>277</v>
      </c>
      <c r="I3260" t="s">
        <v>13</v>
      </c>
      <c r="J3260" t="str">
        <f>_xlfn.XLOOKUP(branches[[#This Row],[Филиал]], tbl_Filialy[Филиал], tbl_Filialy[Менеджер])</f>
        <v>Дмитрий Волков</v>
      </c>
    </row>
    <row r="3261" spans="1:10" x14ac:dyDescent="0.3">
      <c r="A3261" t="str">
        <f>_xlfn.XLOOKUP(branches[[#This Row],[Филиал]], tbl_Filialy[Филиал], tbl_Filialy[Город])</f>
        <v>Санкт-Петербург</v>
      </c>
      <c r="B3261" s="1" t="s">
        <v>38</v>
      </c>
      <c r="C3261" s="2">
        <v>45903</v>
      </c>
      <c r="D3261" s="2" t="str">
        <f>CHOOSE(MONTH(branches[[#This Row],[Дата]]),"Январь","Февраль","Март","Апрель","Май","Июнь","Июль","Август","Сентябрь","Октябрь","Ноябрь","Декабрь")&amp;" "&amp;YEAR(branches[[#This Row],[Дата]])</f>
        <v>Сентябрь 2025</v>
      </c>
      <c r="E3261" t="s">
        <v>22</v>
      </c>
      <c r="F3261" t="s">
        <v>9</v>
      </c>
      <c r="G3261">
        <v>2</v>
      </c>
      <c r="H3261">
        <v>374</v>
      </c>
      <c r="I3261" t="s">
        <v>23</v>
      </c>
      <c r="J3261" t="str">
        <f>_xlfn.XLOOKUP(branches[[#This Row],[Филиал]], tbl_Filialy[Филиал], tbl_Filialy[Менеджер])</f>
        <v>Дмитрий Волков</v>
      </c>
    </row>
    <row r="3262" spans="1:10" x14ac:dyDescent="0.3">
      <c r="A3262" t="str">
        <f>_xlfn.XLOOKUP(branches[[#This Row],[Филиал]], tbl_Filialy[Филиал], tbl_Filialy[Город])</f>
        <v>Санкт-Петербург</v>
      </c>
      <c r="B3262" s="1" t="s">
        <v>38</v>
      </c>
      <c r="C3262" s="2">
        <v>45968</v>
      </c>
      <c r="D3262" s="2" t="str">
        <f>CHOOSE(MONTH(branches[[#This Row],[Дата]]),"Январь","Февраль","Март","Апрель","Май","Июнь","Июль","Август","Сентябрь","Октябрь","Ноябрь","Декабрь")&amp;" "&amp;YEAR(branches[[#This Row],[Дата]])</f>
        <v>Ноябрь 2025</v>
      </c>
      <c r="E3262" t="s">
        <v>24</v>
      </c>
      <c r="F3262" t="s">
        <v>17</v>
      </c>
      <c r="G3262">
        <v>3</v>
      </c>
      <c r="H3262">
        <v>1035</v>
      </c>
      <c r="I3262" t="s">
        <v>21</v>
      </c>
      <c r="J3262" t="str">
        <f>_xlfn.XLOOKUP(branches[[#This Row],[Филиал]], tbl_Filialy[Филиал], tbl_Filialy[Менеджер])</f>
        <v>Дмитрий Волков</v>
      </c>
    </row>
    <row r="3263" spans="1:10" x14ac:dyDescent="0.3">
      <c r="A3263" t="str">
        <f>_xlfn.XLOOKUP(branches[[#This Row],[Филиал]], tbl_Filialy[Филиал], tbl_Filialy[Город])</f>
        <v>Санкт-Петербург</v>
      </c>
      <c r="B3263" s="1" t="s">
        <v>38</v>
      </c>
      <c r="C3263" s="2">
        <v>45982</v>
      </c>
      <c r="D3263" s="2" t="str">
        <f>CHOOSE(MONTH(branches[[#This Row],[Дата]]),"Январь","Февраль","Март","Апрель","Май","Июнь","Июль","Август","Сентябрь","Октябрь","Ноябрь","Декабрь")&amp;" "&amp;YEAR(branches[[#This Row],[Дата]])</f>
        <v>Ноябрь 2025</v>
      </c>
      <c r="E3263" t="s">
        <v>26</v>
      </c>
      <c r="F3263" t="s">
        <v>9</v>
      </c>
      <c r="G3263">
        <v>2</v>
      </c>
      <c r="H3263">
        <v>452</v>
      </c>
      <c r="I3263" t="s">
        <v>19</v>
      </c>
      <c r="J3263" t="str">
        <f>_xlfn.XLOOKUP(branches[[#This Row],[Филиал]], tbl_Filialy[Филиал], tbl_Filialy[Менеджер])</f>
        <v>Дмитрий Волков</v>
      </c>
    </row>
    <row r="3264" spans="1:10" x14ac:dyDescent="0.3">
      <c r="A3264" t="str">
        <f>_xlfn.XLOOKUP(branches[[#This Row],[Филиал]], tbl_Filialy[Филиал], tbl_Filialy[Город])</f>
        <v>Санкт-Петербург</v>
      </c>
      <c r="B3264" s="1" t="s">
        <v>38</v>
      </c>
      <c r="C3264" s="2">
        <v>45731</v>
      </c>
      <c r="D3264" s="2" t="str">
        <f>CHOOSE(MONTH(branches[[#This Row],[Дата]]),"Январь","Февраль","Март","Апрель","Май","Июнь","Июль","Август","Сентябрь","Октябрь","Ноябрь","Декабрь")&amp;" "&amp;YEAR(branches[[#This Row],[Дата]])</f>
        <v>Март 2025</v>
      </c>
      <c r="E3264" t="s">
        <v>22</v>
      </c>
      <c r="F3264" t="s">
        <v>9</v>
      </c>
      <c r="G3264">
        <v>1</v>
      </c>
      <c r="H3264">
        <v>176</v>
      </c>
      <c r="I3264" t="s">
        <v>15</v>
      </c>
      <c r="J3264" t="str">
        <f>_xlfn.XLOOKUP(branches[[#This Row],[Филиал]], tbl_Filialy[Филиал], tbl_Filialy[Менеджер])</f>
        <v>Дмитрий Волков</v>
      </c>
    </row>
    <row r="3265" spans="1:10" x14ac:dyDescent="0.3">
      <c r="A3265" t="str">
        <f>_xlfn.XLOOKUP(branches[[#This Row],[Филиал]], tbl_Filialy[Филиал], tbl_Filialy[Город])</f>
        <v>Санкт-Петербург</v>
      </c>
      <c r="B3265" s="1" t="s">
        <v>38</v>
      </c>
      <c r="C3265" s="2">
        <v>45694</v>
      </c>
      <c r="D3265" s="2" t="str">
        <f>CHOOSE(MONTH(branches[[#This Row],[Дата]]),"Январь","Февраль","Март","Апрель","Май","Июнь","Июль","Август","Сентябрь","Октябрь","Ноябрь","Декабрь")&amp;" "&amp;YEAR(branches[[#This Row],[Дата]])</f>
        <v>Февраль 2025</v>
      </c>
      <c r="E3265" t="s">
        <v>25</v>
      </c>
      <c r="F3265" t="s">
        <v>12</v>
      </c>
      <c r="G3265">
        <v>2</v>
      </c>
      <c r="H3265">
        <v>394</v>
      </c>
      <c r="I3265" t="s">
        <v>19</v>
      </c>
      <c r="J3265" t="str">
        <f>_xlfn.XLOOKUP(branches[[#This Row],[Филиал]], tbl_Filialy[Филиал], tbl_Filialy[Менеджер])</f>
        <v>Дмитрий Волков</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activeCell="B3" sqref="B3"/>
    </sheetView>
  </sheetViews>
  <sheetFormatPr defaultRowHeight="14.4" x14ac:dyDescent="0.3"/>
  <cols>
    <col min="1" max="2" width="15.33203125" bestFit="1" customWidth="1"/>
    <col min="3" max="3" width="18.109375" bestFit="1" customWidth="1"/>
    <col min="4" max="4" width="15.77734375" customWidth="1"/>
    <col min="5" max="5" width="15.88671875" customWidth="1"/>
  </cols>
  <sheetData>
    <row r="1" spans="1:5" x14ac:dyDescent="0.3">
      <c r="A1" s="3" t="s">
        <v>0</v>
      </c>
      <c r="B1" s="3" t="s">
        <v>39</v>
      </c>
      <c r="C1" s="3" t="s">
        <v>40</v>
      </c>
      <c r="D1" s="3" t="s">
        <v>41</v>
      </c>
      <c r="E1" s="3" t="s">
        <v>42</v>
      </c>
    </row>
    <row r="2" spans="1:5" x14ac:dyDescent="0.3">
      <c r="A2" t="s">
        <v>36</v>
      </c>
      <c r="B2" t="s">
        <v>36</v>
      </c>
      <c r="C2" t="s">
        <v>43</v>
      </c>
      <c r="D2" s="4">
        <v>43538</v>
      </c>
      <c r="E2">
        <v>68</v>
      </c>
    </row>
    <row r="3" spans="1:5" x14ac:dyDescent="0.3">
      <c r="A3" t="s">
        <v>38</v>
      </c>
      <c r="B3" t="s">
        <v>38</v>
      </c>
      <c r="C3" t="s">
        <v>44</v>
      </c>
      <c r="D3" s="4">
        <v>43771</v>
      </c>
      <c r="E3">
        <v>54</v>
      </c>
    </row>
    <row r="4" spans="1:5" x14ac:dyDescent="0.3">
      <c r="A4" t="s">
        <v>30</v>
      </c>
      <c r="B4" t="s">
        <v>30</v>
      </c>
      <c r="C4" t="s">
        <v>45</v>
      </c>
      <c r="D4" s="4">
        <v>44002</v>
      </c>
      <c r="E4">
        <v>41</v>
      </c>
    </row>
    <row r="5" spans="1:5" x14ac:dyDescent="0.3">
      <c r="A5" t="s">
        <v>7</v>
      </c>
      <c r="B5" t="s">
        <v>7</v>
      </c>
      <c r="C5" t="s">
        <v>46</v>
      </c>
      <c r="D5" s="4">
        <v>44235</v>
      </c>
      <c r="E5">
        <v>47</v>
      </c>
    </row>
    <row r="6" spans="1:5" x14ac:dyDescent="0.3">
      <c r="A6" t="s">
        <v>37</v>
      </c>
      <c r="B6" t="s">
        <v>37</v>
      </c>
      <c r="C6" t="s">
        <v>47</v>
      </c>
      <c r="D6" s="4">
        <v>44456</v>
      </c>
      <c r="E6">
        <v>39</v>
      </c>
    </row>
    <row r="7" spans="1:5" x14ac:dyDescent="0.3">
      <c r="A7" t="s">
        <v>31</v>
      </c>
      <c r="B7" t="s">
        <v>31</v>
      </c>
      <c r="C7" t="s">
        <v>48</v>
      </c>
      <c r="D7" s="4">
        <v>44656</v>
      </c>
      <c r="E7">
        <v>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8F205-2D28-4145-A1D3-34A59E4CAD74}">
  <dimension ref="A1:E73"/>
  <sheetViews>
    <sheetView tabSelected="1" workbookViewId="0">
      <selection activeCell="C11" sqref="C11"/>
    </sheetView>
  </sheetViews>
  <sheetFormatPr defaultRowHeight="14.4" x14ac:dyDescent="0.3"/>
  <cols>
    <col min="1" max="1" width="15.33203125" bestFit="1" customWidth="1"/>
    <col min="2" max="2" width="13.5546875" bestFit="1" customWidth="1"/>
    <col min="3" max="3" width="18.77734375" customWidth="1"/>
    <col min="4" max="4" width="11.6640625" bestFit="1" customWidth="1"/>
    <col min="5" max="5" width="16.21875" style="6" bestFit="1" customWidth="1"/>
  </cols>
  <sheetData>
    <row r="1" spans="1:5" x14ac:dyDescent="0.3">
      <c r="A1" s="3" t="s">
        <v>0</v>
      </c>
      <c r="B1" s="3" t="s">
        <v>49</v>
      </c>
      <c r="C1" s="8" t="s">
        <v>50</v>
      </c>
      <c r="D1" s="3" t="s">
        <v>64</v>
      </c>
      <c r="E1" s="5" t="s">
        <v>65</v>
      </c>
    </row>
    <row r="2" spans="1:5" x14ac:dyDescent="0.3">
      <c r="A2" t="s">
        <v>36</v>
      </c>
      <c r="B2" t="s">
        <v>51</v>
      </c>
      <c r="C2" s="7">
        <v>21800</v>
      </c>
      <c r="D2">
        <f>SUMIFS(branches[Сумма], branches[Филиал], tbl_Plan[[#This Row],[Филиал]], branches[Месяц/Год], tbl_Plan[[#This Row],[Месяц]])</f>
        <v>23698</v>
      </c>
      <c r="E2" s="6">
        <f>tbl_Plan[[#This Row],[Факт, руб]]/tbl_Plan[[#This Row],[План продаж, руб]]</f>
        <v>1.0870642201834861</v>
      </c>
    </row>
    <row r="3" spans="1:5" x14ac:dyDescent="0.3">
      <c r="A3" t="s">
        <v>36</v>
      </c>
      <c r="B3" t="s">
        <v>52</v>
      </c>
      <c r="C3" s="7">
        <v>19000</v>
      </c>
      <c r="D3">
        <f>SUMIFS(branches[Сумма], branches[Филиал], tbl_Plan[[#This Row],[Филиал]], branches[Месяц/Год], tbl_Plan[[#This Row],[Месяц]])</f>
        <v>20659</v>
      </c>
      <c r="E3" s="6">
        <f>tbl_Plan[[#This Row],[Факт, руб]]/tbl_Plan[[#This Row],[План продаж, руб]]</f>
        <v>1.0873157894736842</v>
      </c>
    </row>
    <row r="4" spans="1:5" x14ac:dyDescent="0.3">
      <c r="A4" t="s">
        <v>36</v>
      </c>
      <c r="B4" t="s">
        <v>53</v>
      </c>
      <c r="C4" s="7">
        <v>19000</v>
      </c>
      <c r="D4">
        <f>SUMIFS(branches[Сумма], branches[Филиал], tbl_Plan[[#This Row],[Филиал]], branches[Месяц/Год], tbl_Plan[[#This Row],[Месяц]])</f>
        <v>20087</v>
      </c>
      <c r="E4" s="6">
        <f>tbl_Plan[[#This Row],[Факт, руб]]/tbl_Plan[[#This Row],[План продаж, руб]]</f>
        <v>1.0572105263157894</v>
      </c>
    </row>
    <row r="5" spans="1:5" x14ac:dyDescent="0.3">
      <c r="A5" t="s">
        <v>36</v>
      </c>
      <c r="B5" t="s">
        <v>54</v>
      </c>
      <c r="C5" s="7">
        <v>19000</v>
      </c>
      <c r="D5">
        <f>SUMIFS(branches[Сумма], branches[Филиал], tbl_Plan[[#This Row],[Филиал]], branches[Месяц/Год], tbl_Plan[[#This Row],[Месяц]])</f>
        <v>19525</v>
      </c>
      <c r="E5" s="6">
        <f>tbl_Plan[[#This Row],[Факт, руб]]/tbl_Plan[[#This Row],[План продаж, руб]]</f>
        <v>1.0276315789473685</v>
      </c>
    </row>
    <row r="6" spans="1:5" x14ac:dyDescent="0.3">
      <c r="A6" t="s">
        <v>36</v>
      </c>
      <c r="B6" t="s">
        <v>55</v>
      </c>
      <c r="C6" s="7">
        <v>19000</v>
      </c>
      <c r="D6">
        <f>SUMIFS(branches[Сумма], branches[Филиал], tbl_Plan[[#This Row],[Филиал]], branches[Месяц/Год], tbl_Plan[[#This Row],[Месяц]])</f>
        <v>19900</v>
      </c>
      <c r="E6" s="6">
        <f>tbl_Plan[[#This Row],[Факт, руб]]/tbl_Plan[[#This Row],[План продаж, руб]]</f>
        <v>1.0473684210526315</v>
      </c>
    </row>
    <row r="7" spans="1:5" x14ac:dyDescent="0.3">
      <c r="A7" t="s">
        <v>36</v>
      </c>
      <c r="B7" t="s">
        <v>56</v>
      </c>
      <c r="C7" s="7">
        <v>17100</v>
      </c>
      <c r="D7">
        <f>SUMIFS(branches[Сумма], branches[Филиал], tbl_Plan[[#This Row],[Филиал]], branches[Месяц/Год], tbl_Plan[[#This Row],[Месяц]])</f>
        <v>16181</v>
      </c>
      <c r="E7" s="6">
        <f>tbl_Plan[[#This Row],[Факт, руб]]/tbl_Plan[[#This Row],[План продаж, руб]]</f>
        <v>0.94625730994152046</v>
      </c>
    </row>
    <row r="8" spans="1:5" x14ac:dyDescent="0.3">
      <c r="A8" t="s">
        <v>36</v>
      </c>
      <c r="B8" t="s">
        <v>57</v>
      </c>
      <c r="C8" s="7">
        <v>17100</v>
      </c>
      <c r="D8">
        <f>SUMIFS(branches[Сумма], branches[Филиал], tbl_Plan[[#This Row],[Филиал]], branches[Месяц/Год], tbl_Plan[[#This Row],[Месяц]])</f>
        <v>13437</v>
      </c>
      <c r="E8" s="6">
        <f>tbl_Plan[[#This Row],[Факт, руб]]/tbl_Plan[[#This Row],[План продаж, руб]]</f>
        <v>0.78578947368421048</v>
      </c>
    </row>
    <row r="9" spans="1:5" x14ac:dyDescent="0.3">
      <c r="A9" t="s">
        <v>36</v>
      </c>
      <c r="B9" t="s">
        <v>58</v>
      </c>
      <c r="C9" s="7">
        <v>17100</v>
      </c>
      <c r="D9">
        <f>SUMIFS(branches[Сумма], branches[Филиал], tbl_Plan[[#This Row],[Филиал]], branches[Месяц/Год], tbl_Plan[[#This Row],[Месяц]])</f>
        <v>10503</v>
      </c>
      <c r="E9" s="6">
        <f>tbl_Plan[[#This Row],[Факт, руб]]/tbl_Plan[[#This Row],[План продаж, руб]]</f>
        <v>0.61421052631578943</v>
      </c>
    </row>
    <row r="10" spans="1:5" x14ac:dyDescent="0.3">
      <c r="A10" t="s">
        <v>36</v>
      </c>
      <c r="B10" t="s">
        <v>59</v>
      </c>
      <c r="C10" s="7">
        <v>19000</v>
      </c>
      <c r="D10">
        <f>SUMIFS(branches[Сумма], branches[Филиал], tbl_Plan[[#This Row],[Филиал]], branches[Месяц/Год], tbl_Plan[[#This Row],[Месяц]])</f>
        <v>21116</v>
      </c>
      <c r="E10" s="6">
        <f>tbl_Plan[[#This Row],[Факт, руб]]/tbl_Plan[[#This Row],[План продаж, руб]]</f>
        <v>1.1113684210526316</v>
      </c>
    </row>
    <row r="11" spans="1:5" x14ac:dyDescent="0.3">
      <c r="A11" t="s">
        <v>36</v>
      </c>
      <c r="B11" t="s">
        <v>60</v>
      </c>
      <c r="C11" s="7">
        <v>19000</v>
      </c>
      <c r="D11">
        <f>SUMIFS(branches[Сумма], branches[Филиал], tbl_Plan[[#This Row],[Филиал]], branches[Месяц/Год], tbl_Plan[[#This Row],[Месяц]])</f>
        <v>17181</v>
      </c>
      <c r="E11" s="6">
        <f>tbl_Plan[[#This Row],[Факт, руб]]/tbl_Plan[[#This Row],[План продаж, руб]]</f>
        <v>0.90426315789473688</v>
      </c>
    </row>
    <row r="12" spans="1:5" x14ac:dyDescent="0.3">
      <c r="A12" t="s">
        <v>36</v>
      </c>
      <c r="B12" t="s">
        <v>61</v>
      </c>
      <c r="C12" s="7">
        <v>19000</v>
      </c>
      <c r="D12">
        <f>SUMIFS(branches[Сумма], branches[Филиал], tbl_Plan[[#This Row],[Филиал]], branches[Месяц/Год], tbl_Plan[[#This Row],[Месяц]])</f>
        <v>19922</v>
      </c>
      <c r="E12" s="6">
        <f>tbl_Plan[[#This Row],[Факт, руб]]/tbl_Plan[[#This Row],[План продаж, руб]]</f>
        <v>1.0485263157894738</v>
      </c>
    </row>
    <row r="13" spans="1:5" x14ac:dyDescent="0.3">
      <c r="A13" t="s">
        <v>36</v>
      </c>
      <c r="B13" t="s">
        <v>62</v>
      </c>
      <c r="C13" s="7">
        <v>21800</v>
      </c>
      <c r="D13">
        <f>SUMIFS(branches[Сумма], branches[Филиал], tbl_Plan[[#This Row],[Филиал]], branches[Месяц/Год], tbl_Plan[[#This Row],[Месяц]])</f>
        <v>23170</v>
      </c>
      <c r="E13" s="6">
        <f>tbl_Plan[[#This Row],[Факт, руб]]/tbl_Plan[[#This Row],[План продаж, руб]]</f>
        <v>1.0628440366972478</v>
      </c>
    </row>
    <row r="14" spans="1:5" x14ac:dyDescent="0.3">
      <c r="A14" t="s">
        <v>38</v>
      </c>
      <c r="B14" t="s">
        <v>51</v>
      </c>
      <c r="C14" s="7">
        <v>19600</v>
      </c>
      <c r="D14">
        <f>SUMIFS(branches[Сумма], branches[Филиал], tbl_Plan[[#This Row],[Филиал]], branches[Месяц/Год], tbl_Plan[[#This Row],[Месяц]])</f>
        <v>23247</v>
      </c>
      <c r="E14" s="6">
        <f>tbl_Plan[[#This Row],[Факт, руб]]/tbl_Plan[[#This Row],[План продаж, руб]]</f>
        <v>1.1860714285714287</v>
      </c>
    </row>
    <row r="15" spans="1:5" x14ac:dyDescent="0.3">
      <c r="A15" t="s">
        <v>38</v>
      </c>
      <c r="B15" t="s">
        <v>52</v>
      </c>
      <c r="C15" s="7">
        <v>17000</v>
      </c>
      <c r="D15">
        <f>SUMIFS(branches[Сумма], branches[Филиал], tbl_Plan[[#This Row],[Филиал]], branches[Месяц/Год], tbl_Plan[[#This Row],[Месяц]])</f>
        <v>14892</v>
      </c>
      <c r="E15" s="6">
        <f>tbl_Plan[[#This Row],[Факт, руб]]/tbl_Plan[[#This Row],[План продаж, руб]]</f>
        <v>0.876</v>
      </c>
    </row>
    <row r="16" spans="1:5" x14ac:dyDescent="0.3">
      <c r="A16" t="s">
        <v>38</v>
      </c>
      <c r="B16" t="s">
        <v>53</v>
      </c>
      <c r="C16" s="7">
        <v>17000</v>
      </c>
      <c r="D16">
        <f>SUMIFS(branches[Сумма], branches[Филиал], tbl_Plan[[#This Row],[Филиал]], branches[Месяц/Год], tbl_Plan[[#This Row],[Месяц]])</f>
        <v>18539</v>
      </c>
      <c r="E16" s="6">
        <f>tbl_Plan[[#This Row],[Факт, руб]]/tbl_Plan[[#This Row],[План продаж, руб]]</f>
        <v>1.090529411764706</v>
      </c>
    </row>
    <row r="17" spans="1:5" x14ac:dyDescent="0.3">
      <c r="A17" t="s">
        <v>38</v>
      </c>
      <c r="B17" t="s">
        <v>54</v>
      </c>
      <c r="C17" s="7">
        <v>17000</v>
      </c>
      <c r="D17">
        <f>SUMIFS(branches[Сумма], branches[Филиал], tbl_Plan[[#This Row],[Филиал]], branches[Месяц/Год], tbl_Plan[[#This Row],[Месяц]])</f>
        <v>18332</v>
      </c>
      <c r="E17" s="6">
        <f>tbl_Plan[[#This Row],[Факт, руб]]/tbl_Plan[[#This Row],[План продаж, руб]]</f>
        <v>1.0783529411764705</v>
      </c>
    </row>
    <row r="18" spans="1:5" x14ac:dyDescent="0.3">
      <c r="A18" t="s">
        <v>38</v>
      </c>
      <c r="B18" t="s">
        <v>55</v>
      </c>
      <c r="C18" s="7">
        <v>17000</v>
      </c>
      <c r="D18">
        <f>SUMIFS(branches[Сумма], branches[Филиал], tbl_Plan[[#This Row],[Филиал]], branches[Месяц/Год], tbl_Plan[[#This Row],[Месяц]])</f>
        <v>16992</v>
      </c>
      <c r="E18" s="6">
        <f>tbl_Plan[[#This Row],[Факт, руб]]/tbl_Plan[[#This Row],[План продаж, руб]]</f>
        <v>0.99952941176470589</v>
      </c>
    </row>
    <row r="19" spans="1:5" x14ac:dyDescent="0.3">
      <c r="A19" t="s">
        <v>38</v>
      </c>
      <c r="B19" t="s">
        <v>56</v>
      </c>
      <c r="C19" s="7">
        <v>15300</v>
      </c>
      <c r="D19">
        <f>SUMIFS(branches[Сумма], branches[Филиал], tbl_Plan[[#This Row],[Филиал]], branches[Месяц/Год], tbl_Plan[[#This Row],[Месяц]])</f>
        <v>16390</v>
      </c>
      <c r="E19" s="6">
        <f>tbl_Plan[[#This Row],[Факт, руб]]/tbl_Plan[[#This Row],[План продаж, руб]]</f>
        <v>1.0712418300653594</v>
      </c>
    </row>
    <row r="20" spans="1:5" x14ac:dyDescent="0.3">
      <c r="A20" t="s">
        <v>38</v>
      </c>
      <c r="B20" t="s">
        <v>57</v>
      </c>
      <c r="C20" s="7">
        <v>15300</v>
      </c>
      <c r="D20">
        <f>SUMIFS(branches[Сумма], branches[Филиал], tbl_Plan[[#This Row],[Филиал]], branches[Месяц/Год], tbl_Plan[[#This Row],[Месяц]])</f>
        <v>15681</v>
      </c>
      <c r="E20" s="6">
        <f>tbl_Plan[[#This Row],[Факт, руб]]/tbl_Plan[[#This Row],[План продаж, руб]]</f>
        <v>1.0249019607843137</v>
      </c>
    </row>
    <row r="21" spans="1:5" x14ac:dyDescent="0.3">
      <c r="A21" t="s">
        <v>38</v>
      </c>
      <c r="B21" t="s">
        <v>58</v>
      </c>
      <c r="C21" s="7">
        <v>15300</v>
      </c>
      <c r="D21">
        <f>SUMIFS(branches[Сумма], branches[Филиал], tbl_Plan[[#This Row],[Филиал]], branches[Месяц/Год], tbl_Plan[[#This Row],[Месяц]])</f>
        <v>12291</v>
      </c>
      <c r="E21" s="6">
        <f>tbl_Plan[[#This Row],[Факт, руб]]/tbl_Plan[[#This Row],[План продаж, руб]]</f>
        <v>0.80333333333333334</v>
      </c>
    </row>
    <row r="22" spans="1:5" x14ac:dyDescent="0.3">
      <c r="A22" t="s">
        <v>38</v>
      </c>
      <c r="B22" t="s">
        <v>59</v>
      </c>
      <c r="C22" s="7">
        <v>17000</v>
      </c>
      <c r="D22">
        <f>SUMIFS(branches[Сумма], branches[Филиал], tbl_Plan[[#This Row],[Филиал]], branches[Месяц/Год], tbl_Plan[[#This Row],[Месяц]])</f>
        <v>19253</v>
      </c>
      <c r="E22" s="6">
        <f>tbl_Plan[[#This Row],[Факт, руб]]/tbl_Plan[[#This Row],[План продаж, руб]]</f>
        <v>1.1325294117647058</v>
      </c>
    </row>
    <row r="23" spans="1:5" x14ac:dyDescent="0.3">
      <c r="A23" t="s">
        <v>38</v>
      </c>
      <c r="B23" t="s">
        <v>60</v>
      </c>
      <c r="C23" s="7">
        <v>17000</v>
      </c>
      <c r="D23">
        <f>SUMIFS(branches[Сумма], branches[Филиал], tbl_Plan[[#This Row],[Филиал]], branches[Месяц/Год], tbl_Plan[[#This Row],[Месяц]])</f>
        <v>15281</v>
      </c>
      <c r="E23" s="6">
        <f>tbl_Plan[[#This Row],[Факт, руб]]/tbl_Plan[[#This Row],[План продаж, руб]]</f>
        <v>0.89888235294117647</v>
      </c>
    </row>
    <row r="24" spans="1:5" x14ac:dyDescent="0.3">
      <c r="A24" t="s">
        <v>38</v>
      </c>
      <c r="B24" t="s">
        <v>61</v>
      </c>
      <c r="C24" s="7">
        <v>17000</v>
      </c>
      <c r="D24">
        <f>SUMIFS(branches[Сумма], branches[Филиал], tbl_Plan[[#This Row],[Филиал]], branches[Месяц/Год], tbl_Plan[[#This Row],[Месяц]])</f>
        <v>19143</v>
      </c>
      <c r="E24" s="6">
        <f>tbl_Plan[[#This Row],[Факт, руб]]/tbl_Plan[[#This Row],[План продаж, руб]]</f>
        <v>1.1260588235294118</v>
      </c>
    </row>
    <row r="25" spans="1:5" x14ac:dyDescent="0.3">
      <c r="A25" t="s">
        <v>38</v>
      </c>
      <c r="B25" t="s">
        <v>62</v>
      </c>
      <c r="C25" s="7">
        <v>19600</v>
      </c>
      <c r="D25">
        <f>SUMIFS(branches[Сумма], branches[Филиал], tbl_Plan[[#This Row],[Филиал]], branches[Месяц/Год], tbl_Plan[[#This Row],[Месяц]])</f>
        <v>25027</v>
      </c>
      <c r="E25" s="6">
        <f>tbl_Plan[[#This Row],[Факт, руб]]/tbl_Plan[[#This Row],[План продаж, руб]]</f>
        <v>1.2768877551020408</v>
      </c>
    </row>
    <row r="26" spans="1:5" x14ac:dyDescent="0.3">
      <c r="A26" t="s">
        <v>30</v>
      </c>
      <c r="B26" t="s">
        <v>51</v>
      </c>
      <c r="C26" s="7">
        <v>17200</v>
      </c>
      <c r="D26">
        <f>SUMIFS(branches[Сумма], branches[Филиал], tbl_Plan[[#This Row],[Филиал]], branches[Месяц/Год], tbl_Plan[[#This Row],[Месяц]])</f>
        <v>22040</v>
      </c>
      <c r="E26" s="6">
        <f>tbl_Plan[[#This Row],[Факт, руб]]/tbl_Plan[[#This Row],[План продаж, руб]]</f>
        <v>1.2813953488372094</v>
      </c>
    </row>
    <row r="27" spans="1:5" x14ac:dyDescent="0.3">
      <c r="A27" t="s">
        <v>30</v>
      </c>
      <c r="B27" t="s">
        <v>52</v>
      </c>
      <c r="C27" s="7">
        <v>15000</v>
      </c>
      <c r="D27">
        <f>SUMIFS(branches[Сумма], branches[Филиал], tbl_Plan[[#This Row],[Филиал]], branches[Месяц/Год], tbl_Plan[[#This Row],[Месяц]])</f>
        <v>21096</v>
      </c>
      <c r="E27" s="6">
        <f>tbl_Plan[[#This Row],[Факт, руб]]/tbl_Plan[[#This Row],[План продаж, руб]]</f>
        <v>1.4064000000000001</v>
      </c>
    </row>
    <row r="28" spans="1:5" x14ac:dyDescent="0.3">
      <c r="A28" t="s">
        <v>30</v>
      </c>
      <c r="B28" t="s">
        <v>53</v>
      </c>
      <c r="C28" s="7">
        <v>15000</v>
      </c>
      <c r="D28">
        <f>SUMIFS(branches[Сумма], branches[Филиал], tbl_Plan[[#This Row],[Филиал]], branches[Месяц/Год], tbl_Plan[[#This Row],[Месяц]])</f>
        <v>15973</v>
      </c>
      <c r="E28" s="6">
        <f>tbl_Plan[[#This Row],[Факт, руб]]/tbl_Plan[[#This Row],[План продаж, руб]]</f>
        <v>1.0648666666666666</v>
      </c>
    </row>
    <row r="29" spans="1:5" x14ac:dyDescent="0.3">
      <c r="A29" t="s">
        <v>30</v>
      </c>
      <c r="B29" t="s">
        <v>54</v>
      </c>
      <c r="C29" s="7">
        <v>15000</v>
      </c>
      <c r="D29">
        <f>SUMIFS(branches[Сумма], branches[Филиал], tbl_Plan[[#This Row],[Филиал]], branches[Месяц/Год], tbl_Plan[[#This Row],[Месяц]])</f>
        <v>16892</v>
      </c>
      <c r="E29" s="6">
        <f>tbl_Plan[[#This Row],[Факт, руб]]/tbl_Plan[[#This Row],[План продаж, руб]]</f>
        <v>1.1261333333333334</v>
      </c>
    </row>
    <row r="30" spans="1:5" x14ac:dyDescent="0.3">
      <c r="A30" t="s">
        <v>30</v>
      </c>
      <c r="B30" t="s">
        <v>55</v>
      </c>
      <c r="C30" s="7">
        <v>15000</v>
      </c>
      <c r="D30">
        <f>SUMIFS(branches[Сумма], branches[Филиал], tbl_Plan[[#This Row],[Филиал]], branches[Месяц/Год], tbl_Plan[[#This Row],[Месяц]])</f>
        <v>18277</v>
      </c>
      <c r="E30" s="6">
        <f>tbl_Plan[[#This Row],[Факт, руб]]/tbl_Plan[[#This Row],[План продаж, руб]]</f>
        <v>1.2184666666666666</v>
      </c>
    </row>
    <row r="31" spans="1:5" x14ac:dyDescent="0.3">
      <c r="A31" t="s">
        <v>30</v>
      </c>
      <c r="B31" t="s">
        <v>56</v>
      </c>
      <c r="C31" s="7">
        <v>13500</v>
      </c>
      <c r="D31">
        <f>SUMIFS(branches[Сумма], branches[Филиал], tbl_Plan[[#This Row],[Филиал]], branches[Месяц/Год], tbl_Plan[[#This Row],[Месяц]])</f>
        <v>15290</v>
      </c>
      <c r="E31" s="6">
        <f>tbl_Plan[[#This Row],[Факт, руб]]/tbl_Plan[[#This Row],[План продаж, руб]]</f>
        <v>1.1325925925925926</v>
      </c>
    </row>
    <row r="32" spans="1:5" x14ac:dyDescent="0.3">
      <c r="A32" t="s">
        <v>30</v>
      </c>
      <c r="B32" t="s">
        <v>57</v>
      </c>
      <c r="C32" s="7">
        <v>13500</v>
      </c>
      <c r="D32">
        <f>SUMIFS(branches[Сумма], branches[Филиал], tbl_Plan[[#This Row],[Филиал]], branches[Месяц/Год], tbl_Plan[[#This Row],[Месяц]])</f>
        <v>17361</v>
      </c>
      <c r="E32" s="6">
        <f>tbl_Plan[[#This Row],[Факт, руб]]/tbl_Plan[[#This Row],[План продаж, руб]]</f>
        <v>1.286</v>
      </c>
    </row>
    <row r="33" spans="1:5" x14ac:dyDescent="0.3">
      <c r="A33" t="s">
        <v>30</v>
      </c>
      <c r="B33" t="s">
        <v>58</v>
      </c>
      <c r="C33" s="7">
        <v>13500</v>
      </c>
      <c r="D33">
        <f>SUMIFS(branches[Сумма], branches[Филиал], tbl_Plan[[#This Row],[Филиал]], branches[Месяц/Год], tbl_Plan[[#This Row],[Месяц]])</f>
        <v>14154</v>
      </c>
      <c r="E33" s="6">
        <f>tbl_Plan[[#This Row],[Факт, руб]]/tbl_Plan[[#This Row],[План продаж, руб]]</f>
        <v>1.0484444444444445</v>
      </c>
    </row>
    <row r="34" spans="1:5" x14ac:dyDescent="0.3">
      <c r="A34" t="s">
        <v>30</v>
      </c>
      <c r="B34" t="s">
        <v>59</v>
      </c>
      <c r="C34" s="7">
        <v>15000</v>
      </c>
      <c r="D34">
        <f>SUMIFS(branches[Сумма], branches[Филиал], tbl_Plan[[#This Row],[Филиал]], branches[Месяц/Год], tbl_Plan[[#This Row],[Месяц]])</f>
        <v>20388</v>
      </c>
      <c r="E34" s="6">
        <f>tbl_Plan[[#This Row],[Факт, руб]]/tbl_Plan[[#This Row],[План продаж, руб]]</f>
        <v>1.3592</v>
      </c>
    </row>
    <row r="35" spans="1:5" x14ac:dyDescent="0.3">
      <c r="A35" t="s">
        <v>30</v>
      </c>
      <c r="B35" t="s">
        <v>60</v>
      </c>
      <c r="C35" s="7">
        <v>15000</v>
      </c>
      <c r="D35">
        <f>SUMIFS(branches[Сумма], branches[Филиал], tbl_Plan[[#This Row],[Филиал]], branches[Месяц/Год], tbl_Plan[[#This Row],[Месяц]])</f>
        <v>17624</v>
      </c>
      <c r="E35" s="6">
        <f>tbl_Plan[[#This Row],[Факт, руб]]/tbl_Plan[[#This Row],[План продаж, руб]]</f>
        <v>1.1749333333333334</v>
      </c>
    </row>
    <row r="36" spans="1:5" x14ac:dyDescent="0.3">
      <c r="A36" t="s">
        <v>30</v>
      </c>
      <c r="B36" t="s">
        <v>61</v>
      </c>
      <c r="C36" s="7">
        <v>15000</v>
      </c>
      <c r="D36">
        <f>SUMIFS(branches[Сумма], branches[Филиал], tbl_Plan[[#This Row],[Филиал]], branches[Месяц/Год], tbl_Plan[[#This Row],[Месяц]])</f>
        <v>17902</v>
      </c>
      <c r="E36" s="6">
        <f>tbl_Plan[[#This Row],[Факт, руб]]/tbl_Plan[[#This Row],[План продаж, руб]]</f>
        <v>1.1934666666666667</v>
      </c>
    </row>
    <row r="37" spans="1:5" x14ac:dyDescent="0.3">
      <c r="A37" t="s">
        <v>30</v>
      </c>
      <c r="B37" t="s">
        <v>62</v>
      </c>
      <c r="C37" s="7">
        <v>17200</v>
      </c>
      <c r="D37">
        <f>SUMIFS(branches[Сумма], branches[Филиал], tbl_Plan[[#This Row],[Филиал]], branches[Месяц/Год], tbl_Plan[[#This Row],[Месяц]])</f>
        <v>22326</v>
      </c>
      <c r="E37" s="6">
        <f>tbl_Plan[[#This Row],[Факт, руб]]/tbl_Plan[[#This Row],[План продаж, руб]]</f>
        <v>1.2980232558139535</v>
      </c>
    </row>
    <row r="38" spans="1:5" x14ac:dyDescent="0.3">
      <c r="A38" t="s">
        <v>7</v>
      </c>
      <c r="B38" t="s">
        <v>51</v>
      </c>
      <c r="C38" s="7">
        <v>24100</v>
      </c>
      <c r="D38">
        <f>SUMIFS(branches[Сумма], branches[Филиал], tbl_Plan[[#This Row],[Филиал]], branches[Месяц/Год], tbl_Plan[[#This Row],[Месяц]])</f>
        <v>20395</v>
      </c>
      <c r="E38" s="6">
        <f>tbl_Plan[[#This Row],[Факт, руб]]/tbl_Plan[[#This Row],[План продаж, руб]]</f>
        <v>0.84626556016597509</v>
      </c>
    </row>
    <row r="39" spans="1:5" x14ac:dyDescent="0.3">
      <c r="A39" t="s">
        <v>7</v>
      </c>
      <c r="B39" t="s">
        <v>52</v>
      </c>
      <c r="C39" s="7">
        <v>21000</v>
      </c>
      <c r="D39">
        <f>SUMIFS(branches[Сумма], branches[Филиал], tbl_Plan[[#This Row],[Филиал]], branches[Месяц/Год], tbl_Plan[[#This Row],[Месяц]])</f>
        <v>20820</v>
      </c>
      <c r="E39" s="6">
        <f>tbl_Plan[[#This Row],[Факт, руб]]/tbl_Plan[[#This Row],[План продаж, руб]]</f>
        <v>0.99142857142857144</v>
      </c>
    </row>
    <row r="40" spans="1:5" x14ac:dyDescent="0.3">
      <c r="A40" t="s">
        <v>7</v>
      </c>
      <c r="B40" t="s">
        <v>53</v>
      </c>
      <c r="C40" s="7">
        <v>21000</v>
      </c>
      <c r="D40">
        <f>SUMIFS(branches[Сумма], branches[Филиал], tbl_Plan[[#This Row],[Филиал]], branches[Месяц/Год], tbl_Plan[[#This Row],[Месяц]])</f>
        <v>17945</v>
      </c>
      <c r="E40" s="6">
        <f>tbl_Plan[[#This Row],[Факт, руб]]/tbl_Plan[[#This Row],[План продаж, руб]]</f>
        <v>0.85452380952380957</v>
      </c>
    </row>
    <row r="41" spans="1:5" x14ac:dyDescent="0.3">
      <c r="A41" t="s">
        <v>7</v>
      </c>
      <c r="B41" t="s">
        <v>54</v>
      </c>
      <c r="C41" s="7">
        <v>21000</v>
      </c>
      <c r="D41">
        <f>SUMIFS(branches[Сумма], branches[Филиал], tbl_Plan[[#This Row],[Филиал]], branches[Месяц/Год], tbl_Plan[[#This Row],[Месяц]])</f>
        <v>19743</v>
      </c>
      <c r="E41" s="6">
        <f>tbl_Plan[[#This Row],[Факт, руб]]/tbl_Plan[[#This Row],[План продаж, руб]]</f>
        <v>0.94014285714285717</v>
      </c>
    </row>
    <row r="42" spans="1:5" x14ac:dyDescent="0.3">
      <c r="A42" t="s">
        <v>7</v>
      </c>
      <c r="B42" t="s">
        <v>55</v>
      </c>
      <c r="C42" s="7">
        <v>21000</v>
      </c>
      <c r="D42">
        <f>SUMIFS(branches[Сумма], branches[Филиал], tbl_Plan[[#This Row],[Филиал]], branches[Месяц/Год], tbl_Plan[[#This Row],[Месяц]])</f>
        <v>18773</v>
      </c>
      <c r="E42" s="6">
        <f>tbl_Plan[[#This Row],[Факт, руб]]/tbl_Plan[[#This Row],[План продаж, руб]]</f>
        <v>0.89395238095238094</v>
      </c>
    </row>
    <row r="43" spans="1:5" x14ac:dyDescent="0.3">
      <c r="A43" t="s">
        <v>7</v>
      </c>
      <c r="B43" t="s">
        <v>56</v>
      </c>
      <c r="C43" s="7">
        <v>18900</v>
      </c>
      <c r="D43">
        <f>SUMIFS(branches[Сумма], branches[Филиал], tbl_Plan[[#This Row],[Филиал]], branches[Месяц/Год], tbl_Plan[[#This Row],[Месяц]])</f>
        <v>13665</v>
      </c>
      <c r="E43" s="6">
        <f>tbl_Plan[[#This Row],[Факт, руб]]/tbl_Plan[[#This Row],[План продаж, руб]]</f>
        <v>0.723015873015873</v>
      </c>
    </row>
    <row r="44" spans="1:5" x14ac:dyDescent="0.3">
      <c r="A44" t="s">
        <v>7</v>
      </c>
      <c r="B44" t="s">
        <v>57</v>
      </c>
      <c r="C44" s="7">
        <v>18900</v>
      </c>
      <c r="D44">
        <f>SUMIFS(branches[Сумма], branches[Филиал], tbl_Plan[[#This Row],[Филиал]], branches[Месяц/Год], tbl_Plan[[#This Row],[Месяц]])</f>
        <v>11931</v>
      </c>
      <c r="E44" s="6">
        <f>tbl_Plan[[#This Row],[Факт, руб]]/tbl_Plan[[#This Row],[План продаж, руб]]</f>
        <v>0.63126984126984131</v>
      </c>
    </row>
    <row r="45" spans="1:5" x14ac:dyDescent="0.3">
      <c r="A45" t="s">
        <v>7</v>
      </c>
      <c r="B45" t="s">
        <v>58</v>
      </c>
      <c r="C45" s="7">
        <v>18900</v>
      </c>
      <c r="D45">
        <f>SUMIFS(branches[Сумма], branches[Филиал], tbl_Plan[[#This Row],[Филиал]], branches[Месяц/Год], tbl_Plan[[#This Row],[Месяц]])</f>
        <v>15905</v>
      </c>
      <c r="E45" s="6">
        <f>tbl_Plan[[#This Row],[Факт, руб]]/tbl_Plan[[#This Row],[План продаж, руб]]</f>
        <v>0.84153439153439158</v>
      </c>
    </row>
    <row r="46" spans="1:5" x14ac:dyDescent="0.3">
      <c r="A46" t="s">
        <v>7</v>
      </c>
      <c r="B46" t="s">
        <v>59</v>
      </c>
      <c r="C46" s="7">
        <v>21000</v>
      </c>
      <c r="D46">
        <f>SUMIFS(branches[Сумма], branches[Филиал], tbl_Plan[[#This Row],[Филиал]], branches[Месяц/Год], tbl_Plan[[#This Row],[Месяц]])</f>
        <v>23150</v>
      </c>
      <c r="E46" s="6">
        <f>tbl_Plan[[#This Row],[Факт, руб]]/tbl_Plan[[#This Row],[План продаж, руб]]</f>
        <v>1.1023809523809525</v>
      </c>
    </row>
    <row r="47" spans="1:5" x14ac:dyDescent="0.3">
      <c r="A47" t="s">
        <v>7</v>
      </c>
      <c r="B47" t="s">
        <v>60</v>
      </c>
      <c r="C47" s="7">
        <v>21000</v>
      </c>
      <c r="D47">
        <f>SUMIFS(branches[Сумма], branches[Филиал], tbl_Plan[[#This Row],[Филиал]], branches[Месяц/Год], tbl_Plan[[#This Row],[Месяц]])</f>
        <v>16018</v>
      </c>
      <c r="E47" s="6">
        <f>tbl_Plan[[#This Row],[Факт, руб]]/tbl_Plan[[#This Row],[План продаж, руб]]</f>
        <v>0.76276190476190475</v>
      </c>
    </row>
    <row r="48" spans="1:5" x14ac:dyDescent="0.3">
      <c r="A48" t="s">
        <v>7</v>
      </c>
      <c r="B48" t="s">
        <v>61</v>
      </c>
      <c r="C48" s="7">
        <v>21000</v>
      </c>
      <c r="D48">
        <f>SUMIFS(branches[Сумма], branches[Филиал], tbl_Plan[[#This Row],[Филиал]], branches[Месяц/Год], tbl_Plan[[#This Row],[Месяц]])</f>
        <v>17621</v>
      </c>
      <c r="E48" s="6">
        <f>tbl_Plan[[#This Row],[Факт, руб]]/tbl_Plan[[#This Row],[План продаж, руб]]</f>
        <v>0.83909523809523812</v>
      </c>
    </row>
    <row r="49" spans="1:5" x14ac:dyDescent="0.3">
      <c r="A49" t="s">
        <v>7</v>
      </c>
      <c r="B49" t="s">
        <v>62</v>
      </c>
      <c r="C49" s="7">
        <v>24100</v>
      </c>
      <c r="D49">
        <f>SUMIFS(branches[Сумма], branches[Филиал], tbl_Plan[[#This Row],[Филиал]], branches[Месяц/Год], tbl_Plan[[#This Row],[Месяц]])</f>
        <v>22498</v>
      </c>
      <c r="E49" s="6">
        <f>tbl_Plan[[#This Row],[Факт, руб]]/tbl_Plan[[#This Row],[План продаж, руб]]</f>
        <v>0.93352697095435688</v>
      </c>
    </row>
    <row r="50" spans="1:5" x14ac:dyDescent="0.3">
      <c r="A50" t="s">
        <v>37</v>
      </c>
      <c r="B50" t="s">
        <v>51</v>
      </c>
      <c r="C50" s="7">
        <v>16100</v>
      </c>
      <c r="D50">
        <f>SUMIFS(branches[Сумма], branches[Филиал], tbl_Plan[[#This Row],[Филиал]], branches[Месяц/Год], tbl_Plan[[#This Row],[Месяц]])</f>
        <v>21711</v>
      </c>
      <c r="E50" s="6">
        <f>tbl_Plan[[#This Row],[Факт, руб]]/tbl_Plan[[#This Row],[План продаж, руб]]</f>
        <v>1.3485093167701863</v>
      </c>
    </row>
    <row r="51" spans="1:5" x14ac:dyDescent="0.3">
      <c r="A51" t="s">
        <v>37</v>
      </c>
      <c r="B51" t="s">
        <v>52</v>
      </c>
      <c r="C51" s="7">
        <v>14000</v>
      </c>
      <c r="D51">
        <f>SUMIFS(branches[Сумма], branches[Филиал], tbl_Plan[[#This Row],[Филиал]], branches[Месяц/Год], tbl_Plan[[#This Row],[Месяц]])</f>
        <v>13613</v>
      </c>
      <c r="E51" s="6">
        <f>tbl_Plan[[#This Row],[Факт, руб]]/tbl_Plan[[#This Row],[План продаж, руб]]</f>
        <v>0.97235714285714281</v>
      </c>
    </row>
    <row r="52" spans="1:5" x14ac:dyDescent="0.3">
      <c r="A52" t="s">
        <v>37</v>
      </c>
      <c r="B52" t="s">
        <v>53</v>
      </c>
      <c r="C52" s="7">
        <v>14000</v>
      </c>
      <c r="D52">
        <f>SUMIFS(branches[Сумма], branches[Филиал], tbl_Plan[[#This Row],[Филиал]], branches[Месяц/Год], tbl_Plan[[#This Row],[Месяц]])</f>
        <v>18305</v>
      </c>
      <c r="E52" s="6">
        <f>tbl_Plan[[#This Row],[Факт, руб]]/tbl_Plan[[#This Row],[План продаж, руб]]</f>
        <v>1.3075000000000001</v>
      </c>
    </row>
    <row r="53" spans="1:5" x14ac:dyDescent="0.3">
      <c r="A53" t="s">
        <v>37</v>
      </c>
      <c r="B53" t="s">
        <v>54</v>
      </c>
      <c r="C53" s="7">
        <v>14000</v>
      </c>
      <c r="D53">
        <f>SUMIFS(branches[Сумма], branches[Филиал], tbl_Plan[[#This Row],[Филиал]], branches[Месяц/Год], tbl_Plan[[#This Row],[Месяц]])</f>
        <v>15277</v>
      </c>
      <c r="E53" s="6">
        <f>tbl_Plan[[#This Row],[Факт, руб]]/tbl_Plan[[#This Row],[План продаж, руб]]</f>
        <v>1.0912142857142857</v>
      </c>
    </row>
    <row r="54" spans="1:5" x14ac:dyDescent="0.3">
      <c r="A54" t="s">
        <v>37</v>
      </c>
      <c r="B54" t="s">
        <v>55</v>
      </c>
      <c r="C54" s="7">
        <v>14000</v>
      </c>
      <c r="D54">
        <f>SUMIFS(branches[Сумма], branches[Филиал], tbl_Plan[[#This Row],[Филиал]], branches[Месяц/Год], tbl_Plan[[#This Row],[Месяц]])</f>
        <v>20816</v>
      </c>
      <c r="E54" s="6">
        <f>tbl_Plan[[#This Row],[Факт, руб]]/tbl_Plan[[#This Row],[План продаж, руб]]</f>
        <v>1.4868571428571429</v>
      </c>
    </row>
    <row r="55" spans="1:5" x14ac:dyDescent="0.3">
      <c r="A55" t="s">
        <v>37</v>
      </c>
      <c r="B55" t="s">
        <v>56</v>
      </c>
      <c r="C55" s="7">
        <v>12600</v>
      </c>
      <c r="D55">
        <f>SUMIFS(branches[Сумма], branches[Филиал], tbl_Plan[[#This Row],[Филиал]], branches[Месяц/Год], tbl_Plan[[#This Row],[Месяц]])</f>
        <v>14223</v>
      </c>
      <c r="E55" s="6">
        <f>tbl_Plan[[#This Row],[Факт, руб]]/tbl_Plan[[#This Row],[План продаж, руб]]</f>
        <v>1.1288095238095237</v>
      </c>
    </row>
    <row r="56" spans="1:5" x14ac:dyDescent="0.3">
      <c r="A56" t="s">
        <v>37</v>
      </c>
      <c r="B56" t="s">
        <v>57</v>
      </c>
      <c r="C56" s="7">
        <v>12600</v>
      </c>
      <c r="D56">
        <f>SUMIFS(branches[Сумма], branches[Филиал], tbl_Plan[[#This Row],[Филиал]], branches[Месяц/Год], tbl_Plan[[#This Row],[Месяц]])</f>
        <v>14788</v>
      </c>
      <c r="E56" s="6">
        <f>tbl_Plan[[#This Row],[Факт, руб]]/tbl_Plan[[#This Row],[План продаж, руб]]</f>
        <v>1.1736507936507936</v>
      </c>
    </row>
    <row r="57" spans="1:5" x14ac:dyDescent="0.3">
      <c r="A57" t="s">
        <v>37</v>
      </c>
      <c r="B57" t="s">
        <v>58</v>
      </c>
      <c r="C57" s="7">
        <v>12600</v>
      </c>
      <c r="D57">
        <f>SUMIFS(branches[Сумма], branches[Филиал], tbl_Plan[[#This Row],[Филиал]], branches[Месяц/Год], tbl_Plan[[#This Row],[Месяц]])</f>
        <v>14818</v>
      </c>
      <c r="E57" s="6">
        <f>tbl_Plan[[#This Row],[Факт, руб]]/tbl_Plan[[#This Row],[План продаж, руб]]</f>
        <v>1.176031746031746</v>
      </c>
    </row>
    <row r="58" spans="1:5" x14ac:dyDescent="0.3">
      <c r="A58" t="s">
        <v>37</v>
      </c>
      <c r="B58" t="s">
        <v>59</v>
      </c>
      <c r="C58" s="7">
        <v>14000</v>
      </c>
      <c r="D58">
        <f>SUMIFS(branches[Сумма], branches[Филиал], tbl_Plan[[#This Row],[Филиал]], branches[Месяц/Год], tbl_Plan[[#This Row],[Месяц]])</f>
        <v>19594</v>
      </c>
      <c r="E58" s="6">
        <f>tbl_Plan[[#This Row],[Факт, руб]]/tbl_Plan[[#This Row],[План продаж, руб]]</f>
        <v>1.3995714285714285</v>
      </c>
    </row>
    <row r="59" spans="1:5" x14ac:dyDescent="0.3">
      <c r="A59" t="s">
        <v>37</v>
      </c>
      <c r="B59" t="s">
        <v>60</v>
      </c>
      <c r="C59" s="7">
        <v>14000</v>
      </c>
      <c r="D59">
        <f>SUMIFS(branches[Сумма], branches[Филиал], tbl_Plan[[#This Row],[Филиал]], branches[Месяц/Год], tbl_Plan[[#This Row],[Месяц]])</f>
        <v>18945</v>
      </c>
      <c r="E59" s="6">
        <f>tbl_Plan[[#This Row],[Факт, руб]]/tbl_Plan[[#This Row],[План продаж, руб]]</f>
        <v>1.3532142857142857</v>
      </c>
    </row>
    <row r="60" spans="1:5" x14ac:dyDescent="0.3">
      <c r="A60" t="s">
        <v>37</v>
      </c>
      <c r="B60" t="s">
        <v>61</v>
      </c>
      <c r="C60" s="7">
        <v>14000</v>
      </c>
      <c r="D60">
        <f>SUMIFS(branches[Сумма], branches[Филиал], tbl_Plan[[#This Row],[Филиал]], branches[Месяц/Год], tbl_Plan[[#This Row],[Месяц]])</f>
        <v>17445</v>
      </c>
      <c r="E60" s="6">
        <f>tbl_Plan[[#This Row],[Факт, руб]]/tbl_Plan[[#This Row],[План продаж, руб]]</f>
        <v>1.2460714285714285</v>
      </c>
    </row>
    <row r="61" spans="1:5" x14ac:dyDescent="0.3">
      <c r="A61" t="s">
        <v>37</v>
      </c>
      <c r="B61" t="s">
        <v>62</v>
      </c>
      <c r="C61" s="7">
        <v>16100</v>
      </c>
      <c r="D61">
        <f>SUMIFS(branches[Сумма], branches[Филиал], tbl_Plan[[#This Row],[Филиал]], branches[Месяц/Год], tbl_Plan[[#This Row],[Месяц]])</f>
        <v>17959</v>
      </c>
      <c r="E61" s="6">
        <f>tbl_Plan[[#This Row],[Факт, руб]]/tbl_Plan[[#This Row],[План продаж, руб]]</f>
        <v>1.1154658385093168</v>
      </c>
    </row>
    <row r="62" spans="1:5" x14ac:dyDescent="0.3">
      <c r="A62" t="s">
        <v>31</v>
      </c>
      <c r="B62" t="s">
        <v>51</v>
      </c>
      <c r="C62" s="7">
        <v>25300</v>
      </c>
      <c r="D62">
        <f>SUMIFS(branches[Сумма], branches[Филиал], tbl_Plan[[#This Row],[Филиал]], branches[Месяц/Год], tbl_Plan[[#This Row],[Месяц]])</f>
        <v>23442</v>
      </c>
      <c r="E62" s="6">
        <f>tbl_Plan[[#This Row],[Факт, руб]]/tbl_Plan[[#This Row],[План продаж, руб]]</f>
        <v>0.92656126482213441</v>
      </c>
    </row>
    <row r="63" spans="1:5" x14ac:dyDescent="0.3">
      <c r="A63" t="s">
        <v>31</v>
      </c>
      <c r="B63" t="s">
        <v>52</v>
      </c>
      <c r="C63" s="7">
        <v>22000</v>
      </c>
      <c r="D63">
        <f>SUMIFS(branches[Сумма], branches[Филиал], tbl_Plan[[#This Row],[Филиал]], branches[Месяц/Год], tbl_Plan[[#This Row],[Месяц]])</f>
        <v>21220</v>
      </c>
      <c r="E63" s="6">
        <f>tbl_Plan[[#This Row],[Факт, руб]]/tbl_Plan[[#This Row],[План продаж, руб]]</f>
        <v>0.96454545454545459</v>
      </c>
    </row>
    <row r="64" spans="1:5" x14ac:dyDescent="0.3">
      <c r="A64" t="s">
        <v>31</v>
      </c>
      <c r="B64" t="s">
        <v>53</v>
      </c>
      <c r="C64" s="7">
        <v>22000</v>
      </c>
      <c r="D64">
        <f>SUMIFS(branches[Сумма], branches[Филиал], tbl_Plan[[#This Row],[Филиал]], branches[Месяц/Год], tbl_Plan[[#This Row],[Месяц]])</f>
        <v>22198</v>
      </c>
      <c r="E64" s="6">
        <f>tbl_Plan[[#This Row],[Факт, руб]]/tbl_Plan[[#This Row],[План продаж, руб]]</f>
        <v>1.0089999999999999</v>
      </c>
    </row>
    <row r="65" spans="1:5" x14ac:dyDescent="0.3">
      <c r="A65" t="s">
        <v>31</v>
      </c>
      <c r="B65" t="s">
        <v>54</v>
      </c>
      <c r="C65" s="7">
        <v>22000</v>
      </c>
      <c r="D65">
        <f>SUMIFS(branches[Сумма], branches[Филиал], tbl_Plan[[#This Row],[Филиал]], branches[Месяц/Год], tbl_Plan[[#This Row],[Месяц]])</f>
        <v>13769</v>
      </c>
      <c r="E65" s="6">
        <f>tbl_Plan[[#This Row],[Факт, руб]]/tbl_Plan[[#This Row],[План продаж, руб]]</f>
        <v>0.6258636363636364</v>
      </c>
    </row>
    <row r="66" spans="1:5" x14ac:dyDescent="0.3">
      <c r="A66" t="s">
        <v>31</v>
      </c>
      <c r="B66" t="s">
        <v>55</v>
      </c>
      <c r="C66" s="7">
        <v>22000</v>
      </c>
      <c r="D66">
        <f>SUMIFS(branches[Сумма], branches[Филиал], tbl_Plan[[#This Row],[Филиал]], branches[Месяц/Год], tbl_Plan[[#This Row],[Месяц]])</f>
        <v>15517</v>
      </c>
      <c r="E66" s="6">
        <f>tbl_Plan[[#This Row],[Факт, руб]]/tbl_Plan[[#This Row],[План продаж, руб]]</f>
        <v>0.70531818181818184</v>
      </c>
    </row>
    <row r="67" spans="1:5" x14ac:dyDescent="0.3">
      <c r="A67" t="s">
        <v>31</v>
      </c>
      <c r="B67" t="s">
        <v>56</v>
      </c>
      <c r="C67" s="7">
        <v>19800</v>
      </c>
      <c r="D67">
        <f>SUMIFS(branches[Сумма], branches[Филиал], tbl_Plan[[#This Row],[Филиал]], branches[Месяц/Год], tbl_Plan[[#This Row],[Месяц]])</f>
        <v>13309</v>
      </c>
      <c r="E67" s="6">
        <f>tbl_Plan[[#This Row],[Факт, руб]]/tbl_Plan[[#This Row],[План продаж, руб]]</f>
        <v>0.6721717171717172</v>
      </c>
    </row>
    <row r="68" spans="1:5" x14ac:dyDescent="0.3">
      <c r="A68" t="s">
        <v>31</v>
      </c>
      <c r="B68" t="s">
        <v>57</v>
      </c>
      <c r="C68" s="7">
        <v>19800</v>
      </c>
      <c r="D68">
        <f>SUMIFS(branches[Сумма], branches[Филиал], tbl_Plan[[#This Row],[Филиал]], branches[Месяц/Год], tbl_Plan[[#This Row],[Месяц]])</f>
        <v>13309</v>
      </c>
      <c r="E68" s="6">
        <f>tbl_Plan[[#This Row],[Факт, руб]]/tbl_Plan[[#This Row],[План продаж, руб]]</f>
        <v>0.6721717171717172</v>
      </c>
    </row>
    <row r="69" spans="1:5" x14ac:dyDescent="0.3">
      <c r="A69" t="s">
        <v>31</v>
      </c>
      <c r="B69" t="s">
        <v>58</v>
      </c>
      <c r="C69" s="7">
        <v>19800</v>
      </c>
      <c r="D69">
        <f>SUMIFS(branches[Сумма], branches[Филиал], tbl_Plan[[#This Row],[Филиал]], branches[Месяц/Год], tbl_Plan[[#This Row],[Месяц]])</f>
        <v>12327</v>
      </c>
      <c r="E69" s="6">
        <f>tbl_Plan[[#This Row],[Факт, руб]]/tbl_Plan[[#This Row],[План продаж, руб]]</f>
        <v>0.62257575757575756</v>
      </c>
    </row>
    <row r="70" spans="1:5" x14ac:dyDescent="0.3">
      <c r="A70" t="s">
        <v>31</v>
      </c>
      <c r="B70" t="s">
        <v>59</v>
      </c>
      <c r="C70" s="7">
        <v>22000</v>
      </c>
      <c r="D70">
        <f>SUMIFS(branches[Сумма], branches[Филиал], tbl_Plan[[#This Row],[Филиал]], branches[Месяц/Год], tbl_Plan[[#This Row],[Месяц]])</f>
        <v>18976</v>
      </c>
      <c r="E70" s="6">
        <f>tbl_Plan[[#This Row],[Факт, руб]]/tbl_Plan[[#This Row],[План продаж, руб]]</f>
        <v>0.8625454545454545</v>
      </c>
    </row>
    <row r="71" spans="1:5" x14ac:dyDescent="0.3">
      <c r="A71" t="s">
        <v>31</v>
      </c>
      <c r="B71" t="s">
        <v>60</v>
      </c>
      <c r="C71" s="7">
        <v>22000</v>
      </c>
      <c r="D71">
        <f>SUMIFS(branches[Сумма], branches[Филиал], tbl_Plan[[#This Row],[Филиал]], branches[Месяц/Год], tbl_Plan[[#This Row],[Месяц]])</f>
        <v>18906</v>
      </c>
      <c r="E71" s="6">
        <f>tbl_Plan[[#This Row],[Факт, руб]]/tbl_Plan[[#This Row],[План продаж, руб]]</f>
        <v>0.85936363636363633</v>
      </c>
    </row>
    <row r="72" spans="1:5" x14ac:dyDescent="0.3">
      <c r="A72" t="s">
        <v>31</v>
      </c>
      <c r="B72" t="s">
        <v>61</v>
      </c>
      <c r="C72" s="7">
        <v>22000</v>
      </c>
      <c r="D72">
        <f>SUMIFS(branches[Сумма], branches[Филиал], tbl_Plan[[#This Row],[Филиал]], branches[Месяц/Год], tbl_Plan[[#This Row],[Месяц]])</f>
        <v>16125</v>
      </c>
      <c r="E72" s="6">
        <f>tbl_Plan[[#This Row],[Факт, руб]]/tbl_Plan[[#This Row],[План продаж, руб]]</f>
        <v>0.73295454545454541</v>
      </c>
    </row>
    <row r="73" spans="1:5" x14ac:dyDescent="0.3">
      <c r="A73" t="s">
        <v>31</v>
      </c>
      <c r="B73" t="s">
        <v>62</v>
      </c>
      <c r="C73" s="7">
        <v>25300</v>
      </c>
      <c r="D73">
        <f>SUMIFS(branches[Сумма], branches[Филиал], tbl_Plan[[#This Row],[Филиал]], branches[Месяц/Год], tbl_Plan[[#This Row],[Месяц]])</f>
        <v>23201</v>
      </c>
      <c r="E73" s="6">
        <f>tbl_Plan[[#This Row],[Факт, руб]]/tbl_Plan[[#This Row],[План продаж, руб]]</f>
        <v>0.91703557312252959</v>
      </c>
    </row>
  </sheetData>
  <conditionalFormatting sqref="E1:E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FC4A7-69AF-464F-8B04-BDCA3A6E9288}">
  <dimension ref="A3:O28"/>
  <sheetViews>
    <sheetView zoomScale="85" zoomScaleNormal="85" workbookViewId="0">
      <selection activeCell="R10" sqref="R10"/>
    </sheetView>
  </sheetViews>
  <sheetFormatPr defaultRowHeight="14.4" x14ac:dyDescent="0.3"/>
  <cols>
    <col min="1" max="1" width="20.77734375" bestFit="1" customWidth="1"/>
    <col min="2" max="2" width="13.33203125" bestFit="1" customWidth="1"/>
    <col min="14" max="14" width="14.21875" bestFit="1" customWidth="1"/>
    <col min="15" max="15" width="13.33203125" bestFit="1" customWidth="1"/>
  </cols>
  <sheetData>
    <row r="3" spans="1:15" x14ac:dyDescent="0.3">
      <c r="A3" s="9" t="s">
        <v>68</v>
      </c>
      <c r="B3" t="s">
        <v>67</v>
      </c>
      <c r="N3" s="9" t="s">
        <v>49</v>
      </c>
      <c r="O3" t="s">
        <v>67</v>
      </c>
    </row>
    <row r="4" spans="1:15" x14ac:dyDescent="0.3">
      <c r="A4" s="10" t="s">
        <v>7</v>
      </c>
      <c r="B4" s="1">
        <v>218464</v>
      </c>
      <c r="N4" s="10" t="s">
        <v>58</v>
      </c>
      <c r="O4" s="1">
        <v>79998</v>
      </c>
    </row>
    <row r="5" spans="1:15" x14ac:dyDescent="0.3">
      <c r="A5" s="11" t="s">
        <v>9</v>
      </c>
      <c r="B5" s="1">
        <v>39424</v>
      </c>
      <c r="N5" s="10" t="s">
        <v>54</v>
      </c>
      <c r="O5" s="1">
        <v>103538</v>
      </c>
    </row>
    <row r="6" spans="1:15" x14ac:dyDescent="0.3">
      <c r="A6" s="11" t="s">
        <v>17</v>
      </c>
      <c r="B6" s="1">
        <v>55560</v>
      </c>
      <c r="N6" s="10" t="s">
        <v>62</v>
      </c>
      <c r="O6" s="1">
        <v>134181</v>
      </c>
    </row>
    <row r="7" spans="1:15" x14ac:dyDescent="0.3">
      <c r="A7" s="11" t="s">
        <v>12</v>
      </c>
      <c r="B7" s="1">
        <v>123480</v>
      </c>
      <c r="N7" s="10" t="s">
        <v>57</v>
      </c>
      <c r="O7" s="1">
        <v>86507</v>
      </c>
    </row>
    <row r="8" spans="1:15" x14ac:dyDescent="0.3">
      <c r="A8" s="10" t="s">
        <v>30</v>
      </c>
      <c r="B8" s="1">
        <v>219323</v>
      </c>
      <c r="N8" s="10" t="s">
        <v>56</v>
      </c>
      <c r="O8" s="1">
        <v>89058</v>
      </c>
    </row>
    <row r="9" spans="1:15" x14ac:dyDescent="0.3">
      <c r="A9" s="11" t="s">
        <v>9</v>
      </c>
      <c r="B9" s="1">
        <v>51836</v>
      </c>
      <c r="N9" s="10" t="s">
        <v>55</v>
      </c>
      <c r="O9" s="1">
        <v>110275</v>
      </c>
    </row>
    <row r="10" spans="1:15" x14ac:dyDescent="0.3">
      <c r="A10" s="11" t="s">
        <v>17</v>
      </c>
      <c r="B10" s="1">
        <v>56701</v>
      </c>
      <c r="N10" s="10" t="s">
        <v>53</v>
      </c>
      <c r="O10" s="1">
        <v>113047</v>
      </c>
    </row>
    <row r="11" spans="1:15" x14ac:dyDescent="0.3">
      <c r="A11" s="11" t="s">
        <v>12</v>
      </c>
      <c r="B11" s="1">
        <v>110786</v>
      </c>
      <c r="N11" s="10" t="s">
        <v>61</v>
      </c>
      <c r="O11" s="1">
        <v>108158</v>
      </c>
    </row>
    <row r="12" spans="1:15" x14ac:dyDescent="0.3">
      <c r="A12" s="10" t="s">
        <v>31</v>
      </c>
      <c r="B12" s="1">
        <v>212299</v>
      </c>
      <c r="N12" s="10" t="s">
        <v>60</v>
      </c>
      <c r="O12" s="1">
        <v>103955</v>
      </c>
    </row>
    <row r="13" spans="1:15" x14ac:dyDescent="0.3">
      <c r="A13" s="11" t="s">
        <v>9</v>
      </c>
      <c r="B13" s="1">
        <v>48972</v>
      </c>
      <c r="N13" s="10" t="s">
        <v>59</v>
      </c>
      <c r="O13" s="1">
        <v>122477</v>
      </c>
    </row>
    <row r="14" spans="1:15" x14ac:dyDescent="0.3">
      <c r="A14" s="11" t="s">
        <v>17</v>
      </c>
      <c r="B14" s="1">
        <v>49627</v>
      </c>
      <c r="N14" s="10" t="s">
        <v>52</v>
      </c>
      <c r="O14" s="1">
        <v>112300</v>
      </c>
    </row>
    <row r="15" spans="1:15" x14ac:dyDescent="0.3">
      <c r="A15" s="11" t="s">
        <v>12</v>
      </c>
      <c r="B15" s="1">
        <v>113700</v>
      </c>
      <c r="N15" s="10" t="s">
        <v>51</v>
      </c>
      <c r="O15" s="1">
        <v>134533</v>
      </c>
    </row>
    <row r="16" spans="1:15" x14ac:dyDescent="0.3">
      <c r="A16" s="10" t="s">
        <v>36</v>
      </c>
      <c r="B16" s="1">
        <v>225379</v>
      </c>
      <c r="N16" s="10" t="s">
        <v>66</v>
      </c>
      <c r="O16" s="1">
        <v>1298027</v>
      </c>
    </row>
    <row r="17" spans="1:2" x14ac:dyDescent="0.3">
      <c r="A17" s="11" t="s">
        <v>9</v>
      </c>
      <c r="B17" s="1">
        <v>55799</v>
      </c>
    </row>
    <row r="18" spans="1:2" x14ac:dyDescent="0.3">
      <c r="A18" s="11" t="s">
        <v>17</v>
      </c>
      <c r="B18" s="1">
        <v>50068</v>
      </c>
    </row>
    <row r="19" spans="1:2" x14ac:dyDescent="0.3">
      <c r="A19" s="11" t="s">
        <v>12</v>
      </c>
      <c r="B19" s="1">
        <v>119512</v>
      </c>
    </row>
    <row r="20" spans="1:2" x14ac:dyDescent="0.3">
      <c r="A20" s="10" t="s">
        <v>37</v>
      </c>
      <c r="B20" s="1">
        <v>207494</v>
      </c>
    </row>
    <row r="21" spans="1:2" x14ac:dyDescent="0.3">
      <c r="A21" s="11" t="s">
        <v>9</v>
      </c>
      <c r="B21" s="1">
        <v>51628</v>
      </c>
    </row>
    <row r="22" spans="1:2" x14ac:dyDescent="0.3">
      <c r="A22" s="11" t="s">
        <v>17</v>
      </c>
      <c r="B22" s="1">
        <v>48729</v>
      </c>
    </row>
    <row r="23" spans="1:2" x14ac:dyDescent="0.3">
      <c r="A23" s="11" t="s">
        <v>12</v>
      </c>
      <c r="B23" s="1">
        <v>107137</v>
      </c>
    </row>
    <row r="24" spans="1:2" x14ac:dyDescent="0.3">
      <c r="A24" s="10" t="s">
        <v>38</v>
      </c>
      <c r="B24" s="1">
        <v>215068</v>
      </c>
    </row>
    <row r="25" spans="1:2" x14ac:dyDescent="0.3">
      <c r="A25" s="11" t="s">
        <v>9</v>
      </c>
      <c r="B25" s="1">
        <v>45854</v>
      </c>
    </row>
    <row r="26" spans="1:2" x14ac:dyDescent="0.3">
      <c r="A26" s="11" t="s">
        <v>17</v>
      </c>
      <c r="B26" s="1">
        <v>58078</v>
      </c>
    </row>
    <row r="27" spans="1:2" x14ac:dyDescent="0.3">
      <c r="A27" s="11" t="s">
        <v>12</v>
      </c>
      <c r="B27" s="1">
        <v>111136</v>
      </c>
    </row>
    <row r="28" spans="1:2" x14ac:dyDescent="0.3">
      <c r="A28" s="10" t="s">
        <v>66</v>
      </c>
      <c r="B28" s="1">
        <v>1298027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0CA58F-77BB-48FC-83D8-A0B070B75D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branches</vt:lpstr>
      <vt:lpstr>spravochnik</vt:lpstr>
      <vt:lpstr>planfact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drmozq</dc:creator>
  <cp:lastModifiedBy>Dr</cp:lastModifiedBy>
  <dcterms:created xsi:type="dcterms:W3CDTF">2015-06-05T18:17:20Z</dcterms:created>
  <dcterms:modified xsi:type="dcterms:W3CDTF">2026-09-17T16:49:58Z</dcterms:modified>
</cp:coreProperties>
</file>